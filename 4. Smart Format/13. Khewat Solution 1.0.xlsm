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amir hussain\Desktop\"/>
    </mc:Choice>
  </mc:AlternateContent>
  <xr:revisionPtr revIDLastSave="0" documentId="13_ncr:1_{CAE8A171-4F7F-48FB-9B96-B29A73AA8A4C}" xr6:coauthVersionLast="47" xr6:coauthVersionMax="47" xr10:uidLastSave="{00000000-0000-0000-0000-000000000000}"/>
  <bookViews>
    <workbookView xWindow="-120" yWindow="-120" windowWidth="20730" windowHeight="11040" activeTab="1" xr2:uid="{EA0DAEA3-B2F1-4995-8641-0E470E9774C7}"/>
  </bookViews>
  <sheets>
    <sheet name="Solution-1" sheetId="1" r:id="rId1"/>
    <sheet name="Print" sheetId="2" r:id="rId2"/>
  </sheets>
  <externalReferences>
    <externalReference r:id="rId3"/>
  </externalReferences>
  <definedNames>
    <definedName name="_xlnm.Print_Area" localSheetId="1">Print!$C$1:$K$1001</definedName>
    <definedName name="_xlnm.Print_Titles" localSheetId="1">Print!$1:$2</definedName>
    <definedName name="Q">'Solution-1'!$A$1:$Q$1004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/>
  <c r="D1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I18" i="2"/>
  <c r="J18" i="2"/>
  <c r="K18" i="2"/>
  <c r="I19" i="2"/>
  <c r="J19" i="2"/>
  <c r="K19" i="2"/>
  <c r="I20" i="2"/>
  <c r="J20" i="2"/>
  <c r="K20" i="2"/>
  <c r="I21" i="2"/>
  <c r="J21" i="2"/>
  <c r="K21" i="2"/>
  <c r="I22" i="2"/>
  <c r="J22" i="2"/>
  <c r="K22" i="2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I37" i="2"/>
  <c r="J37" i="2"/>
  <c r="K37" i="2"/>
  <c r="I38" i="2"/>
  <c r="J38" i="2"/>
  <c r="K38" i="2"/>
  <c r="I39" i="2"/>
  <c r="J39" i="2"/>
  <c r="K39" i="2"/>
  <c r="I40" i="2"/>
  <c r="J40" i="2"/>
  <c r="K40" i="2"/>
  <c r="I41" i="2"/>
  <c r="J41" i="2"/>
  <c r="K41" i="2"/>
  <c r="I42" i="2"/>
  <c r="J42" i="2"/>
  <c r="K42" i="2"/>
  <c r="I43" i="2"/>
  <c r="J43" i="2"/>
  <c r="K43" i="2"/>
  <c r="I44" i="2"/>
  <c r="J44" i="2"/>
  <c r="K44" i="2"/>
  <c r="I45" i="2"/>
  <c r="J45" i="2"/>
  <c r="K45" i="2"/>
  <c r="I46" i="2"/>
  <c r="J46" i="2"/>
  <c r="K46" i="2"/>
  <c r="I47" i="2"/>
  <c r="J47" i="2"/>
  <c r="K47" i="2"/>
  <c r="I48" i="2"/>
  <c r="J48" i="2"/>
  <c r="K48" i="2"/>
  <c r="I49" i="2"/>
  <c r="J49" i="2"/>
  <c r="K49" i="2"/>
  <c r="I50" i="2"/>
  <c r="J50" i="2"/>
  <c r="K50" i="2"/>
  <c r="I51" i="2"/>
  <c r="J51" i="2"/>
  <c r="K51" i="2"/>
  <c r="I52" i="2"/>
  <c r="J52" i="2"/>
  <c r="K52" i="2"/>
  <c r="I53" i="2"/>
  <c r="J53" i="2"/>
  <c r="K53" i="2"/>
  <c r="I54" i="2"/>
  <c r="J54" i="2"/>
  <c r="K54" i="2"/>
  <c r="I55" i="2"/>
  <c r="J55" i="2"/>
  <c r="K55" i="2"/>
  <c r="I56" i="2"/>
  <c r="J56" i="2"/>
  <c r="K56" i="2"/>
  <c r="I57" i="2"/>
  <c r="J57" i="2"/>
  <c r="K57" i="2"/>
  <c r="I58" i="2"/>
  <c r="J58" i="2"/>
  <c r="K58" i="2"/>
  <c r="I59" i="2"/>
  <c r="J59" i="2"/>
  <c r="K59" i="2"/>
  <c r="I60" i="2"/>
  <c r="J60" i="2"/>
  <c r="K60" i="2"/>
  <c r="I61" i="2"/>
  <c r="J61" i="2"/>
  <c r="K61" i="2"/>
  <c r="I62" i="2"/>
  <c r="J62" i="2"/>
  <c r="K62" i="2"/>
  <c r="I63" i="2"/>
  <c r="J63" i="2"/>
  <c r="K63" i="2"/>
  <c r="I64" i="2"/>
  <c r="J64" i="2"/>
  <c r="K64" i="2"/>
  <c r="I65" i="2"/>
  <c r="J65" i="2"/>
  <c r="K65" i="2"/>
  <c r="I66" i="2"/>
  <c r="J66" i="2"/>
  <c r="K66" i="2"/>
  <c r="I67" i="2"/>
  <c r="J67" i="2"/>
  <c r="K67" i="2"/>
  <c r="I68" i="2"/>
  <c r="J68" i="2"/>
  <c r="K68" i="2"/>
  <c r="I69" i="2"/>
  <c r="J69" i="2"/>
  <c r="K69" i="2"/>
  <c r="I70" i="2"/>
  <c r="J70" i="2"/>
  <c r="K70" i="2"/>
  <c r="I71" i="2"/>
  <c r="J71" i="2"/>
  <c r="K71" i="2"/>
  <c r="I72" i="2"/>
  <c r="J72" i="2"/>
  <c r="K72" i="2"/>
  <c r="I73" i="2"/>
  <c r="J73" i="2"/>
  <c r="K73" i="2"/>
  <c r="I74" i="2"/>
  <c r="J74" i="2"/>
  <c r="K74" i="2"/>
  <c r="I75" i="2"/>
  <c r="J75" i="2"/>
  <c r="K75" i="2"/>
  <c r="I76" i="2"/>
  <c r="J76" i="2"/>
  <c r="K76" i="2"/>
  <c r="I77" i="2"/>
  <c r="J77" i="2"/>
  <c r="K77" i="2"/>
  <c r="I78" i="2"/>
  <c r="J78" i="2"/>
  <c r="K78" i="2"/>
  <c r="I79" i="2"/>
  <c r="J79" i="2"/>
  <c r="K79" i="2"/>
  <c r="I80" i="2"/>
  <c r="J80" i="2"/>
  <c r="K80" i="2"/>
  <c r="I81" i="2"/>
  <c r="J81" i="2"/>
  <c r="K81" i="2"/>
  <c r="I82" i="2"/>
  <c r="J82" i="2"/>
  <c r="K82" i="2"/>
  <c r="I83" i="2"/>
  <c r="J83" i="2"/>
  <c r="K83" i="2"/>
  <c r="I84" i="2"/>
  <c r="J84" i="2"/>
  <c r="K84" i="2"/>
  <c r="I85" i="2"/>
  <c r="J85" i="2"/>
  <c r="K85" i="2"/>
  <c r="I86" i="2"/>
  <c r="J86" i="2"/>
  <c r="K86" i="2"/>
  <c r="I87" i="2"/>
  <c r="J87" i="2"/>
  <c r="K87" i="2"/>
  <c r="I88" i="2"/>
  <c r="J88" i="2"/>
  <c r="K88" i="2"/>
  <c r="I89" i="2"/>
  <c r="J89" i="2"/>
  <c r="K89" i="2"/>
  <c r="I90" i="2"/>
  <c r="J90" i="2"/>
  <c r="K90" i="2"/>
  <c r="I91" i="2"/>
  <c r="J91" i="2"/>
  <c r="K91" i="2"/>
  <c r="I92" i="2"/>
  <c r="J92" i="2"/>
  <c r="K92" i="2"/>
  <c r="I93" i="2"/>
  <c r="J93" i="2"/>
  <c r="K93" i="2"/>
  <c r="I94" i="2"/>
  <c r="J94" i="2"/>
  <c r="K94" i="2"/>
  <c r="I95" i="2"/>
  <c r="J95" i="2"/>
  <c r="K95" i="2"/>
  <c r="I96" i="2"/>
  <c r="J96" i="2"/>
  <c r="K96" i="2"/>
  <c r="I97" i="2"/>
  <c r="J97" i="2"/>
  <c r="K97" i="2"/>
  <c r="I98" i="2"/>
  <c r="J98" i="2"/>
  <c r="K98" i="2"/>
  <c r="I99" i="2"/>
  <c r="J99" i="2"/>
  <c r="K99" i="2"/>
  <c r="I100" i="2"/>
  <c r="J100" i="2"/>
  <c r="K100" i="2"/>
  <c r="I101" i="2"/>
  <c r="J101" i="2"/>
  <c r="K101" i="2"/>
  <c r="I102" i="2"/>
  <c r="J102" i="2"/>
  <c r="K102" i="2"/>
  <c r="I103" i="2"/>
  <c r="J103" i="2"/>
  <c r="K103" i="2"/>
  <c r="I104" i="2"/>
  <c r="J104" i="2"/>
  <c r="K104" i="2"/>
  <c r="I105" i="2"/>
  <c r="J105" i="2"/>
  <c r="K105" i="2"/>
  <c r="I106" i="2"/>
  <c r="J106" i="2"/>
  <c r="K106" i="2"/>
  <c r="I107" i="2"/>
  <c r="J107" i="2"/>
  <c r="K107" i="2"/>
  <c r="I108" i="2"/>
  <c r="J108" i="2"/>
  <c r="K108" i="2"/>
  <c r="I109" i="2"/>
  <c r="J109" i="2"/>
  <c r="K109" i="2"/>
  <c r="I110" i="2"/>
  <c r="J110" i="2"/>
  <c r="K110" i="2"/>
  <c r="I111" i="2"/>
  <c r="J111" i="2"/>
  <c r="K111" i="2"/>
  <c r="I112" i="2"/>
  <c r="J112" i="2"/>
  <c r="K112" i="2"/>
  <c r="I113" i="2"/>
  <c r="J113" i="2"/>
  <c r="K113" i="2"/>
  <c r="I114" i="2"/>
  <c r="J114" i="2"/>
  <c r="K114" i="2"/>
  <c r="I115" i="2"/>
  <c r="J115" i="2"/>
  <c r="K115" i="2"/>
  <c r="I116" i="2"/>
  <c r="J116" i="2"/>
  <c r="K116" i="2"/>
  <c r="I117" i="2"/>
  <c r="J117" i="2"/>
  <c r="K117" i="2"/>
  <c r="I118" i="2"/>
  <c r="J118" i="2"/>
  <c r="K118" i="2"/>
  <c r="I119" i="2"/>
  <c r="J119" i="2"/>
  <c r="K119" i="2"/>
  <c r="I120" i="2"/>
  <c r="J120" i="2"/>
  <c r="K120" i="2"/>
  <c r="I121" i="2"/>
  <c r="J121" i="2"/>
  <c r="K121" i="2"/>
  <c r="I122" i="2"/>
  <c r="J122" i="2"/>
  <c r="K122" i="2"/>
  <c r="I123" i="2"/>
  <c r="J123" i="2"/>
  <c r="K123" i="2"/>
  <c r="I124" i="2"/>
  <c r="J124" i="2"/>
  <c r="K124" i="2"/>
  <c r="I125" i="2"/>
  <c r="J125" i="2"/>
  <c r="K125" i="2"/>
  <c r="I126" i="2"/>
  <c r="J126" i="2"/>
  <c r="K126" i="2"/>
  <c r="I127" i="2"/>
  <c r="J127" i="2"/>
  <c r="K127" i="2"/>
  <c r="I128" i="2"/>
  <c r="J128" i="2"/>
  <c r="K128" i="2"/>
  <c r="I129" i="2"/>
  <c r="J129" i="2"/>
  <c r="K129" i="2"/>
  <c r="I130" i="2"/>
  <c r="J130" i="2"/>
  <c r="K130" i="2"/>
  <c r="I131" i="2"/>
  <c r="J131" i="2"/>
  <c r="K131" i="2"/>
  <c r="I132" i="2"/>
  <c r="J132" i="2"/>
  <c r="K132" i="2"/>
  <c r="I133" i="2"/>
  <c r="J133" i="2"/>
  <c r="K133" i="2"/>
  <c r="I134" i="2"/>
  <c r="J134" i="2"/>
  <c r="K134" i="2"/>
  <c r="I135" i="2"/>
  <c r="J135" i="2"/>
  <c r="K135" i="2"/>
  <c r="I136" i="2"/>
  <c r="J136" i="2"/>
  <c r="K136" i="2"/>
  <c r="I137" i="2"/>
  <c r="J137" i="2"/>
  <c r="K137" i="2"/>
  <c r="I138" i="2"/>
  <c r="J138" i="2"/>
  <c r="K138" i="2"/>
  <c r="I139" i="2"/>
  <c r="J139" i="2"/>
  <c r="K139" i="2"/>
  <c r="I140" i="2"/>
  <c r="J140" i="2"/>
  <c r="K140" i="2"/>
  <c r="I141" i="2"/>
  <c r="J141" i="2"/>
  <c r="K141" i="2"/>
  <c r="I142" i="2"/>
  <c r="J142" i="2"/>
  <c r="K142" i="2"/>
  <c r="I143" i="2"/>
  <c r="J143" i="2"/>
  <c r="K143" i="2"/>
  <c r="I144" i="2"/>
  <c r="J144" i="2"/>
  <c r="K144" i="2"/>
  <c r="I145" i="2"/>
  <c r="J145" i="2"/>
  <c r="K145" i="2"/>
  <c r="I146" i="2"/>
  <c r="J146" i="2"/>
  <c r="K146" i="2"/>
  <c r="I147" i="2"/>
  <c r="J147" i="2"/>
  <c r="K147" i="2"/>
  <c r="I148" i="2"/>
  <c r="J148" i="2"/>
  <c r="K148" i="2"/>
  <c r="I149" i="2"/>
  <c r="J149" i="2"/>
  <c r="K149" i="2"/>
  <c r="I150" i="2"/>
  <c r="J150" i="2"/>
  <c r="K150" i="2"/>
  <c r="I151" i="2"/>
  <c r="J151" i="2"/>
  <c r="K151" i="2"/>
  <c r="I152" i="2"/>
  <c r="J152" i="2"/>
  <c r="K152" i="2"/>
  <c r="I153" i="2"/>
  <c r="J153" i="2"/>
  <c r="K153" i="2"/>
  <c r="I154" i="2"/>
  <c r="J154" i="2"/>
  <c r="K154" i="2"/>
  <c r="I155" i="2"/>
  <c r="J155" i="2"/>
  <c r="K155" i="2"/>
  <c r="I156" i="2"/>
  <c r="J156" i="2"/>
  <c r="K156" i="2"/>
  <c r="I157" i="2"/>
  <c r="J157" i="2"/>
  <c r="K157" i="2"/>
  <c r="I158" i="2"/>
  <c r="J158" i="2"/>
  <c r="K158" i="2"/>
  <c r="I159" i="2"/>
  <c r="J159" i="2"/>
  <c r="K159" i="2"/>
  <c r="I160" i="2"/>
  <c r="J160" i="2"/>
  <c r="K160" i="2"/>
  <c r="I161" i="2"/>
  <c r="J161" i="2"/>
  <c r="K161" i="2"/>
  <c r="I162" i="2"/>
  <c r="J162" i="2"/>
  <c r="K162" i="2"/>
  <c r="I163" i="2"/>
  <c r="J163" i="2"/>
  <c r="K163" i="2"/>
  <c r="I164" i="2"/>
  <c r="J164" i="2"/>
  <c r="K164" i="2"/>
  <c r="I165" i="2"/>
  <c r="J165" i="2"/>
  <c r="K165" i="2"/>
  <c r="I166" i="2"/>
  <c r="J166" i="2"/>
  <c r="K166" i="2"/>
  <c r="I167" i="2"/>
  <c r="J167" i="2"/>
  <c r="K167" i="2"/>
  <c r="I168" i="2"/>
  <c r="J168" i="2"/>
  <c r="K168" i="2"/>
  <c r="I169" i="2"/>
  <c r="J169" i="2"/>
  <c r="K169" i="2"/>
  <c r="I170" i="2"/>
  <c r="J170" i="2"/>
  <c r="K170" i="2"/>
  <c r="I171" i="2"/>
  <c r="J171" i="2"/>
  <c r="K171" i="2"/>
  <c r="I172" i="2"/>
  <c r="J172" i="2"/>
  <c r="K172" i="2"/>
  <c r="I173" i="2"/>
  <c r="J173" i="2"/>
  <c r="K173" i="2"/>
  <c r="I174" i="2"/>
  <c r="J174" i="2"/>
  <c r="K174" i="2"/>
  <c r="I175" i="2"/>
  <c r="J175" i="2"/>
  <c r="K175" i="2"/>
  <c r="I176" i="2"/>
  <c r="J176" i="2"/>
  <c r="K176" i="2"/>
  <c r="I177" i="2"/>
  <c r="J177" i="2"/>
  <c r="K177" i="2"/>
  <c r="I178" i="2"/>
  <c r="J178" i="2"/>
  <c r="K178" i="2"/>
  <c r="I179" i="2"/>
  <c r="J179" i="2"/>
  <c r="K179" i="2"/>
  <c r="I180" i="2"/>
  <c r="J180" i="2"/>
  <c r="K180" i="2"/>
  <c r="I181" i="2"/>
  <c r="J181" i="2"/>
  <c r="K181" i="2"/>
  <c r="I182" i="2"/>
  <c r="J182" i="2"/>
  <c r="K182" i="2"/>
  <c r="I183" i="2"/>
  <c r="J183" i="2"/>
  <c r="K183" i="2"/>
  <c r="I184" i="2"/>
  <c r="J184" i="2"/>
  <c r="K184" i="2"/>
  <c r="I185" i="2"/>
  <c r="J185" i="2"/>
  <c r="K185" i="2"/>
  <c r="I186" i="2"/>
  <c r="J186" i="2"/>
  <c r="K186" i="2"/>
  <c r="I187" i="2"/>
  <c r="J187" i="2"/>
  <c r="K187" i="2"/>
  <c r="I188" i="2"/>
  <c r="J188" i="2"/>
  <c r="K188" i="2"/>
  <c r="I189" i="2"/>
  <c r="J189" i="2"/>
  <c r="K189" i="2"/>
  <c r="I190" i="2"/>
  <c r="J190" i="2"/>
  <c r="K190" i="2"/>
  <c r="I191" i="2"/>
  <c r="J191" i="2"/>
  <c r="K191" i="2"/>
  <c r="I192" i="2"/>
  <c r="J192" i="2"/>
  <c r="K192" i="2"/>
  <c r="I193" i="2"/>
  <c r="J193" i="2"/>
  <c r="K193" i="2"/>
  <c r="I194" i="2"/>
  <c r="J194" i="2"/>
  <c r="K194" i="2"/>
  <c r="I195" i="2"/>
  <c r="J195" i="2"/>
  <c r="K195" i="2"/>
  <c r="I196" i="2"/>
  <c r="J196" i="2"/>
  <c r="K196" i="2"/>
  <c r="I197" i="2"/>
  <c r="J197" i="2"/>
  <c r="K197" i="2"/>
  <c r="I198" i="2"/>
  <c r="J198" i="2"/>
  <c r="K198" i="2"/>
  <c r="I199" i="2"/>
  <c r="J199" i="2"/>
  <c r="K199" i="2"/>
  <c r="I200" i="2"/>
  <c r="J200" i="2"/>
  <c r="K200" i="2"/>
  <c r="I201" i="2"/>
  <c r="J201" i="2"/>
  <c r="K201" i="2"/>
  <c r="I202" i="2"/>
  <c r="J202" i="2"/>
  <c r="K202" i="2"/>
  <c r="I203" i="2"/>
  <c r="J203" i="2"/>
  <c r="K203" i="2"/>
  <c r="I204" i="2"/>
  <c r="J204" i="2"/>
  <c r="K204" i="2"/>
  <c r="I205" i="2"/>
  <c r="J205" i="2"/>
  <c r="K205" i="2"/>
  <c r="I206" i="2"/>
  <c r="J206" i="2"/>
  <c r="K206" i="2"/>
  <c r="I207" i="2"/>
  <c r="J207" i="2"/>
  <c r="K207" i="2"/>
  <c r="I208" i="2"/>
  <c r="J208" i="2"/>
  <c r="K208" i="2"/>
  <c r="I209" i="2"/>
  <c r="J209" i="2"/>
  <c r="K209" i="2"/>
  <c r="I210" i="2"/>
  <c r="J210" i="2"/>
  <c r="K210" i="2"/>
  <c r="I211" i="2"/>
  <c r="J211" i="2"/>
  <c r="K211" i="2"/>
  <c r="I212" i="2"/>
  <c r="J212" i="2"/>
  <c r="K212" i="2"/>
  <c r="I213" i="2"/>
  <c r="J213" i="2"/>
  <c r="K213" i="2"/>
  <c r="I214" i="2"/>
  <c r="J214" i="2"/>
  <c r="K214" i="2"/>
  <c r="I215" i="2"/>
  <c r="J215" i="2"/>
  <c r="K215" i="2"/>
  <c r="I216" i="2"/>
  <c r="J216" i="2"/>
  <c r="K216" i="2"/>
  <c r="I217" i="2"/>
  <c r="J217" i="2"/>
  <c r="K217" i="2"/>
  <c r="I218" i="2"/>
  <c r="J218" i="2"/>
  <c r="K218" i="2"/>
  <c r="I219" i="2"/>
  <c r="J219" i="2"/>
  <c r="K219" i="2"/>
  <c r="I220" i="2"/>
  <c r="J220" i="2"/>
  <c r="K220" i="2"/>
  <c r="I221" i="2"/>
  <c r="J221" i="2"/>
  <c r="K221" i="2"/>
  <c r="I222" i="2"/>
  <c r="J222" i="2"/>
  <c r="K222" i="2"/>
  <c r="I223" i="2"/>
  <c r="J223" i="2"/>
  <c r="K223" i="2"/>
  <c r="I224" i="2"/>
  <c r="J224" i="2"/>
  <c r="K224" i="2"/>
  <c r="I225" i="2"/>
  <c r="J225" i="2"/>
  <c r="K225" i="2"/>
  <c r="I226" i="2"/>
  <c r="J226" i="2"/>
  <c r="K226" i="2"/>
  <c r="I227" i="2"/>
  <c r="J227" i="2"/>
  <c r="K227" i="2"/>
  <c r="I228" i="2"/>
  <c r="J228" i="2"/>
  <c r="K228" i="2"/>
  <c r="I229" i="2"/>
  <c r="J229" i="2"/>
  <c r="K229" i="2"/>
  <c r="I230" i="2"/>
  <c r="J230" i="2"/>
  <c r="K230" i="2"/>
  <c r="I231" i="2"/>
  <c r="J231" i="2"/>
  <c r="K231" i="2"/>
  <c r="I232" i="2"/>
  <c r="J232" i="2"/>
  <c r="K232" i="2"/>
  <c r="I233" i="2"/>
  <c r="J233" i="2"/>
  <c r="K233" i="2"/>
  <c r="I234" i="2"/>
  <c r="J234" i="2"/>
  <c r="K234" i="2"/>
  <c r="I235" i="2"/>
  <c r="J235" i="2"/>
  <c r="K235" i="2"/>
  <c r="I236" i="2"/>
  <c r="J236" i="2"/>
  <c r="K236" i="2"/>
  <c r="I237" i="2"/>
  <c r="J237" i="2"/>
  <c r="K237" i="2"/>
  <c r="I238" i="2"/>
  <c r="J238" i="2"/>
  <c r="K238" i="2"/>
  <c r="I239" i="2"/>
  <c r="J239" i="2"/>
  <c r="K239" i="2"/>
  <c r="I240" i="2"/>
  <c r="J240" i="2"/>
  <c r="K240" i="2"/>
  <c r="I241" i="2"/>
  <c r="J241" i="2"/>
  <c r="K241" i="2"/>
  <c r="I242" i="2"/>
  <c r="J242" i="2"/>
  <c r="K242" i="2"/>
  <c r="I243" i="2"/>
  <c r="J243" i="2"/>
  <c r="K243" i="2"/>
  <c r="I244" i="2"/>
  <c r="J244" i="2"/>
  <c r="K244" i="2"/>
  <c r="I245" i="2"/>
  <c r="J245" i="2"/>
  <c r="K245" i="2"/>
  <c r="I246" i="2"/>
  <c r="J246" i="2"/>
  <c r="K246" i="2"/>
  <c r="I247" i="2"/>
  <c r="J247" i="2"/>
  <c r="K247" i="2"/>
  <c r="I248" i="2"/>
  <c r="J248" i="2"/>
  <c r="K248" i="2"/>
  <c r="I249" i="2"/>
  <c r="J249" i="2"/>
  <c r="K249" i="2"/>
  <c r="I250" i="2"/>
  <c r="J250" i="2"/>
  <c r="K250" i="2"/>
  <c r="I251" i="2"/>
  <c r="J251" i="2"/>
  <c r="K251" i="2"/>
  <c r="I252" i="2"/>
  <c r="J252" i="2"/>
  <c r="K252" i="2"/>
  <c r="I253" i="2"/>
  <c r="J253" i="2"/>
  <c r="K253" i="2"/>
  <c r="I254" i="2"/>
  <c r="J254" i="2"/>
  <c r="K254" i="2"/>
  <c r="I255" i="2"/>
  <c r="J255" i="2"/>
  <c r="K255" i="2"/>
  <c r="I256" i="2"/>
  <c r="J256" i="2"/>
  <c r="K256" i="2"/>
  <c r="I257" i="2"/>
  <c r="J257" i="2"/>
  <c r="K257" i="2"/>
  <c r="I258" i="2"/>
  <c r="J258" i="2"/>
  <c r="K258" i="2"/>
  <c r="I259" i="2"/>
  <c r="J259" i="2"/>
  <c r="K259" i="2"/>
  <c r="I260" i="2"/>
  <c r="J260" i="2"/>
  <c r="K260" i="2"/>
  <c r="I261" i="2"/>
  <c r="J261" i="2"/>
  <c r="K261" i="2"/>
  <c r="I262" i="2"/>
  <c r="J262" i="2"/>
  <c r="K262" i="2"/>
  <c r="I263" i="2"/>
  <c r="J263" i="2"/>
  <c r="K263" i="2"/>
  <c r="I264" i="2"/>
  <c r="J264" i="2"/>
  <c r="K264" i="2"/>
  <c r="I265" i="2"/>
  <c r="J265" i="2"/>
  <c r="K265" i="2"/>
  <c r="I266" i="2"/>
  <c r="J266" i="2"/>
  <c r="K266" i="2"/>
  <c r="I267" i="2"/>
  <c r="J267" i="2"/>
  <c r="K267" i="2"/>
  <c r="I268" i="2"/>
  <c r="J268" i="2"/>
  <c r="K268" i="2"/>
  <c r="I269" i="2"/>
  <c r="J269" i="2"/>
  <c r="K269" i="2"/>
  <c r="I270" i="2"/>
  <c r="J270" i="2"/>
  <c r="K270" i="2"/>
  <c r="I271" i="2"/>
  <c r="J271" i="2"/>
  <c r="K271" i="2"/>
  <c r="I272" i="2"/>
  <c r="J272" i="2"/>
  <c r="K272" i="2"/>
  <c r="I273" i="2"/>
  <c r="J273" i="2"/>
  <c r="K273" i="2"/>
  <c r="I274" i="2"/>
  <c r="J274" i="2"/>
  <c r="K274" i="2"/>
  <c r="I275" i="2"/>
  <c r="J275" i="2"/>
  <c r="K275" i="2"/>
  <c r="I276" i="2"/>
  <c r="J276" i="2"/>
  <c r="K276" i="2"/>
  <c r="I277" i="2"/>
  <c r="J277" i="2"/>
  <c r="K277" i="2"/>
  <c r="I278" i="2"/>
  <c r="J278" i="2"/>
  <c r="K278" i="2"/>
  <c r="I279" i="2"/>
  <c r="J279" i="2"/>
  <c r="K279" i="2"/>
  <c r="I280" i="2"/>
  <c r="J280" i="2"/>
  <c r="K280" i="2"/>
  <c r="I281" i="2"/>
  <c r="J281" i="2"/>
  <c r="K281" i="2"/>
  <c r="I282" i="2"/>
  <c r="J282" i="2"/>
  <c r="K282" i="2"/>
  <c r="I283" i="2"/>
  <c r="J283" i="2"/>
  <c r="K283" i="2"/>
  <c r="I284" i="2"/>
  <c r="J284" i="2"/>
  <c r="K284" i="2"/>
  <c r="I285" i="2"/>
  <c r="J285" i="2"/>
  <c r="K285" i="2"/>
  <c r="I286" i="2"/>
  <c r="J286" i="2"/>
  <c r="K286" i="2"/>
  <c r="I287" i="2"/>
  <c r="J287" i="2"/>
  <c r="K287" i="2"/>
  <c r="I288" i="2"/>
  <c r="J288" i="2"/>
  <c r="K288" i="2"/>
  <c r="I289" i="2"/>
  <c r="J289" i="2"/>
  <c r="K289" i="2"/>
  <c r="I290" i="2"/>
  <c r="J290" i="2"/>
  <c r="K290" i="2"/>
  <c r="I291" i="2"/>
  <c r="J291" i="2"/>
  <c r="K291" i="2"/>
  <c r="I292" i="2"/>
  <c r="J292" i="2"/>
  <c r="K292" i="2"/>
  <c r="I293" i="2"/>
  <c r="J293" i="2"/>
  <c r="K293" i="2"/>
  <c r="I294" i="2"/>
  <c r="J294" i="2"/>
  <c r="K294" i="2"/>
  <c r="I295" i="2"/>
  <c r="J295" i="2"/>
  <c r="K295" i="2"/>
  <c r="I296" i="2"/>
  <c r="J296" i="2"/>
  <c r="K296" i="2"/>
  <c r="I297" i="2"/>
  <c r="J297" i="2"/>
  <c r="K297" i="2"/>
  <c r="I298" i="2"/>
  <c r="J298" i="2"/>
  <c r="K298" i="2"/>
  <c r="I299" i="2"/>
  <c r="J299" i="2"/>
  <c r="K299" i="2"/>
  <c r="I300" i="2"/>
  <c r="J300" i="2"/>
  <c r="K300" i="2"/>
  <c r="I301" i="2"/>
  <c r="J301" i="2"/>
  <c r="K301" i="2"/>
  <c r="I302" i="2"/>
  <c r="J302" i="2"/>
  <c r="K302" i="2"/>
  <c r="I303" i="2"/>
  <c r="J303" i="2"/>
  <c r="K303" i="2"/>
  <c r="I304" i="2"/>
  <c r="J304" i="2"/>
  <c r="K304" i="2"/>
  <c r="I305" i="2"/>
  <c r="J305" i="2"/>
  <c r="K305" i="2"/>
  <c r="I306" i="2"/>
  <c r="J306" i="2"/>
  <c r="K306" i="2"/>
  <c r="I307" i="2"/>
  <c r="J307" i="2"/>
  <c r="K307" i="2"/>
  <c r="I308" i="2"/>
  <c r="J308" i="2"/>
  <c r="K308" i="2"/>
  <c r="I309" i="2"/>
  <c r="J309" i="2"/>
  <c r="K309" i="2"/>
  <c r="I310" i="2"/>
  <c r="J310" i="2"/>
  <c r="K310" i="2"/>
  <c r="I311" i="2"/>
  <c r="J311" i="2"/>
  <c r="K311" i="2"/>
  <c r="I312" i="2"/>
  <c r="J312" i="2"/>
  <c r="K312" i="2"/>
  <c r="I313" i="2"/>
  <c r="J313" i="2"/>
  <c r="K313" i="2"/>
  <c r="I314" i="2"/>
  <c r="J314" i="2"/>
  <c r="K314" i="2"/>
  <c r="I315" i="2"/>
  <c r="J315" i="2"/>
  <c r="K315" i="2"/>
  <c r="I316" i="2"/>
  <c r="J316" i="2"/>
  <c r="K316" i="2"/>
  <c r="I317" i="2"/>
  <c r="J317" i="2"/>
  <c r="K317" i="2"/>
  <c r="I318" i="2"/>
  <c r="J318" i="2"/>
  <c r="K318" i="2"/>
  <c r="I319" i="2"/>
  <c r="J319" i="2"/>
  <c r="K319" i="2"/>
  <c r="I320" i="2"/>
  <c r="J320" i="2"/>
  <c r="K320" i="2"/>
  <c r="I321" i="2"/>
  <c r="J321" i="2"/>
  <c r="K321" i="2"/>
  <c r="I322" i="2"/>
  <c r="J322" i="2"/>
  <c r="K322" i="2"/>
  <c r="I323" i="2"/>
  <c r="J323" i="2"/>
  <c r="K323" i="2"/>
  <c r="I324" i="2"/>
  <c r="J324" i="2"/>
  <c r="K324" i="2"/>
  <c r="I325" i="2"/>
  <c r="J325" i="2"/>
  <c r="K325" i="2"/>
  <c r="I326" i="2"/>
  <c r="J326" i="2"/>
  <c r="K326" i="2"/>
  <c r="I327" i="2"/>
  <c r="J327" i="2"/>
  <c r="K327" i="2"/>
  <c r="I328" i="2"/>
  <c r="J328" i="2"/>
  <c r="K328" i="2"/>
  <c r="I329" i="2"/>
  <c r="J329" i="2"/>
  <c r="K329" i="2"/>
  <c r="I330" i="2"/>
  <c r="J330" i="2"/>
  <c r="K330" i="2"/>
  <c r="I331" i="2"/>
  <c r="J331" i="2"/>
  <c r="K331" i="2"/>
  <c r="I332" i="2"/>
  <c r="J332" i="2"/>
  <c r="K332" i="2"/>
  <c r="I333" i="2"/>
  <c r="J333" i="2"/>
  <c r="K333" i="2"/>
  <c r="I334" i="2"/>
  <c r="J334" i="2"/>
  <c r="K334" i="2"/>
  <c r="I335" i="2"/>
  <c r="J335" i="2"/>
  <c r="K335" i="2"/>
  <c r="I336" i="2"/>
  <c r="J336" i="2"/>
  <c r="K336" i="2"/>
  <c r="I337" i="2"/>
  <c r="J337" i="2"/>
  <c r="K337" i="2"/>
  <c r="I338" i="2"/>
  <c r="J338" i="2"/>
  <c r="K338" i="2"/>
  <c r="I339" i="2"/>
  <c r="J339" i="2"/>
  <c r="K339" i="2"/>
  <c r="I340" i="2"/>
  <c r="J340" i="2"/>
  <c r="K340" i="2"/>
  <c r="I341" i="2"/>
  <c r="J341" i="2"/>
  <c r="K341" i="2"/>
  <c r="I342" i="2"/>
  <c r="J342" i="2"/>
  <c r="K342" i="2"/>
  <c r="I343" i="2"/>
  <c r="J343" i="2"/>
  <c r="K343" i="2"/>
  <c r="I344" i="2"/>
  <c r="J344" i="2"/>
  <c r="K344" i="2"/>
  <c r="I345" i="2"/>
  <c r="J345" i="2"/>
  <c r="K345" i="2"/>
  <c r="I346" i="2"/>
  <c r="J346" i="2"/>
  <c r="K346" i="2"/>
  <c r="I347" i="2"/>
  <c r="J347" i="2"/>
  <c r="K347" i="2"/>
  <c r="I348" i="2"/>
  <c r="J348" i="2"/>
  <c r="K348" i="2"/>
  <c r="I349" i="2"/>
  <c r="J349" i="2"/>
  <c r="K349" i="2"/>
  <c r="I350" i="2"/>
  <c r="J350" i="2"/>
  <c r="K350" i="2"/>
  <c r="I351" i="2"/>
  <c r="J351" i="2"/>
  <c r="K351" i="2"/>
  <c r="I352" i="2"/>
  <c r="J352" i="2"/>
  <c r="K352" i="2"/>
  <c r="I353" i="2"/>
  <c r="J353" i="2"/>
  <c r="K353" i="2"/>
  <c r="I354" i="2"/>
  <c r="J354" i="2"/>
  <c r="K354" i="2"/>
  <c r="I355" i="2"/>
  <c r="J355" i="2"/>
  <c r="K355" i="2"/>
  <c r="I356" i="2"/>
  <c r="J356" i="2"/>
  <c r="K356" i="2"/>
  <c r="I357" i="2"/>
  <c r="J357" i="2"/>
  <c r="K357" i="2"/>
  <c r="I358" i="2"/>
  <c r="J358" i="2"/>
  <c r="K358" i="2"/>
  <c r="I359" i="2"/>
  <c r="J359" i="2"/>
  <c r="K359" i="2"/>
  <c r="I360" i="2"/>
  <c r="J360" i="2"/>
  <c r="K360" i="2"/>
  <c r="I361" i="2"/>
  <c r="J361" i="2"/>
  <c r="K361" i="2"/>
  <c r="I362" i="2"/>
  <c r="J362" i="2"/>
  <c r="K362" i="2"/>
  <c r="I363" i="2"/>
  <c r="J363" i="2"/>
  <c r="K363" i="2"/>
  <c r="I364" i="2"/>
  <c r="J364" i="2"/>
  <c r="K364" i="2"/>
  <c r="I365" i="2"/>
  <c r="J365" i="2"/>
  <c r="K365" i="2"/>
  <c r="I366" i="2"/>
  <c r="J366" i="2"/>
  <c r="K366" i="2"/>
  <c r="I367" i="2"/>
  <c r="J367" i="2"/>
  <c r="K367" i="2"/>
  <c r="I368" i="2"/>
  <c r="J368" i="2"/>
  <c r="K368" i="2"/>
  <c r="I369" i="2"/>
  <c r="J369" i="2"/>
  <c r="K369" i="2"/>
  <c r="I370" i="2"/>
  <c r="J370" i="2"/>
  <c r="K370" i="2"/>
  <c r="I371" i="2"/>
  <c r="J371" i="2"/>
  <c r="K371" i="2"/>
  <c r="I372" i="2"/>
  <c r="J372" i="2"/>
  <c r="K372" i="2"/>
  <c r="I373" i="2"/>
  <c r="J373" i="2"/>
  <c r="K373" i="2"/>
  <c r="I374" i="2"/>
  <c r="J374" i="2"/>
  <c r="K374" i="2"/>
  <c r="I375" i="2"/>
  <c r="J375" i="2"/>
  <c r="K375" i="2"/>
  <c r="I376" i="2"/>
  <c r="J376" i="2"/>
  <c r="K376" i="2"/>
  <c r="I377" i="2"/>
  <c r="J377" i="2"/>
  <c r="K377" i="2"/>
  <c r="I378" i="2"/>
  <c r="J378" i="2"/>
  <c r="K378" i="2"/>
  <c r="I379" i="2"/>
  <c r="J379" i="2"/>
  <c r="K379" i="2"/>
  <c r="I380" i="2"/>
  <c r="J380" i="2"/>
  <c r="K380" i="2"/>
  <c r="I381" i="2"/>
  <c r="J381" i="2"/>
  <c r="K381" i="2"/>
  <c r="I382" i="2"/>
  <c r="J382" i="2"/>
  <c r="K382" i="2"/>
  <c r="I383" i="2"/>
  <c r="J383" i="2"/>
  <c r="K383" i="2"/>
  <c r="I384" i="2"/>
  <c r="J384" i="2"/>
  <c r="K384" i="2"/>
  <c r="I385" i="2"/>
  <c r="J385" i="2"/>
  <c r="K385" i="2"/>
  <c r="I386" i="2"/>
  <c r="J386" i="2"/>
  <c r="K386" i="2"/>
  <c r="I387" i="2"/>
  <c r="J387" i="2"/>
  <c r="K387" i="2"/>
  <c r="I388" i="2"/>
  <c r="J388" i="2"/>
  <c r="K388" i="2"/>
  <c r="I389" i="2"/>
  <c r="J389" i="2"/>
  <c r="K389" i="2"/>
  <c r="I390" i="2"/>
  <c r="J390" i="2"/>
  <c r="K390" i="2"/>
  <c r="I391" i="2"/>
  <c r="J391" i="2"/>
  <c r="K391" i="2"/>
  <c r="I392" i="2"/>
  <c r="J392" i="2"/>
  <c r="K392" i="2"/>
  <c r="I393" i="2"/>
  <c r="J393" i="2"/>
  <c r="K393" i="2"/>
  <c r="I394" i="2"/>
  <c r="J394" i="2"/>
  <c r="K394" i="2"/>
  <c r="I395" i="2"/>
  <c r="J395" i="2"/>
  <c r="K395" i="2"/>
  <c r="I396" i="2"/>
  <c r="J396" i="2"/>
  <c r="K396" i="2"/>
  <c r="I397" i="2"/>
  <c r="J397" i="2"/>
  <c r="K397" i="2"/>
  <c r="I398" i="2"/>
  <c r="J398" i="2"/>
  <c r="K398" i="2"/>
  <c r="I399" i="2"/>
  <c r="J399" i="2"/>
  <c r="K399" i="2"/>
  <c r="I400" i="2"/>
  <c r="J400" i="2"/>
  <c r="K400" i="2"/>
  <c r="I401" i="2"/>
  <c r="J401" i="2"/>
  <c r="K401" i="2"/>
  <c r="I402" i="2"/>
  <c r="J402" i="2"/>
  <c r="K402" i="2"/>
  <c r="I403" i="2"/>
  <c r="J403" i="2"/>
  <c r="K403" i="2"/>
  <c r="I404" i="2"/>
  <c r="J404" i="2"/>
  <c r="K404" i="2"/>
  <c r="I405" i="2"/>
  <c r="J405" i="2"/>
  <c r="K405" i="2"/>
  <c r="I406" i="2"/>
  <c r="J406" i="2"/>
  <c r="K406" i="2"/>
  <c r="I407" i="2"/>
  <c r="J407" i="2"/>
  <c r="K407" i="2"/>
  <c r="I408" i="2"/>
  <c r="J408" i="2"/>
  <c r="K408" i="2"/>
  <c r="I409" i="2"/>
  <c r="J409" i="2"/>
  <c r="K409" i="2"/>
  <c r="I410" i="2"/>
  <c r="J410" i="2"/>
  <c r="K410" i="2"/>
  <c r="I411" i="2"/>
  <c r="J411" i="2"/>
  <c r="K411" i="2"/>
  <c r="I412" i="2"/>
  <c r="J412" i="2"/>
  <c r="K412" i="2"/>
  <c r="I413" i="2"/>
  <c r="J413" i="2"/>
  <c r="K413" i="2"/>
  <c r="I414" i="2"/>
  <c r="J414" i="2"/>
  <c r="K414" i="2"/>
  <c r="I415" i="2"/>
  <c r="J415" i="2"/>
  <c r="K415" i="2"/>
  <c r="I416" i="2"/>
  <c r="J416" i="2"/>
  <c r="K416" i="2"/>
  <c r="I417" i="2"/>
  <c r="J417" i="2"/>
  <c r="K417" i="2"/>
  <c r="I418" i="2"/>
  <c r="J418" i="2"/>
  <c r="K418" i="2"/>
  <c r="I419" i="2"/>
  <c r="J419" i="2"/>
  <c r="K419" i="2"/>
  <c r="I420" i="2"/>
  <c r="J420" i="2"/>
  <c r="K420" i="2"/>
  <c r="I421" i="2"/>
  <c r="J421" i="2"/>
  <c r="K421" i="2"/>
  <c r="I422" i="2"/>
  <c r="J422" i="2"/>
  <c r="K422" i="2"/>
  <c r="I423" i="2"/>
  <c r="J423" i="2"/>
  <c r="K423" i="2"/>
  <c r="I424" i="2"/>
  <c r="J424" i="2"/>
  <c r="K424" i="2"/>
  <c r="I425" i="2"/>
  <c r="J425" i="2"/>
  <c r="K425" i="2"/>
  <c r="I426" i="2"/>
  <c r="J426" i="2"/>
  <c r="K426" i="2"/>
  <c r="I427" i="2"/>
  <c r="J427" i="2"/>
  <c r="K427" i="2"/>
  <c r="I428" i="2"/>
  <c r="J428" i="2"/>
  <c r="K428" i="2"/>
  <c r="I429" i="2"/>
  <c r="J429" i="2"/>
  <c r="K429" i="2"/>
  <c r="I430" i="2"/>
  <c r="J430" i="2"/>
  <c r="K430" i="2"/>
  <c r="I431" i="2"/>
  <c r="J431" i="2"/>
  <c r="K431" i="2"/>
  <c r="I432" i="2"/>
  <c r="J432" i="2"/>
  <c r="K432" i="2"/>
  <c r="I433" i="2"/>
  <c r="J433" i="2"/>
  <c r="K433" i="2"/>
  <c r="I434" i="2"/>
  <c r="J434" i="2"/>
  <c r="K434" i="2"/>
  <c r="I435" i="2"/>
  <c r="J435" i="2"/>
  <c r="K435" i="2"/>
  <c r="I436" i="2"/>
  <c r="J436" i="2"/>
  <c r="K436" i="2"/>
  <c r="I437" i="2"/>
  <c r="J437" i="2"/>
  <c r="K437" i="2"/>
  <c r="I438" i="2"/>
  <c r="J438" i="2"/>
  <c r="K438" i="2"/>
  <c r="I439" i="2"/>
  <c r="J439" i="2"/>
  <c r="K439" i="2"/>
  <c r="I440" i="2"/>
  <c r="J440" i="2"/>
  <c r="K440" i="2"/>
  <c r="I441" i="2"/>
  <c r="J441" i="2"/>
  <c r="K441" i="2"/>
  <c r="I442" i="2"/>
  <c r="J442" i="2"/>
  <c r="K442" i="2"/>
  <c r="I443" i="2"/>
  <c r="J443" i="2"/>
  <c r="K443" i="2"/>
  <c r="I444" i="2"/>
  <c r="J444" i="2"/>
  <c r="K444" i="2"/>
  <c r="I445" i="2"/>
  <c r="J445" i="2"/>
  <c r="K445" i="2"/>
  <c r="I446" i="2"/>
  <c r="J446" i="2"/>
  <c r="K446" i="2"/>
  <c r="I447" i="2"/>
  <c r="J447" i="2"/>
  <c r="K447" i="2"/>
  <c r="I448" i="2"/>
  <c r="J448" i="2"/>
  <c r="K448" i="2"/>
  <c r="I449" i="2"/>
  <c r="J449" i="2"/>
  <c r="K449" i="2"/>
  <c r="I450" i="2"/>
  <c r="J450" i="2"/>
  <c r="K450" i="2"/>
  <c r="I451" i="2"/>
  <c r="J451" i="2"/>
  <c r="K451" i="2"/>
  <c r="I452" i="2"/>
  <c r="J452" i="2"/>
  <c r="K452" i="2"/>
  <c r="I453" i="2"/>
  <c r="J453" i="2"/>
  <c r="K453" i="2"/>
  <c r="I454" i="2"/>
  <c r="J454" i="2"/>
  <c r="K454" i="2"/>
  <c r="I455" i="2"/>
  <c r="J455" i="2"/>
  <c r="K455" i="2"/>
  <c r="I456" i="2"/>
  <c r="J456" i="2"/>
  <c r="K456" i="2"/>
  <c r="I457" i="2"/>
  <c r="J457" i="2"/>
  <c r="K457" i="2"/>
  <c r="I458" i="2"/>
  <c r="J458" i="2"/>
  <c r="K458" i="2"/>
  <c r="I459" i="2"/>
  <c r="J459" i="2"/>
  <c r="K459" i="2"/>
  <c r="I460" i="2"/>
  <c r="J460" i="2"/>
  <c r="K460" i="2"/>
  <c r="I461" i="2"/>
  <c r="J461" i="2"/>
  <c r="K461" i="2"/>
  <c r="I462" i="2"/>
  <c r="J462" i="2"/>
  <c r="K462" i="2"/>
  <c r="I463" i="2"/>
  <c r="J463" i="2"/>
  <c r="K463" i="2"/>
  <c r="I464" i="2"/>
  <c r="J464" i="2"/>
  <c r="K464" i="2"/>
  <c r="I465" i="2"/>
  <c r="J465" i="2"/>
  <c r="K465" i="2"/>
  <c r="I466" i="2"/>
  <c r="J466" i="2"/>
  <c r="K466" i="2"/>
  <c r="I467" i="2"/>
  <c r="J467" i="2"/>
  <c r="K467" i="2"/>
  <c r="I468" i="2"/>
  <c r="J468" i="2"/>
  <c r="K468" i="2"/>
  <c r="I469" i="2"/>
  <c r="J469" i="2"/>
  <c r="K469" i="2"/>
  <c r="I470" i="2"/>
  <c r="J470" i="2"/>
  <c r="K470" i="2"/>
  <c r="I471" i="2"/>
  <c r="J471" i="2"/>
  <c r="K471" i="2"/>
  <c r="I472" i="2"/>
  <c r="J472" i="2"/>
  <c r="K472" i="2"/>
  <c r="I473" i="2"/>
  <c r="J473" i="2"/>
  <c r="K473" i="2"/>
  <c r="I474" i="2"/>
  <c r="J474" i="2"/>
  <c r="K474" i="2"/>
  <c r="I475" i="2"/>
  <c r="J475" i="2"/>
  <c r="K475" i="2"/>
  <c r="I476" i="2"/>
  <c r="J476" i="2"/>
  <c r="K476" i="2"/>
  <c r="I477" i="2"/>
  <c r="J477" i="2"/>
  <c r="K477" i="2"/>
  <c r="I478" i="2"/>
  <c r="J478" i="2"/>
  <c r="K478" i="2"/>
  <c r="I479" i="2"/>
  <c r="J479" i="2"/>
  <c r="K479" i="2"/>
  <c r="I480" i="2"/>
  <c r="J480" i="2"/>
  <c r="K480" i="2"/>
  <c r="I481" i="2"/>
  <c r="J481" i="2"/>
  <c r="K481" i="2"/>
  <c r="I482" i="2"/>
  <c r="J482" i="2"/>
  <c r="K482" i="2"/>
  <c r="I483" i="2"/>
  <c r="J483" i="2"/>
  <c r="K483" i="2"/>
  <c r="I484" i="2"/>
  <c r="J484" i="2"/>
  <c r="K484" i="2"/>
  <c r="I485" i="2"/>
  <c r="J485" i="2"/>
  <c r="K485" i="2"/>
  <c r="I486" i="2"/>
  <c r="J486" i="2"/>
  <c r="K486" i="2"/>
  <c r="I487" i="2"/>
  <c r="J487" i="2"/>
  <c r="K487" i="2"/>
  <c r="I488" i="2"/>
  <c r="J488" i="2"/>
  <c r="K488" i="2"/>
  <c r="I489" i="2"/>
  <c r="J489" i="2"/>
  <c r="K489" i="2"/>
  <c r="I490" i="2"/>
  <c r="J490" i="2"/>
  <c r="K490" i="2"/>
  <c r="I491" i="2"/>
  <c r="J491" i="2"/>
  <c r="K491" i="2"/>
  <c r="I492" i="2"/>
  <c r="J492" i="2"/>
  <c r="K492" i="2"/>
  <c r="I493" i="2"/>
  <c r="J493" i="2"/>
  <c r="K493" i="2"/>
  <c r="I494" i="2"/>
  <c r="J494" i="2"/>
  <c r="K494" i="2"/>
  <c r="I495" i="2"/>
  <c r="J495" i="2"/>
  <c r="K495" i="2"/>
  <c r="I496" i="2"/>
  <c r="J496" i="2"/>
  <c r="K496" i="2"/>
  <c r="I497" i="2"/>
  <c r="J497" i="2"/>
  <c r="K497" i="2"/>
  <c r="I498" i="2"/>
  <c r="J498" i="2"/>
  <c r="K498" i="2"/>
  <c r="I499" i="2"/>
  <c r="J499" i="2"/>
  <c r="K499" i="2"/>
  <c r="I500" i="2"/>
  <c r="J500" i="2"/>
  <c r="K500" i="2"/>
  <c r="I501" i="2"/>
  <c r="J501" i="2"/>
  <c r="K501" i="2"/>
  <c r="I502" i="2"/>
  <c r="J502" i="2"/>
  <c r="K502" i="2"/>
  <c r="I503" i="2"/>
  <c r="J503" i="2"/>
  <c r="K503" i="2"/>
  <c r="I504" i="2"/>
  <c r="J504" i="2"/>
  <c r="K504" i="2"/>
  <c r="I505" i="2"/>
  <c r="J505" i="2"/>
  <c r="K505" i="2"/>
  <c r="I506" i="2"/>
  <c r="J506" i="2"/>
  <c r="K506" i="2"/>
  <c r="I507" i="2"/>
  <c r="J507" i="2"/>
  <c r="K507" i="2"/>
  <c r="I508" i="2"/>
  <c r="J508" i="2"/>
  <c r="K508" i="2"/>
  <c r="I509" i="2"/>
  <c r="J509" i="2"/>
  <c r="K509" i="2"/>
  <c r="I510" i="2"/>
  <c r="J510" i="2"/>
  <c r="K510" i="2"/>
  <c r="I511" i="2"/>
  <c r="J511" i="2"/>
  <c r="K511" i="2"/>
  <c r="I512" i="2"/>
  <c r="J512" i="2"/>
  <c r="K512" i="2"/>
  <c r="I513" i="2"/>
  <c r="J513" i="2"/>
  <c r="K513" i="2"/>
  <c r="I514" i="2"/>
  <c r="J514" i="2"/>
  <c r="K514" i="2"/>
  <c r="I515" i="2"/>
  <c r="J515" i="2"/>
  <c r="K515" i="2"/>
  <c r="I516" i="2"/>
  <c r="J516" i="2"/>
  <c r="K516" i="2"/>
  <c r="I517" i="2"/>
  <c r="J517" i="2"/>
  <c r="K517" i="2"/>
  <c r="I518" i="2"/>
  <c r="J518" i="2"/>
  <c r="K518" i="2"/>
  <c r="I519" i="2"/>
  <c r="J519" i="2"/>
  <c r="K519" i="2"/>
  <c r="I520" i="2"/>
  <c r="J520" i="2"/>
  <c r="K520" i="2"/>
  <c r="I521" i="2"/>
  <c r="J521" i="2"/>
  <c r="K521" i="2"/>
  <c r="I522" i="2"/>
  <c r="J522" i="2"/>
  <c r="K522" i="2"/>
  <c r="I523" i="2"/>
  <c r="J523" i="2"/>
  <c r="K523" i="2"/>
  <c r="I524" i="2"/>
  <c r="J524" i="2"/>
  <c r="K524" i="2"/>
  <c r="I525" i="2"/>
  <c r="J525" i="2"/>
  <c r="K525" i="2"/>
  <c r="I526" i="2"/>
  <c r="J526" i="2"/>
  <c r="K526" i="2"/>
  <c r="I527" i="2"/>
  <c r="J527" i="2"/>
  <c r="K527" i="2"/>
  <c r="I528" i="2"/>
  <c r="J528" i="2"/>
  <c r="K528" i="2"/>
  <c r="I529" i="2"/>
  <c r="J529" i="2"/>
  <c r="K529" i="2"/>
  <c r="I530" i="2"/>
  <c r="J530" i="2"/>
  <c r="K530" i="2"/>
  <c r="I531" i="2"/>
  <c r="J531" i="2"/>
  <c r="K531" i="2"/>
  <c r="I532" i="2"/>
  <c r="J532" i="2"/>
  <c r="K532" i="2"/>
  <c r="I533" i="2"/>
  <c r="J533" i="2"/>
  <c r="K533" i="2"/>
  <c r="I534" i="2"/>
  <c r="J534" i="2"/>
  <c r="K534" i="2"/>
  <c r="I535" i="2"/>
  <c r="J535" i="2"/>
  <c r="K535" i="2"/>
  <c r="I536" i="2"/>
  <c r="J536" i="2"/>
  <c r="K536" i="2"/>
  <c r="I537" i="2"/>
  <c r="J537" i="2"/>
  <c r="K537" i="2"/>
  <c r="I538" i="2"/>
  <c r="J538" i="2"/>
  <c r="K538" i="2"/>
  <c r="I539" i="2"/>
  <c r="J539" i="2"/>
  <c r="K539" i="2"/>
  <c r="I540" i="2"/>
  <c r="J540" i="2"/>
  <c r="K540" i="2"/>
  <c r="I541" i="2"/>
  <c r="J541" i="2"/>
  <c r="K541" i="2"/>
  <c r="I542" i="2"/>
  <c r="J542" i="2"/>
  <c r="K542" i="2"/>
  <c r="I543" i="2"/>
  <c r="J543" i="2"/>
  <c r="K543" i="2"/>
  <c r="I544" i="2"/>
  <c r="J544" i="2"/>
  <c r="K544" i="2"/>
  <c r="I545" i="2"/>
  <c r="J545" i="2"/>
  <c r="K545" i="2"/>
  <c r="I546" i="2"/>
  <c r="J546" i="2"/>
  <c r="K546" i="2"/>
  <c r="I547" i="2"/>
  <c r="J547" i="2"/>
  <c r="K547" i="2"/>
  <c r="I548" i="2"/>
  <c r="J548" i="2"/>
  <c r="K548" i="2"/>
  <c r="I549" i="2"/>
  <c r="J549" i="2"/>
  <c r="K549" i="2"/>
  <c r="I550" i="2"/>
  <c r="J550" i="2"/>
  <c r="K550" i="2"/>
  <c r="I551" i="2"/>
  <c r="J551" i="2"/>
  <c r="K551" i="2"/>
  <c r="I552" i="2"/>
  <c r="J552" i="2"/>
  <c r="K552" i="2"/>
  <c r="I553" i="2"/>
  <c r="J553" i="2"/>
  <c r="K553" i="2"/>
  <c r="I554" i="2"/>
  <c r="J554" i="2"/>
  <c r="K554" i="2"/>
  <c r="I555" i="2"/>
  <c r="J555" i="2"/>
  <c r="K555" i="2"/>
  <c r="I556" i="2"/>
  <c r="J556" i="2"/>
  <c r="K556" i="2"/>
  <c r="I557" i="2"/>
  <c r="J557" i="2"/>
  <c r="K557" i="2"/>
  <c r="I558" i="2"/>
  <c r="J558" i="2"/>
  <c r="K558" i="2"/>
  <c r="I559" i="2"/>
  <c r="J559" i="2"/>
  <c r="K559" i="2"/>
  <c r="I560" i="2"/>
  <c r="J560" i="2"/>
  <c r="K560" i="2"/>
  <c r="I561" i="2"/>
  <c r="J561" i="2"/>
  <c r="K561" i="2"/>
  <c r="I562" i="2"/>
  <c r="J562" i="2"/>
  <c r="K562" i="2"/>
  <c r="I563" i="2"/>
  <c r="J563" i="2"/>
  <c r="K563" i="2"/>
  <c r="I564" i="2"/>
  <c r="J564" i="2"/>
  <c r="K564" i="2"/>
  <c r="I565" i="2"/>
  <c r="J565" i="2"/>
  <c r="K565" i="2"/>
  <c r="I566" i="2"/>
  <c r="J566" i="2"/>
  <c r="K566" i="2"/>
  <c r="I567" i="2"/>
  <c r="J567" i="2"/>
  <c r="K567" i="2"/>
  <c r="I568" i="2"/>
  <c r="J568" i="2"/>
  <c r="K568" i="2"/>
  <c r="I569" i="2"/>
  <c r="J569" i="2"/>
  <c r="K569" i="2"/>
  <c r="I570" i="2"/>
  <c r="J570" i="2"/>
  <c r="K570" i="2"/>
  <c r="I571" i="2"/>
  <c r="J571" i="2"/>
  <c r="K571" i="2"/>
  <c r="I572" i="2"/>
  <c r="J572" i="2"/>
  <c r="K572" i="2"/>
  <c r="I573" i="2"/>
  <c r="J573" i="2"/>
  <c r="K573" i="2"/>
  <c r="I574" i="2"/>
  <c r="J574" i="2"/>
  <c r="K574" i="2"/>
  <c r="I575" i="2"/>
  <c r="J575" i="2"/>
  <c r="K575" i="2"/>
  <c r="I576" i="2"/>
  <c r="J576" i="2"/>
  <c r="K576" i="2"/>
  <c r="I577" i="2"/>
  <c r="J577" i="2"/>
  <c r="K577" i="2"/>
  <c r="I578" i="2"/>
  <c r="J578" i="2"/>
  <c r="K578" i="2"/>
  <c r="I579" i="2"/>
  <c r="J579" i="2"/>
  <c r="K579" i="2"/>
  <c r="I580" i="2"/>
  <c r="J580" i="2"/>
  <c r="K580" i="2"/>
  <c r="I581" i="2"/>
  <c r="J581" i="2"/>
  <c r="K581" i="2"/>
  <c r="I582" i="2"/>
  <c r="J582" i="2"/>
  <c r="K582" i="2"/>
  <c r="I583" i="2"/>
  <c r="J583" i="2"/>
  <c r="K583" i="2"/>
  <c r="I584" i="2"/>
  <c r="J584" i="2"/>
  <c r="K584" i="2"/>
  <c r="I585" i="2"/>
  <c r="J585" i="2"/>
  <c r="K585" i="2"/>
  <c r="I586" i="2"/>
  <c r="J586" i="2"/>
  <c r="K586" i="2"/>
  <c r="I587" i="2"/>
  <c r="J587" i="2"/>
  <c r="K587" i="2"/>
  <c r="I588" i="2"/>
  <c r="J588" i="2"/>
  <c r="K588" i="2"/>
  <c r="I589" i="2"/>
  <c r="J589" i="2"/>
  <c r="K589" i="2"/>
  <c r="I590" i="2"/>
  <c r="J590" i="2"/>
  <c r="K590" i="2"/>
  <c r="I591" i="2"/>
  <c r="J591" i="2"/>
  <c r="K591" i="2"/>
  <c r="I592" i="2"/>
  <c r="J592" i="2"/>
  <c r="K592" i="2"/>
  <c r="I593" i="2"/>
  <c r="J593" i="2"/>
  <c r="K593" i="2"/>
  <c r="I594" i="2"/>
  <c r="J594" i="2"/>
  <c r="K594" i="2"/>
  <c r="I595" i="2"/>
  <c r="J595" i="2"/>
  <c r="K595" i="2"/>
  <c r="I596" i="2"/>
  <c r="J596" i="2"/>
  <c r="K596" i="2"/>
  <c r="I597" i="2"/>
  <c r="J597" i="2"/>
  <c r="K597" i="2"/>
  <c r="I598" i="2"/>
  <c r="J598" i="2"/>
  <c r="K598" i="2"/>
  <c r="I599" i="2"/>
  <c r="J599" i="2"/>
  <c r="K599" i="2"/>
  <c r="I600" i="2"/>
  <c r="J600" i="2"/>
  <c r="K600" i="2"/>
  <c r="I601" i="2"/>
  <c r="J601" i="2"/>
  <c r="K601" i="2"/>
  <c r="I602" i="2"/>
  <c r="J602" i="2"/>
  <c r="K602" i="2"/>
  <c r="I603" i="2"/>
  <c r="J603" i="2"/>
  <c r="K603" i="2"/>
  <c r="I604" i="2"/>
  <c r="J604" i="2"/>
  <c r="K604" i="2"/>
  <c r="I605" i="2"/>
  <c r="J605" i="2"/>
  <c r="K605" i="2"/>
  <c r="I606" i="2"/>
  <c r="J606" i="2"/>
  <c r="K606" i="2"/>
  <c r="I607" i="2"/>
  <c r="J607" i="2"/>
  <c r="K607" i="2"/>
  <c r="I608" i="2"/>
  <c r="J608" i="2"/>
  <c r="K608" i="2"/>
  <c r="I609" i="2"/>
  <c r="J609" i="2"/>
  <c r="K609" i="2"/>
  <c r="I610" i="2"/>
  <c r="J610" i="2"/>
  <c r="K610" i="2"/>
  <c r="I611" i="2"/>
  <c r="J611" i="2"/>
  <c r="K611" i="2"/>
  <c r="I612" i="2"/>
  <c r="J612" i="2"/>
  <c r="K612" i="2"/>
  <c r="I613" i="2"/>
  <c r="J613" i="2"/>
  <c r="K613" i="2"/>
  <c r="I614" i="2"/>
  <c r="J614" i="2"/>
  <c r="K614" i="2"/>
  <c r="I615" i="2"/>
  <c r="J615" i="2"/>
  <c r="K615" i="2"/>
  <c r="I616" i="2"/>
  <c r="J616" i="2"/>
  <c r="K616" i="2"/>
  <c r="I617" i="2"/>
  <c r="J617" i="2"/>
  <c r="K617" i="2"/>
  <c r="I618" i="2"/>
  <c r="J618" i="2"/>
  <c r="K618" i="2"/>
  <c r="I619" i="2"/>
  <c r="J619" i="2"/>
  <c r="K619" i="2"/>
  <c r="I620" i="2"/>
  <c r="J620" i="2"/>
  <c r="K620" i="2"/>
  <c r="I621" i="2"/>
  <c r="J621" i="2"/>
  <c r="K621" i="2"/>
  <c r="I622" i="2"/>
  <c r="J622" i="2"/>
  <c r="K622" i="2"/>
  <c r="I623" i="2"/>
  <c r="J623" i="2"/>
  <c r="K623" i="2"/>
  <c r="I624" i="2"/>
  <c r="J624" i="2"/>
  <c r="K624" i="2"/>
  <c r="I625" i="2"/>
  <c r="J625" i="2"/>
  <c r="K625" i="2"/>
  <c r="I626" i="2"/>
  <c r="J626" i="2"/>
  <c r="K626" i="2"/>
  <c r="I627" i="2"/>
  <c r="J627" i="2"/>
  <c r="K627" i="2"/>
  <c r="I628" i="2"/>
  <c r="J628" i="2"/>
  <c r="K628" i="2"/>
  <c r="I629" i="2"/>
  <c r="J629" i="2"/>
  <c r="K629" i="2"/>
  <c r="I630" i="2"/>
  <c r="J630" i="2"/>
  <c r="K630" i="2"/>
  <c r="I631" i="2"/>
  <c r="J631" i="2"/>
  <c r="K631" i="2"/>
  <c r="I632" i="2"/>
  <c r="J632" i="2"/>
  <c r="K632" i="2"/>
  <c r="I633" i="2"/>
  <c r="J633" i="2"/>
  <c r="K633" i="2"/>
  <c r="I634" i="2"/>
  <c r="J634" i="2"/>
  <c r="K634" i="2"/>
  <c r="I635" i="2"/>
  <c r="J635" i="2"/>
  <c r="K635" i="2"/>
  <c r="I636" i="2"/>
  <c r="J636" i="2"/>
  <c r="K636" i="2"/>
  <c r="I637" i="2"/>
  <c r="J637" i="2"/>
  <c r="K637" i="2"/>
  <c r="I638" i="2"/>
  <c r="J638" i="2"/>
  <c r="K638" i="2"/>
  <c r="I639" i="2"/>
  <c r="J639" i="2"/>
  <c r="K639" i="2"/>
  <c r="I640" i="2"/>
  <c r="J640" i="2"/>
  <c r="K640" i="2"/>
  <c r="I641" i="2"/>
  <c r="J641" i="2"/>
  <c r="K641" i="2"/>
  <c r="I642" i="2"/>
  <c r="J642" i="2"/>
  <c r="K642" i="2"/>
  <c r="I643" i="2"/>
  <c r="J643" i="2"/>
  <c r="K643" i="2"/>
  <c r="I644" i="2"/>
  <c r="J644" i="2"/>
  <c r="K644" i="2"/>
  <c r="I645" i="2"/>
  <c r="J645" i="2"/>
  <c r="K645" i="2"/>
  <c r="I646" i="2"/>
  <c r="J646" i="2"/>
  <c r="K646" i="2"/>
  <c r="I647" i="2"/>
  <c r="J647" i="2"/>
  <c r="K647" i="2"/>
  <c r="I648" i="2"/>
  <c r="J648" i="2"/>
  <c r="K648" i="2"/>
  <c r="I649" i="2"/>
  <c r="J649" i="2"/>
  <c r="K649" i="2"/>
  <c r="I650" i="2"/>
  <c r="J650" i="2"/>
  <c r="K650" i="2"/>
  <c r="I651" i="2"/>
  <c r="J651" i="2"/>
  <c r="K651" i="2"/>
  <c r="I652" i="2"/>
  <c r="J652" i="2"/>
  <c r="K652" i="2"/>
  <c r="I653" i="2"/>
  <c r="J653" i="2"/>
  <c r="K653" i="2"/>
  <c r="I654" i="2"/>
  <c r="J654" i="2"/>
  <c r="K654" i="2"/>
  <c r="I655" i="2"/>
  <c r="J655" i="2"/>
  <c r="K655" i="2"/>
  <c r="I656" i="2"/>
  <c r="J656" i="2"/>
  <c r="K656" i="2"/>
  <c r="I657" i="2"/>
  <c r="J657" i="2"/>
  <c r="K657" i="2"/>
  <c r="I658" i="2"/>
  <c r="J658" i="2"/>
  <c r="K658" i="2"/>
  <c r="I659" i="2"/>
  <c r="J659" i="2"/>
  <c r="K659" i="2"/>
  <c r="I660" i="2"/>
  <c r="J660" i="2"/>
  <c r="K660" i="2"/>
  <c r="I661" i="2"/>
  <c r="J661" i="2"/>
  <c r="K661" i="2"/>
  <c r="I662" i="2"/>
  <c r="J662" i="2"/>
  <c r="K662" i="2"/>
  <c r="I663" i="2"/>
  <c r="J663" i="2"/>
  <c r="K663" i="2"/>
  <c r="I664" i="2"/>
  <c r="J664" i="2"/>
  <c r="K664" i="2"/>
  <c r="I665" i="2"/>
  <c r="J665" i="2"/>
  <c r="K665" i="2"/>
  <c r="I666" i="2"/>
  <c r="J666" i="2"/>
  <c r="K666" i="2"/>
  <c r="I667" i="2"/>
  <c r="J667" i="2"/>
  <c r="K667" i="2"/>
  <c r="I668" i="2"/>
  <c r="J668" i="2"/>
  <c r="K668" i="2"/>
  <c r="I669" i="2"/>
  <c r="J669" i="2"/>
  <c r="K669" i="2"/>
  <c r="I670" i="2"/>
  <c r="J670" i="2"/>
  <c r="K670" i="2"/>
  <c r="I671" i="2"/>
  <c r="J671" i="2"/>
  <c r="K671" i="2"/>
  <c r="I672" i="2"/>
  <c r="J672" i="2"/>
  <c r="K672" i="2"/>
  <c r="I673" i="2"/>
  <c r="J673" i="2"/>
  <c r="K673" i="2"/>
  <c r="I674" i="2"/>
  <c r="J674" i="2"/>
  <c r="K674" i="2"/>
  <c r="I675" i="2"/>
  <c r="J675" i="2"/>
  <c r="K675" i="2"/>
  <c r="I676" i="2"/>
  <c r="J676" i="2"/>
  <c r="K676" i="2"/>
  <c r="I677" i="2"/>
  <c r="J677" i="2"/>
  <c r="K677" i="2"/>
  <c r="I678" i="2"/>
  <c r="J678" i="2"/>
  <c r="K678" i="2"/>
  <c r="I679" i="2"/>
  <c r="J679" i="2"/>
  <c r="K679" i="2"/>
  <c r="I680" i="2"/>
  <c r="J680" i="2"/>
  <c r="K680" i="2"/>
  <c r="I681" i="2"/>
  <c r="J681" i="2"/>
  <c r="K681" i="2"/>
  <c r="I682" i="2"/>
  <c r="J682" i="2"/>
  <c r="K682" i="2"/>
  <c r="I683" i="2"/>
  <c r="J683" i="2"/>
  <c r="K683" i="2"/>
  <c r="I684" i="2"/>
  <c r="J684" i="2"/>
  <c r="K684" i="2"/>
  <c r="I685" i="2"/>
  <c r="J685" i="2"/>
  <c r="K685" i="2"/>
  <c r="I686" i="2"/>
  <c r="J686" i="2"/>
  <c r="K686" i="2"/>
  <c r="I687" i="2"/>
  <c r="J687" i="2"/>
  <c r="K687" i="2"/>
  <c r="I688" i="2"/>
  <c r="J688" i="2"/>
  <c r="K688" i="2"/>
  <c r="I689" i="2"/>
  <c r="J689" i="2"/>
  <c r="K689" i="2"/>
  <c r="I690" i="2"/>
  <c r="J690" i="2"/>
  <c r="K690" i="2"/>
  <c r="I691" i="2"/>
  <c r="J691" i="2"/>
  <c r="K691" i="2"/>
  <c r="I692" i="2"/>
  <c r="J692" i="2"/>
  <c r="K692" i="2"/>
  <c r="I693" i="2"/>
  <c r="J693" i="2"/>
  <c r="K693" i="2"/>
  <c r="I694" i="2"/>
  <c r="J694" i="2"/>
  <c r="K694" i="2"/>
  <c r="I695" i="2"/>
  <c r="J695" i="2"/>
  <c r="K695" i="2"/>
  <c r="I696" i="2"/>
  <c r="J696" i="2"/>
  <c r="K696" i="2"/>
  <c r="I697" i="2"/>
  <c r="J697" i="2"/>
  <c r="K697" i="2"/>
  <c r="I698" i="2"/>
  <c r="J698" i="2"/>
  <c r="K698" i="2"/>
  <c r="I699" i="2"/>
  <c r="J699" i="2"/>
  <c r="K699" i="2"/>
  <c r="I700" i="2"/>
  <c r="J700" i="2"/>
  <c r="K700" i="2"/>
  <c r="I701" i="2"/>
  <c r="J701" i="2"/>
  <c r="K701" i="2"/>
  <c r="I702" i="2"/>
  <c r="J702" i="2"/>
  <c r="K702" i="2"/>
  <c r="I703" i="2"/>
  <c r="J703" i="2"/>
  <c r="K703" i="2"/>
  <c r="I704" i="2"/>
  <c r="J704" i="2"/>
  <c r="K704" i="2"/>
  <c r="I705" i="2"/>
  <c r="J705" i="2"/>
  <c r="K705" i="2"/>
  <c r="I706" i="2"/>
  <c r="J706" i="2"/>
  <c r="K706" i="2"/>
  <c r="I707" i="2"/>
  <c r="J707" i="2"/>
  <c r="K707" i="2"/>
  <c r="I708" i="2"/>
  <c r="J708" i="2"/>
  <c r="K708" i="2"/>
  <c r="I709" i="2"/>
  <c r="J709" i="2"/>
  <c r="K709" i="2"/>
  <c r="I710" i="2"/>
  <c r="J710" i="2"/>
  <c r="K710" i="2"/>
  <c r="I711" i="2"/>
  <c r="J711" i="2"/>
  <c r="K711" i="2"/>
  <c r="I712" i="2"/>
  <c r="J712" i="2"/>
  <c r="K712" i="2"/>
  <c r="I713" i="2"/>
  <c r="J713" i="2"/>
  <c r="K713" i="2"/>
  <c r="I714" i="2"/>
  <c r="J714" i="2"/>
  <c r="K714" i="2"/>
  <c r="I715" i="2"/>
  <c r="J715" i="2"/>
  <c r="K715" i="2"/>
  <c r="I716" i="2"/>
  <c r="J716" i="2"/>
  <c r="K716" i="2"/>
  <c r="I717" i="2"/>
  <c r="J717" i="2"/>
  <c r="K717" i="2"/>
  <c r="I718" i="2"/>
  <c r="J718" i="2"/>
  <c r="K718" i="2"/>
  <c r="I719" i="2"/>
  <c r="J719" i="2"/>
  <c r="K719" i="2"/>
  <c r="I720" i="2"/>
  <c r="J720" i="2"/>
  <c r="K720" i="2"/>
  <c r="I721" i="2"/>
  <c r="J721" i="2"/>
  <c r="K721" i="2"/>
  <c r="I722" i="2"/>
  <c r="J722" i="2"/>
  <c r="K722" i="2"/>
  <c r="I723" i="2"/>
  <c r="J723" i="2"/>
  <c r="K723" i="2"/>
  <c r="I724" i="2"/>
  <c r="J724" i="2"/>
  <c r="K724" i="2"/>
  <c r="I725" i="2"/>
  <c r="J725" i="2"/>
  <c r="K725" i="2"/>
  <c r="I726" i="2"/>
  <c r="J726" i="2"/>
  <c r="K726" i="2"/>
  <c r="I727" i="2"/>
  <c r="J727" i="2"/>
  <c r="K727" i="2"/>
  <c r="I728" i="2"/>
  <c r="J728" i="2"/>
  <c r="K728" i="2"/>
  <c r="I729" i="2"/>
  <c r="J729" i="2"/>
  <c r="K729" i="2"/>
  <c r="I730" i="2"/>
  <c r="J730" i="2"/>
  <c r="K730" i="2"/>
  <c r="I731" i="2"/>
  <c r="J731" i="2"/>
  <c r="K731" i="2"/>
  <c r="I732" i="2"/>
  <c r="J732" i="2"/>
  <c r="K732" i="2"/>
  <c r="I733" i="2"/>
  <c r="J733" i="2"/>
  <c r="K733" i="2"/>
  <c r="I734" i="2"/>
  <c r="J734" i="2"/>
  <c r="K734" i="2"/>
  <c r="I735" i="2"/>
  <c r="J735" i="2"/>
  <c r="K735" i="2"/>
  <c r="I736" i="2"/>
  <c r="J736" i="2"/>
  <c r="K736" i="2"/>
  <c r="I737" i="2"/>
  <c r="J737" i="2"/>
  <c r="K737" i="2"/>
  <c r="I738" i="2"/>
  <c r="J738" i="2"/>
  <c r="K738" i="2"/>
  <c r="I739" i="2"/>
  <c r="J739" i="2"/>
  <c r="K739" i="2"/>
  <c r="I740" i="2"/>
  <c r="J740" i="2"/>
  <c r="K740" i="2"/>
  <c r="I741" i="2"/>
  <c r="J741" i="2"/>
  <c r="K741" i="2"/>
  <c r="I742" i="2"/>
  <c r="J742" i="2"/>
  <c r="K742" i="2"/>
  <c r="I743" i="2"/>
  <c r="J743" i="2"/>
  <c r="K743" i="2"/>
  <c r="I744" i="2"/>
  <c r="J744" i="2"/>
  <c r="K744" i="2"/>
  <c r="I745" i="2"/>
  <c r="J745" i="2"/>
  <c r="K745" i="2"/>
  <c r="I746" i="2"/>
  <c r="J746" i="2"/>
  <c r="K746" i="2"/>
  <c r="I747" i="2"/>
  <c r="J747" i="2"/>
  <c r="K747" i="2"/>
  <c r="I748" i="2"/>
  <c r="J748" i="2"/>
  <c r="K748" i="2"/>
  <c r="I749" i="2"/>
  <c r="J749" i="2"/>
  <c r="K749" i="2"/>
  <c r="I750" i="2"/>
  <c r="J750" i="2"/>
  <c r="K750" i="2"/>
  <c r="I751" i="2"/>
  <c r="J751" i="2"/>
  <c r="K751" i="2"/>
  <c r="I752" i="2"/>
  <c r="J752" i="2"/>
  <c r="K752" i="2"/>
  <c r="I753" i="2"/>
  <c r="J753" i="2"/>
  <c r="K753" i="2"/>
  <c r="I754" i="2"/>
  <c r="J754" i="2"/>
  <c r="K754" i="2"/>
  <c r="I755" i="2"/>
  <c r="J755" i="2"/>
  <c r="K755" i="2"/>
  <c r="I756" i="2"/>
  <c r="J756" i="2"/>
  <c r="K756" i="2"/>
  <c r="I757" i="2"/>
  <c r="J757" i="2"/>
  <c r="K757" i="2"/>
  <c r="I758" i="2"/>
  <c r="J758" i="2"/>
  <c r="K758" i="2"/>
  <c r="I759" i="2"/>
  <c r="J759" i="2"/>
  <c r="K759" i="2"/>
  <c r="I760" i="2"/>
  <c r="J760" i="2"/>
  <c r="K760" i="2"/>
  <c r="I761" i="2"/>
  <c r="J761" i="2"/>
  <c r="K761" i="2"/>
  <c r="I762" i="2"/>
  <c r="J762" i="2"/>
  <c r="K762" i="2"/>
  <c r="I763" i="2"/>
  <c r="J763" i="2"/>
  <c r="K763" i="2"/>
  <c r="I764" i="2"/>
  <c r="J764" i="2"/>
  <c r="K764" i="2"/>
  <c r="I765" i="2"/>
  <c r="J765" i="2"/>
  <c r="K765" i="2"/>
  <c r="I766" i="2"/>
  <c r="J766" i="2"/>
  <c r="K766" i="2"/>
  <c r="I767" i="2"/>
  <c r="J767" i="2"/>
  <c r="K767" i="2"/>
  <c r="I768" i="2"/>
  <c r="J768" i="2"/>
  <c r="K768" i="2"/>
  <c r="I769" i="2"/>
  <c r="J769" i="2"/>
  <c r="K769" i="2"/>
  <c r="I770" i="2"/>
  <c r="J770" i="2"/>
  <c r="K770" i="2"/>
  <c r="I771" i="2"/>
  <c r="J771" i="2"/>
  <c r="K771" i="2"/>
  <c r="I772" i="2"/>
  <c r="J772" i="2"/>
  <c r="K772" i="2"/>
  <c r="I773" i="2"/>
  <c r="J773" i="2"/>
  <c r="K773" i="2"/>
  <c r="I774" i="2"/>
  <c r="J774" i="2"/>
  <c r="K774" i="2"/>
  <c r="I775" i="2"/>
  <c r="J775" i="2"/>
  <c r="K775" i="2"/>
  <c r="I776" i="2"/>
  <c r="J776" i="2"/>
  <c r="K776" i="2"/>
  <c r="I777" i="2"/>
  <c r="J777" i="2"/>
  <c r="K777" i="2"/>
  <c r="I778" i="2"/>
  <c r="J778" i="2"/>
  <c r="K778" i="2"/>
  <c r="I779" i="2"/>
  <c r="J779" i="2"/>
  <c r="K779" i="2"/>
  <c r="I780" i="2"/>
  <c r="J780" i="2"/>
  <c r="K780" i="2"/>
  <c r="I781" i="2"/>
  <c r="J781" i="2"/>
  <c r="K781" i="2"/>
  <c r="I782" i="2"/>
  <c r="J782" i="2"/>
  <c r="K782" i="2"/>
  <c r="I783" i="2"/>
  <c r="J783" i="2"/>
  <c r="K783" i="2"/>
  <c r="I784" i="2"/>
  <c r="J784" i="2"/>
  <c r="K784" i="2"/>
  <c r="I785" i="2"/>
  <c r="J785" i="2"/>
  <c r="K785" i="2"/>
  <c r="I786" i="2"/>
  <c r="J786" i="2"/>
  <c r="K786" i="2"/>
  <c r="I787" i="2"/>
  <c r="J787" i="2"/>
  <c r="K787" i="2"/>
  <c r="I788" i="2"/>
  <c r="J788" i="2"/>
  <c r="K788" i="2"/>
  <c r="I789" i="2"/>
  <c r="J789" i="2"/>
  <c r="K789" i="2"/>
  <c r="I790" i="2"/>
  <c r="J790" i="2"/>
  <c r="K790" i="2"/>
  <c r="I791" i="2"/>
  <c r="J791" i="2"/>
  <c r="K791" i="2"/>
  <c r="I792" i="2"/>
  <c r="J792" i="2"/>
  <c r="K792" i="2"/>
  <c r="I793" i="2"/>
  <c r="J793" i="2"/>
  <c r="K793" i="2"/>
  <c r="I794" i="2"/>
  <c r="J794" i="2"/>
  <c r="K794" i="2"/>
  <c r="I795" i="2"/>
  <c r="J795" i="2"/>
  <c r="K795" i="2"/>
  <c r="I796" i="2"/>
  <c r="J796" i="2"/>
  <c r="K796" i="2"/>
  <c r="I797" i="2"/>
  <c r="J797" i="2"/>
  <c r="K797" i="2"/>
  <c r="I798" i="2"/>
  <c r="J798" i="2"/>
  <c r="K798" i="2"/>
  <c r="I799" i="2"/>
  <c r="J799" i="2"/>
  <c r="K799" i="2"/>
  <c r="I800" i="2"/>
  <c r="J800" i="2"/>
  <c r="K800" i="2"/>
  <c r="I801" i="2"/>
  <c r="J801" i="2"/>
  <c r="K801" i="2"/>
  <c r="I802" i="2"/>
  <c r="J802" i="2"/>
  <c r="K802" i="2"/>
  <c r="I803" i="2"/>
  <c r="J803" i="2"/>
  <c r="K803" i="2"/>
  <c r="I804" i="2"/>
  <c r="J804" i="2"/>
  <c r="K804" i="2"/>
  <c r="I805" i="2"/>
  <c r="J805" i="2"/>
  <c r="K805" i="2"/>
  <c r="I806" i="2"/>
  <c r="J806" i="2"/>
  <c r="K806" i="2"/>
  <c r="I807" i="2"/>
  <c r="J807" i="2"/>
  <c r="K807" i="2"/>
  <c r="I808" i="2"/>
  <c r="J808" i="2"/>
  <c r="K808" i="2"/>
  <c r="I809" i="2"/>
  <c r="J809" i="2"/>
  <c r="K809" i="2"/>
  <c r="I810" i="2"/>
  <c r="J810" i="2"/>
  <c r="K810" i="2"/>
  <c r="I811" i="2"/>
  <c r="J811" i="2"/>
  <c r="K811" i="2"/>
  <c r="I812" i="2"/>
  <c r="J812" i="2"/>
  <c r="K812" i="2"/>
  <c r="I813" i="2"/>
  <c r="J813" i="2"/>
  <c r="K813" i="2"/>
  <c r="I814" i="2"/>
  <c r="J814" i="2"/>
  <c r="K814" i="2"/>
  <c r="I815" i="2"/>
  <c r="J815" i="2"/>
  <c r="K815" i="2"/>
  <c r="I816" i="2"/>
  <c r="J816" i="2"/>
  <c r="K816" i="2"/>
  <c r="I817" i="2"/>
  <c r="J817" i="2"/>
  <c r="K817" i="2"/>
  <c r="I818" i="2"/>
  <c r="J818" i="2"/>
  <c r="K818" i="2"/>
  <c r="I819" i="2"/>
  <c r="J819" i="2"/>
  <c r="K819" i="2"/>
  <c r="I820" i="2"/>
  <c r="J820" i="2"/>
  <c r="K820" i="2"/>
  <c r="I821" i="2"/>
  <c r="J821" i="2"/>
  <c r="K821" i="2"/>
  <c r="I822" i="2"/>
  <c r="J822" i="2"/>
  <c r="K822" i="2"/>
  <c r="I823" i="2"/>
  <c r="J823" i="2"/>
  <c r="K823" i="2"/>
  <c r="I824" i="2"/>
  <c r="J824" i="2"/>
  <c r="K824" i="2"/>
  <c r="I825" i="2"/>
  <c r="J825" i="2"/>
  <c r="K825" i="2"/>
  <c r="I826" i="2"/>
  <c r="J826" i="2"/>
  <c r="K826" i="2"/>
  <c r="I827" i="2"/>
  <c r="J827" i="2"/>
  <c r="K827" i="2"/>
  <c r="I828" i="2"/>
  <c r="J828" i="2"/>
  <c r="K828" i="2"/>
  <c r="I829" i="2"/>
  <c r="J829" i="2"/>
  <c r="K829" i="2"/>
  <c r="I830" i="2"/>
  <c r="J830" i="2"/>
  <c r="K830" i="2"/>
  <c r="I831" i="2"/>
  <c r="J831" i="2"/>
  <c r="K831" i="2"/>
  <c r="I832" i="2"/>
  <c r="J832" i="2"/>
  <c r="K832" i="2"/>
  <c r="I833" i="2"/>
  <c r="J833" i="2"/>
  <c r="K833" i="2"/>
  <c r="I834" i="2"/>
  <c r="J834" i="2"/>
  <c r="K834" i="2"/>
  <c r="I835" i="2"/>
  <c r="J835" i="2"/>
  <c r="K835" i="2"/>
  <c r="I836" i="2"/>
  <c r="J836" i="2"/>
  <c r="K836" i="2"/>
  <c r="I837" i="2"/>
  <c r="J837" i="2"/>
  <c r="K837" i="2"/>
  <c r="I838" i="2"/>
  <c r="J838" i="2"/>
  <c r="K838" i="2"/>
  <c r="I839" i="2"/>
  <c r="J839" i="2"/>
  <c r="K839" i="2"/>
  <c r="I840" i="2"/>
  <c r="J840" i="2"/>
  <c r="K840" i="2"/>
  <c r="I841" i="2"/>
  <c r="J841" i="2"/>
  <c r="K841" i="2"/>
  <c r="I842" i="2"/>
  <c r="J842" i="2"/>
  <c r="K842" i="2"/>
  <c r="I843" i="2"/>
  <c r="J843" i="2"/>
  <c r="K843" i="2"/>
  <c r="I844" i="2"/>
  <c r="J844" i="2"/>
  <c r="K844" i="2"/>
  <c r="I845" i="2"/>
  <c r="J845" i="2"/>
  <c r="K845" i="2"/>
  <c r="I846" i="2"/>
  <c r="J846" i="2"/>
  <c r="K846" i="2"/>
  <c r="I847" i="2"/>
  <c r="J847" i="2"/>
  <c r="K847" i="2"/>
  <c r="I848" i="2"/>
  <c r="J848" i="2"/>
  <c r="K848" i="2"/>
  <c r="I849" i="2"/>
  <c r="J849" i="2"/>
  <c r="K849" i="2"/>
  <c r="I850" i="2"/>
  <c r="J850" i="2"/>
  <c r="K850" i="2"/>
  <c r="I851" i="2"/>
  <c r="J851" i="2"/>
  <c r="K851" i="2"/>
  <c r="I852" i="2"/>
  <c r="J852" i="2"/>
  <c r="K852" i="2"/>
  <c r="I853" i="2"/>
  <c r="J853" i="2"/>
  <c r="K853" i="2"/>
  <c r="I854" i="2"/>
  <c r="J854" i="2"/>
  <c r="K854" i="2"/>
  <c r="I855" i="2"/>
  <c r="J855" i="2"/>
  <c r="K855" i="2"/>
  <c r="I856" i="2"/>
  <c r="J856" i="2"/>
  <c r="K856" i="2"/>
  <c r="I857" i="2"/>
  <c r="J857" i="2"/>
  <c r="K857" i="2"/>
  <c r="I858" i="2"/>
  <c r="J858" i="2"/>
  <c r="K858" i="2"/>
  <c r="I859" i="2"/>
  <c r="J859" i="2"/>
  <c r="K859" i="2"/>
  <c r="I860" i="2"/>
  <c r="J860" i="2"/>
  <c r="K860" i="2"/>
  <c r="I861" i="2"/>
  <c r="J861" i="2"/>
  <c r="K861" i="2"/>
  <c r="I862" i="2"/>
  <c r="J862" i="2"/>
  <c r="K862" i="2"/>
  <c r="I863" i="2"/>
  <c r="J863" i="2"/>
  <c r="K863" i="2"/>
  <c r="I864" i="2"/>
  <c r="J864" i="2"/>
  <c r="K864" i="2"/>
  <c r="I865" i="2"/>
  <c r="J865" i="2"/>
  <c r="K865" i="2"/>
  <c r="I866" i="2"/>
  <c r="J866" i="2"/>
  <c r="K866" i="2"/>
  <c r="I867" i="2"/>
  <c r="J867" i="2"/>
  <c r="K867" i="2"/>
  <c r="I868" i="2"/>
  <c r="J868" i="2"/>
  <c r="K868" i="2"/>
  <c r="I869" i="2"/>
  <c r="J869" i="2"/>
  <c r="K869" i="2"/>
  <c r="I870" i="2"/>
  <c r="J870" i="2"/>
  <c r="K870" i="2"/>
  <c r="I871" i="2"/>
  <c r="J871" i="2"/>
  <c r="K871" i="2"/>
  <c r="I872" i="2"/>
  <c r="J872" i="2"/>
  <c r="K872" i="2"/>
  <c r="I873" i="2"/>
  <c r="J873" i="2"/>
  <c r="K873" i="2"/>
  <c r="I874" i="2"/>
  <c r="J874" i="2"/>
  <c r="K874" i="2"/>
  <c r="I875" i="2"/>
  <c r="J875" i="2"/>
  <c r="K875" i="2"/>
  <c r="I876" i="2"/>
  <c r="J876" i="2"/>
  <c r="K876" i="2"/>
  <c r="I877" i="2"/>
  <c r="J877" i="2"/>
  <c r="K877" i="2"/>
  <c r="I878" i="2"/>
  <c r="J878" i="2"/>
  <c r="K878" i="2"/>
  <c r="I879" i="2"/>
  <c r="J879" i="2"/>
  <c r="K879" i="2"/>
  <c r="I880" i="2"/>
  <c r="J880" i="2"/>
  <c r="K880" i="2"/>
  <c r="I881" i="2"/>
  <c r="J881" i="2"/>
  <c r="K881" i="2"/>
  <c r="I882" i="2"/>
  <c r="J882" i="2"/>
  <c r="K882" i="2"/>
  <c r="I883" i="2"/>
  <c r="J883" i="2"/>
  <c r="K883" i="2"/>
  <c r="I884" i="2"/>
  <c r="J884" i="2"/>
  <c r="K884" i="2"/>
  <c r="I885" i="2"/>
  <c r="J885" i="2"/>
  <c r="K885" i="2"/>
  <c r="I886" i="2"/>
  <c r="J886" i="2"/>
  <c r="K886" i="2"/>
  <c r="I887" i="2"/>
  <c r="J887" i="2"/>
  <c r="K887" i="2"/>
  <c r="I888" i="2"/>
  <c r="J888" i="2"/>
  <c r="K888" i="2"/>
  <c r="I889" i="2"/>
  <c r="J889" i="2"/>
  <c r="K889" i="2"/>
  <c r="I890" i="2"/>
  <c r="J890" i="2"/>
  <c r="K890" i="2"/>
  <c r="I891" i="2"/>
  <c r="J891" i="2"/>
  <c r="K891" i="2"/>
  <c r="I892" i="2"/>
  <c r="J892" i="2"/>
  <c r="K892" i="2"/>
  <c r="I893" i="2"/>
  <c r="J893" i="2"/>
  <c r="K893" i="2"/>
  <c r="I894" i="2"/>
  <c r="J894" i="2"/>
  <c r="K894" i="2"/>
  <c r="I895" i="2"/>
  <c r="J895" i="2"/>
  <c r="K895" i="2"/>
  <c r="I896" i="2"/>
  <c r="J896" i="2"/>
  <c r="K896" i="2"/>
  <c r="I897" i="2"/>
  <c r="J897" i="2"/>
  <c r="K897" i="2"/>
  <c r="I898" i="2"/>
  <c r="J898" i="2"/>
  <c r="K898" i="2"/>
  <c r="I899" i="2"/>
  <c r="J899" i="2"/>
  <c r="K899" i="2"/>
  <c r="I900" i="2"/>
  <c r="J900" i="2"/>
  <c r="K900" i="2"/>
  <c r="I901" i="2"/>
  <c r="J901" i="2"/>
  <c r="K901" i="2"/>
  <c r="I902" i="2"/>
  <c r="J902" i="2"/>
  <c r="K902" i="2"/>
  <c r="I903" i="2"/>
  <c r="J903" i="2"/>
  <c r="K903" i="2"/>
  <c r="I904" i="2"/>
  <c r="J904" i="2"/>
  <c r="K904" i="2"/>
  <c r="I905" i="2"/>
  <c r="J905" i="2"/>
  <c r="K905" i="2"/>
  <c r="I906" i="2"/>
  <c r="J906" i="2"/>
  <c r="K906" i="2"/>
  <c r="I907" i="2"/>
  <c r="J907" i="2"/>
  <c r="K907" i="2"/>
  <c r="I908" i="2"/>
  <c r="J908" i="2"/>
  <c r="K908" i="2"/>
  <c r="I909" i="2"/>
  <c r="J909" i="2"/>
  <c r="K909" i="2"/>
  <c r="I910" i="2"/>
  <c r="J910" i="2"/>
  <c r="K910" i="2"/>
  <c r="I911" i="2"/>
  <c r="J911" i="2"/>
  <c r="K911" i="2"/>
  <c r="I912" i="2"/>
  <c r="J912" i="2"/>
  <c r="K912" i="2"/>
  <c r="I913" i="2"/>
  <c r="J913" i="2"/>
  <c r="K913" i="2"/>
  <c r="I914" i="2"/>
  <c r="J914" i="2"/>
  <c r="K914" i="2"/>
  <c r="I915" i="2"/>
  <c r="J915" i="2"/>
  <c r="K915" i="2"/>
  <c r="I916" i="2"/>
  <c r="J916" i="2"/>
  <c r="K916" i="2"/>
  <c r="I917" i="2"/>
  <c r="J917" i="2"/>
  <c r="K917" i="2"/>
  <c r="I918" i="2"/>
  <c r="J918" i="2"/>
  <c r="K918" i="2"/>
  <c r="I919" i="2"/>
  <c r="J919" i="2"/>
  <c r="K919" i="2"/>
  <c r="I920" i="2"/>
  <c r="J920" i="2"/>
  <c r="K920" i="2"/>
  <c r="I921" i="2"/>
  <c r="J921" i="2"/>
  <c r="K921" i="2"/>
  <c r="I922" i="2"/>
  <c r="J922" i="2"/>
  <c r="K922" i="2"/>
  <c r="I923" i="2"/>
  <c r="J923" i="2"/>
  <c r="K923" i="2"/>
  <c r="I924" i="2"/>
  <c r="J924" i="2"/>
  <c r="K924" i="2"/>
  <c r="I925" i="2"/>
  <c r="J925" i="2"/>
  <c r="K925" i="2"/>
  <c r="I926" i="2"/>
  <c r="J926" i="2"/>
  <c r="K926" i="2"/>
  <c r="I927" i="2"/>
  <c r="J927" i="2"/>
  <c r="K927" i="2"/>
  <c r="I928" i="2"/>
  <c r="J928" i="2"/>
  <c r="K928" i="2"/>
  <c r="I929" i="2"/>
  <c r="J929" i="2"/>
  <c r="K929" i="2"/>
  <c r="I930" i="2"/>
  <c r="J930" i="2"/>
  <c r="K930" i="2"/>
  <c r="I931" i="2"/>
  <c r="J931" i="2"/>
  <c r="K931" i="2"/>
  <c r="I932" i="2"/>
  <c r="J932" i="2"/>
  <c r="K932" i="2"/>
  <c r="I933" i="2"/>
  <c r="J933" i="2"/>
  <c r="K933" i="2"/>
  <c r="I934" i="2"/>
  <c r="J934" i="2"/>
  <c r="K934" i="2"/>
  <c r="I935" i="2"/>
  <c r="J935" i="2"/>
  <c r="K935" i="2"/>
  <c r="I936" i="2"/>
  <c r="J936" i="2"/>
  <c r="K936" i="2"/>
  <c r="I937" i="2"/>
  <c r="J937" i="2"/>
  <c r="K937" i="2"/>
  <c r="I938" i="2"/>
  <c r="J938" i="2"/>
  <c r="K938" i="2"/>
  <c r="I939" i="2"/>
  <c r="J939" i="2"/>
  <c r="K939" i="2"/>
  <c r="I940" i="2"/>
  <c r="J940" i="2"/>
  <c r="K940" i="2"/>
  <c r="I941" i="2"/>
  <c r="J941" i="2"/>
  <c r="K941" i="2"/>
  <c r="I942" i="2"/>
  <c r="J942" i="2"/>
  <c r="K942" i="2"/>
  <c r="I943" i="2"/>
  <c r="J943" i="2"/>
  <c r="K943" i="2"/>
  <c r="I944" i="2"/>
  <c r="J944" i="2"/>
  <c r="K944" i="2"/>
  <c r="I945" i="2"/>
  <c r="J945" i="2"/>
  <c r="K945" i="2"/>
  <c r="I946" i="2"/>
  <c r="J946" i="2"/>
  <c r="K946" i="2"/>
  <c r="I947" i="2"/>
  <c r="J947" i="2"/>
  <c r="K947" i="2"/>
  <c r="I948" i="2"/>
  <c r="J948" i="2"/>
  <c r="K948" i="2"/>
  <c r="I949" i="2"/>
  <c r="J949" i="2"/>
  <c r="K949" i="2"/>
  <c r="I950" i="2"/>
  <c r="J950" i="2"/>
  <c r="K950" i="2"/>
  <c r="I951" i="2"/>
  <c r="J951" i="2"/>
  <c r="K951" i="2"/>
  <c r="I952" i="2"/>
  <c r="J952" i="2"/>
  <c r="K952" i="2"/>
  <c r="I953" i="2"/>
  <c r="J953" i="2"/>
  <c r="K953" i="2"/>
  <c r="I954" i="2"/>
  <c r="J954" i="2"/>
  <c r="K954" i="2"/>
  <c r="I955" i="2"/>
  <c r="J955" i="2"/>
  <c r="K955" i="2"/>
  <c r="I956" i="2"/>
  <c r="J956" i="2"/>
  <c r="K956" i="2"/>
  <c r="I957" i="2"/>
  <c r="J957" i="2"/>
  <c r="K957" i="2"/>
  <c r="I958" i="2"/>
  <c r="J958" i="2"/>
  <c r="K958" i="2"/>
  <c r="I959" i="2"/>
  <c r="J959" i="2"/>
  <c r="K959" i="2"/>
  <c r="I960" i="2"/>
  <c r="J960" i="2"/>
  <c r="K960" i="2"/>
  <c r="I961" i="2"/>
  <c r="J961" i="2"/>
  <c r="K961" i="2"/>
  <c r="I962" i="2"/>
  <c r="J962" i="2"/>
  <c r="K962" i="2"/>
  <c r="I963" i="2"/>
  <c r="J963" i="2"/>
  <c r="K963" i="2"/>
  <c r="I964" i="2"/>
  <c r="J964" i="2"/>
  <c r="K964" i="2"/>
  <c r="I965" i="2"/>
  <c r="J965" i="2"/>
  <c r="K965" i="2"/>
  <c r="I966" i="2"/>
  <c r="J966" i="2"/>
  <c r="K966" i="2"/>
  <c r="I967" i="2"/>
  <c r="J967" i="2"/>
  <c r="K967" i="2"/>
  <c r="I968" i="2"/>
  <c r="J968" i="2"/>
  <c r="K968" i="2"/>
  <c r="I969" i="2"/>
  <c r="J969" i="2"/>
  <c r="K969" i="2"/>
  <c r="I970" i="2"/>
  <c r="J970" i="2"/>
  <c r="K970" i="2"/>
  <c r="I971" i="2"/>
  <c r="J971" i="2"/>
  <c r="K971" i="2"/>
  <c r="I972" i="2"/>
  <c r="J972" i="2"/>
  <c r="K972" i="2"/>
  <c r="I973" i="2"/>
  <c r="J973" i="2"/>
  <c r="K973" i="2"/>
  <c r="I974" i="2"/>
  <c r="J974" i="2"/>
  <c r="K974" i="2"/>
  <c r="I975" i="2"/>
  <c r="J975" i="2"/>
  <c r="K975" i="2"/>
  <c r="I976" i="2"/>
  <c r="J976" i="2"/>
  <c r="K976" i="2"/>
  <c r="I977" i="2"/>
  <c r="J977" i="2"/>
  <c r="K977" i="2"/>
  <c r="I978" i="2"/>
  <c r="J978" i="2"/>
  <c r="K978" i="2"/>
  <c r="I979" i="2"/>
  <c r="J979" i="2"/>
  <c r="K979" i="2"/>
  <c r="I980" i="2"/>
  <c r="J980" i="2"/>
  <c r="K980" i="2"/>
  <c r="I981" i="2"/>
  <c r="J981" i="2"/>
  <c r="K981" i="2"/>
  <c r="I982" i="2"/>
  <c r="J982" i="2"/>
  <c r="K982" i="2"/>
  <c r="I983" i="2"/>
  <c r="J983" i="2"/>
  <c r="K983" i="2"/>
  <c r="I984" i="2"/>
  <c r="J984" i="2"/>
  <c r="K984" i="2"/>
  <c r="I985" i="2"/>
  <c r="J985" i="2"/>
  <c r="K985" i="2"/>
  <c r="I986" i="2"/>
  <c r="J986" i="2"/>
  <c r="K986" i="2"/>
  <c r="I987" i="2"/>
  <c r="J987" i="2"/>
  <c r="K987" i="2"/>
  <c r="I988" i="2"/>
  <c r="J988" i="2"/>
  <c r="K988" i="2"/>
  <c r="I989" i="2"/>
  <c r="J989" i="2"/>
  <c r="K989" i="2"/>
  <c r="I990" i="2"/>
  <c r="J990" i="2"/>
  <c r="K990" i="2"/>
  <c r="I991" i="2"/>
  <c r="J991" i="2"/>
  <c r="K991" i="2"/>
  <c r="I992" i="2"/>
  <c r="J992" i="2"/>
  <c r="K992" i="2"/>
  <c r="I993" i="2"/>
  <c r="J993" i="2"/>
  <c r="K993" i="2"/>
  <c r="I994" i="2"/>
  <c r="J994" i="2"/>
  <c r="K994" i="2"/>
  <c r="I995" i="2"/>
  <c r="J995" i="2"/>
  <c r="K995" i="2"/>
  <c r="I996" i="2"/>
  <c r="J996" i="2"/>
  <c r="K996" i="2"/>
  <c r="I997" i="2"/>
  <c r="J997" i="2"/>
  <c r="K997" i="2"/>
  <c r="I998" i="2"/>
  <c r="J998" i="2"/>
  <c r="K998" i="2"/>
  <c r="I999" i="2"/>
  <c r="J999" i="2"/>
  <c r="K999" i="2"/>
  <c r="I1000" i="2"/>
  <c r="J1000" i="2"/>
  <c r="K1000" i="2"/>
  <c r="I1001" i="2"/>
  <c r="J1001" i="2"/>
  <c r="K1001" i="2"/>
  <c r="K3" i="2"/>
  <c r="J3" i="2"/>
  <c r="I3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3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5" i="2"/>
  <c r="J1" i="2"/>
  <c r="I1" i="2"/>
  <c r="H1" i="2"/>
  <c r="D4" i="2"/>
  <c r="C4" i="2"/>
  <c r="D2" i="2"/>
  <c r="G1" i="1"/>
  <c r="F1" i="2" s="1"/>
  <c r="M2" i="1"/>
  <c r="M1" i="1"/>
  <c r="Q4" i="1"/>
  <c r="M4" i="1" a="1"/>
  <c r="I4" i="1" a="1"/>
  <c r="M4" i="1" l="1"/>
  <c r="I4" i="1"/>
  <c r="D10" i="1" l="1" a="1"/>
  <c r="D10" i="1"/>
  <c r="B6" i="1"/>
  <c r="D9" i="1" a="1"/>
  <c r="D11" i="1" a="1"/>
  <c r="D13" i="1" a="1"/>
  <c r="D15" i="1" a="1"/>
  <c r="D17" i="1" a="1"/>
  <c r="D19" i="1" a="1"/>
  <c r="D21" i="1" a="1"/>
  <c r="D23" i="1" a="1"/>
  <c r="D25" i="1" a="1"/>
  <c r="D12" i="1" a="1"/>
  <c r="D14" i="1" a="1"/>
  <c r="D16" i="1" a="1"/>
  <c r="D18" i="1" a="1"/>
  <c r="D20" i="1" a="1"/>
  <c r="D22" i="1" a="1"/>
  <c r="D24" i="1" a="1"/>
  <c r="D26" i="1" a="1"/>
  <c r="D29" i="1" a="1"/>
  <c r="D32" i="1" a="1"/>
  <c r="D37" i="1" a="1"/>
  <c r="D40" i="1" a="1"/>
  <c r="D45" i="1" a="1"/>
  <c r="D48" i="1" a="1"/>
  <c r="D53" i="1" a="1"/>
  <c r="D56" i="1" a="1"/>
  <c r="D61" i="1" a="1"/>
  <c r="D64" i="1" a="1"/>
  <c r="D69" i="1" a="1"/>
  <c r="D72" i="1" a="1"/>
  <c r="D77" i="1" a="1"/>
  <c r="D80" i="1" a="1"/>
  <c r="D85" i="1" a="1"/>
  <c r="D88" i="1" a="1"/>
  <c r="D93" i="1" a="1"/>
  <c r="D96" i="1" a="1"/>
  <c r="D101" i="1" a="1"/>
  <c r="D104" i="1" a="1"/>
  <c r="D109" i="1" a="1"/>
  <c r="D112" i="1" a="1"/>
  <c r="D117" i="1" a="1"/>
  <c r="D120" i="1" a="1"/>
  <c r="D125" i="1" a="1"/>
  <c r="D128" i="1" a="1"/>
  <c r="D133" i="1" a="1"/>
  <c r="D136" i="1" a="1"/>
  <c r="D141" i="1" a="1"/>
  <c r="D144" i="1" a="1"/>
  <c r="D149" i="1" a="1"/>
  <c r="D152" i="1" a="1"/>
  <c r="D157" i="1" a="1"/>
  <c r="D160" i="1" a="1"/>
  <c r="D165" i="1" a="1"/>
  <c r="D168" i="1" a="1"/>
  <c r="D173" i="1" a="1"/>
  <c r="D176" i="1" a="1"/>
  <c r="D27" i="1" a="1"/>
  <c r="D30" i="1" a="1"/>
  <c r="D35" i="1" a="1"/>
  <c r="D38" i="1" a="1"/>
  <c r="D43" i="1" a="1"/>
  <c r="D46" i="1" a="1"/>
  <c r="D51" i="1" a="1"/>
  <c r="D54" i="1" a="1"/>
  <c r="D59" i="1" a="1"/>
  <c r="D62" i="1" a="1"/>
  <c r="D67" i="1" a="1"/>
  <c r="D70" i="1" a="1"/>
  <c r="D75" i="1" a="1"/>
  <c r="D78" i="1" a="1"/>
  <c r="D83" i="1" a="1"/>
  <c r="D86" i="1" a="1"/>
  <c r="D91" i="1" a="1"/>
  <c r="D94" i="1" a="1"/>
  <c r="D99" i="1" a="1"/>
  <c r="D102" i="1" a="1"/>
  <c r="D107" i="1" a="1"/>
  <c r="D110" i="1" a="1"/>
  <c r="D115" i="1" a="1"/>
  <c r="D118" i="1" a="1"/>
  <c r="D123" i="1" a="1"/>
  <c r="D126" i="1" a="1"/>
  <c r="D131" i="1" a="1"/>
  <c r="D134" i="1" a="1"/>
  <c r="D139" i="1" a="1"/>
  <c r="D142" i="1" a="1"/>
  <c r="D147" i="1" a="1"/>
  <c r="D150" i="1" a="1"/>
  <c r="D155" i="1" a="1"/>
  <c r="D158" i="1" a="1"/>
  <c r="D163" i="1" a="1"/>
  <c r="D166" i="1" a="1"/>
  <c r="D171" i="1" a="1"/>
  <c r="D174" i="1" a="1"/>
  <c r="D179" i="1" a="1"/>
  <c r="D181" i="1" a="1"/>
  <c r="D183" i="1" a="1"/>
  <c r="D185" i="1" a="1"/>
  <c r="D187" i="1" a="1"/>
  <c r="D189" i="1" a="1"/>
  <c r="D191" i="1" a="1"/>
  <c r="D193" i="1" a="1"/>
  <c r="D195" i="1" a="1"/>
  <c r="D197" i="1" a="1"/>
  <c r="D199" i="1" a="1"/>
  <c r="D201" i="1" a="1"/>
  <c r="D203" i="1" a="1"/>
  <c r="D205" i="1" a="1"/>
  <c r="D28" i="1" a="1"/>
  <c r="D33" i="1" a="1"/>
  <c r="D44" i="1" a="1"/>
  <c r="D49" i="1" a="1"/>
  <c r="D60" i="1" a="1"/>
  <c r="D65" i="1" a="1"/>
  <c r="D76" i="1" a="1"/>
  <c r="D81" i="1" a="1"/>
  <c r="D92" i="1" a="1"/>
  <c r="D97" i="1" a="1"/>
  <c r="D108" i="1" a="1"/>
  <c r="D113" i="1" a="1"/>
  <c r="D124" i="1" a="1"/>
  <c r="D129" i="1" a="1"/>
  <c r="D140" i="1" a="1"/>
  <c r="D145" i="1" a="1"/>
  <c r="D156" i="1" a="1"/>
  <c r="D161" i="1" a="1"/>
  <c r="D172" i="1" a="1"/>
  <c r="D177" i="1" a="1"/>
  <c r="D208" i="1" a="1"/>
  <c r="D211" i="1" a="1"/>
  <c r="D216" i="1" a="1"/>
  <c r="D219" i="1" a="1"/>
  <c r="D224" i="1" a="1"/>
  <c r="D227" i="1" a="1"/>
  <c r="D232" i="1" a="1"/>
  <c r="D235" i="1" a="1"/>
  <c r="D240" i="1" a="1"/>
  <c r="D243" i="1" a="1"/>
  <c r="D248" i="1" a="1"/>
  <c r="D251" i="1" a="1"/>
  <c r="D256" i="1" a="1"/>
  <c r="D258" i="1" a="1"/>
  <c r="D260" i="1" a="1"/>
  <c r="D262" i="1" a="1"/>
  <c r="D264" i="1" a="1"/>
  <c r="D266" i="1" a="1"/>
  <c r="D268" i="1" a="1"/>
  <c r="D270" i="1" a="1"/>
  <c r="D272" i="1" a="1"/>
  <c r="D274" i="1" a="1"/>
  <c r="D276" i="1" a="1"/>
  <c r="D278" i="1" a="1"/>
  <c r="D280" i="1" a="1"/>
  <c r="D282" i="1" a="1"/>
  <c r="D284" i="1" a="1"/>
  <c r="D286" i="1" a="1"/>
  <c r="D288" i="1" a="1"/>
  <c r="D290" i="1" a="1"/>
  <c r="D292" i="1" a="1"/>
  <c r="D294" i="1" a="1"/>
  <c r="D296" i="1" a="1"/>
  <c r="D298" i="1" a="1"/>
  <c r="D300" i="1" a="1"/>
  <c r="D302" i="1" a="1"/>
  <c r="D304" i="1" a="1"/>
  <c r="D306" i="1" a="1"/>
  <c r="D308" i="1" a="1"/>
  <c r="D310" i="1" a="1"/>
  <c r="D312" i="1" a="1"/>
  <c r="D314" i="1" a="1"/>
  <c r="D34" i="1" a="1"/>
  <c r="D39" i="1" a="1"/>
  <c r="D50" i="1" a="1"/>
  <c r="D55" i="1" a="1"/>
  <c r="D66" i="1" a="1"/>
  <c r="D71" i="1" a="1"/>
  <c r="D82" i="1" a="1"/>
  <c r="D87" i="1" a="1"/>
  <c r="D98" i="1" a="1"/>
  <c r="D103" i="1" a="1"/>
  <c r="D114" i="1" a="1"/>
  <c r="D119" i="1" a="1"/>
  <c r="D130" i="1" a="1"/>
  <c r="D135" i="1" a="1"/>
  <c r="D146" i="1" a="1"/>
  <c r="D151" i="1" a="1"/>
  <c r="D162" i="1" a="1"/>
  <c r="D167" i="1" a="1"/>
  <c r="D178" i="1" a="1"/>
  <c r="D182" i="1" a="1"/>
  <c r="D186" i="1" a="1"/>
  <c r="D190" i="1" a="1"/>
  <c r="D194" i="1" a="1"/>
  <c r="D198" i="1" a="1"/>
  <c r="D202" i="1" a="1"/>
  <c r="D206" i="1" a="1"/>
  <c r="D209" i="1" a="1"/>
  <c r="D214" i="1" a="1"/>
  <c r="D217" i="1" a="1"/>
  <c r="D222" i="1" a="1"/>
  <c r="D225" i="1" a="1"/>
  <c r="D230" i="1" a="1"/>
  <c r="D233" i="1" a="1"/>
  <c r="D238" i="1" a="1"/>
  <c r="D241" i="1" a="1"/>
  <c r="D246" i="1" a="1"/>
  <c r="D249" i="1" a="1"/>
  <c r="D254" i="1" a="1"/>
  <c r="D36" i="1" a="1"/>
  <c r="D57" i="1" a="1"/>
  <c r="D68" i="1" a="1"/>
  <c r="D89" i="1" a="1"/>
  <c r="D100" i="1" a="1"/>
  <c r="D121" i="1" a="1"/>
  <c r="D132" i="1" a="1"/>
  <c r="D153" i="1" a="1"/>
  <c r="D164" i="1" a="1"/>
  <c r="D207" i="1" a="1"/>
  <c r="D212" i="1" a="1"/>
  <c r="D223" i="1" a="1"/>
  <c r="D228" i="1" a="1"/>
  <c r="D239" i="1" a="1"/>
  <c r="D244" i="1" a="1"/>
  <c r="D255" i="1" a="1"/>
  <c r="D259" i="1" a="1"/>
  <c r="D263" i="1" a="1"/>
  <c r="D267" i="1" a="1"/>
  <c r="D271" i="1" a="1"/>
  <c r="D275" i="1" a="1"/>
  <c r="D279" i="1" a="1"/>
  <c r="D283" i="1" a="1"/>
  <c r="D287" i="1" a="1"/>
  <c r="D291" i="1" a="1"/>
  <c r="D295" i="1" a="1"/>
  <c r="D299" i="1" a="1"/>
  <c r="D303" i="1" a="1"/>
  <c r="D307" i="1" a="1"/>
  <c r="D311" i="1" a="1"/>
  <c r="D315" i="1" a="1"/>
  <c r="D320" i="1" a="1"/>
  <c r="D323" i="1" a="1"/>
  <c r="D328" i="1" a="1"/>
  <c r="D331" i="1" a="1"/>
  <c r="D336" i="1" a="1"/>
  <c r="D339" i="1" a="1"/>
  <c r="D344" i="1" a="1"/>
  <c r="D347" i="1" a="1"/>
  <c r="D352" i="1" a="1"/>
  <c r="D355" i="1" a="1"/>
  <c r="D360" i="1" a="1"/>
  <c r="D363" i="1" a="1"/>
  <c r="D368" i="1" a="1"/>
  <c r="D371" i="1" a="1"/>
  <c r="D376" i="1" a="1"/>
  <c r="D379" i="1" a="1"/>
  <c r="D384" i="1" a="1"/>
  <c r="D387" i="1" a="1"/>
  <c r="D392" i="1" a="1"/>
  <c r="D395" i="1" a="1"/>
  <c r="D400" i="1" a="1"/>
  <c r="D403" i="1" a="1"/>
  <c r="D408" i="1" a="1"/>
  <c r="D411" i="1" a="1"/>
  <c r="D416" i="1" a="1"/>
  <c r="D419" i="1" a="1"/>
  <c r="D424" i="1" a="1"/>
  <c r="D427" i="1" a="1"/>
  <c r="D432" i="1" a="1"/>
  <c r="D435" i="1" a="1"/>
  <c r="D440" i="1" a="1"/>
  <c r="D443" i="1" a="1"/>
  <c r="D448" i="1" a="1"/>
  <c r="D451" i="1" a="1"/>
  <c r="D456" i="1" a="1"/>
  <c r="D459" i="1" a="1"/>
  <c r="D464" i="1" a="1"/>
  <c r="D467" i="1" a="1"/>
  <c r="D472" i="1" a="1"/>
  <c r="D475" i="1" a="1"/>
  <c r="D480" i="1" a="1"/>
  <c r="D483" i="1" a="1"/>
  <c r="D488" i="1" a="1"/>
  <c r="D491" i="1" a="1"/>
  <c r="D496" i="1" a="1"/>
  <c r="D499" i="1" a="1"/>
  <c r="D504" i="1" a="1"/>
  <c r="D507" i="1" a="1"/>
  <c r="D512" i="1" a="1"/>
  <c r="D514" i="1" a="1"/>
  <c r="D516" i="1" a="1"/>
  <c r="D518" i="1" a="1"/>
  <c r="D520" i="1" a="1"/>
  <c r="D47" i="1" a="1"/>
  <c r="D58" i="1" a="1"/>
  <c r="D79" i="1" a="1"/>
  <c r="D90" i="1" a="1"/>
  <c r="D111" i="1" a="1"/>
  <c r="D122" i="1" a="1"/>
  <c r="D143" i="1" a="1"/>
  <c r="D154" i="1" a="1"/>
  <c r="D175" i="1" a="1"/>
  <c r="D184" i="1" a="1"/>
  <c r="D192" i="1" a="1"/>
  <c r="D200" i="1" a="1"/>
  <c r="D213" i="1" a="1"/>
  <c r="D218" i="1" a="1"/>
  <c r="D229" i="1" a="1"/>
  <c r="D234" i="1" a="1"/>
  <c r="D245" i="1" a="1"/>
  <c r="D250" i="1" a="1"/>
  <c r="D318" i="1" a="1"/>
  <c r="D321" i="1" a="1"/>
  <c r="D326" i="1" a="1"/>
  <c r="D329" i="1" a="1"/>
  <c r="D334" i="1" a="1"/>
  <c r="D337" i="1" a="1"/>
  <c r="D342" i="1" a="1"/>
  <c r="D345" i="1" a="1"/>
  <c r="D350" i="1" a="1"/>
  <c r="D353" i="1" a="1"/>
  <c r="D358" i="1" a="1"/>
  <c r="D361" i="1" a="1"/>
  <c r="D366" i="1" a="1"/>
  <c r="D369" i="1" a="1"/>
  <c r="D374" i="1" a="1"/>
  <c r="D377" i="1" a="1"/>
  <c r="D382" i="1" a="1"/>
  <c r="D385" i="1" a="1"/>
  <c r="D390" i="1" a="1"/>
  <c r="D393" i="1" a="1"/>
  <c r="D398" i="1" a="1"/>
  <c r="D401" i="1" a="1"/>
  <c r="D406" i="1" a="1"/>
  <c r="D409" i="1" a="1"/>
  <c r="D414" i="1" a="1"/>
  <c r="D417" i="1" a="1"/>
  <c r="D422" i="1" a="1"/>
  <c r="D425" i="1" a="1"/>
  <c r="D430" i="1" a="1"/>
  <c r="D433" i="1" a="1"/>
  <c r="D438" i="1" a="1"/>
  <c r="D441" i="1" a="1"/>
  <c r="D446" i="1" a="1"/>
  <c r="D449" i="1" a="1"/>
  <c r="D454" i="1" a="1"/>
  <c r="D457" i="1" a="1"/>
  <c r="D462" i="1" a="1"/>
  <c r="D465" i="1" a="1"/>
  <c r="D470" i="1" a="1"/>
  <c r="D473" i="1" a="1"/>
  <c r="D478" i="1" a="1"/>
  <c r="D481" i="1" a="1"/>
  <c r="D486" i="1" a="1"/>
  <c r="D489" i="1" a="1"/>
  <c r="D494" i="1" a="1"/>
  <c r="D497" i="1" a="1"/>
  <c r="D502" i="1" a="1"/>
  <c r="D505" i="1" a="1"/>
  <c r="D510" i="1" a="1"/>
  <c r="D41" i="1" a="1"/>
  <c r="D52" i="1" a="1"/>
  <c r="D73" i="1" a="1"/>
  <c r="D84" i="1" a="1"/>
  <c r="D105" i="1" a="1"/>
  <c r="D116" i="1" a="1"/>
  <c r="D137" i="1" a="1"/>
  <c r="D148" i="1" a="1"/>
  <c r="D169" i="1" a="1"/>
  <c r="D215" i="1" a="1"/>
  <c r="D220" i="1" a="1"/>
  <c r="D231" i="1" a="1"/>
  <c r="D236" i="1" a="1"/>
  <c r="D247" i="1" a="1"/>
  <c r="D252" i="1" a="1"/>
  <c r="D257" i="1" a="1"/>
  <c r="D261" i="1" a="1"/>
  <c r="D265" i="1" a="1"/>
  <c r="D269" i="1" a="1"/>
  <c r="D273" i="1" a="1"/>
  <c r="D277" i="1" a="1"/>
  <c r="D281" i="1" a="1"/>
  <c r="D285" i="1" a="1"/>
  <c r="D289" i="1" a="1"/>
  <c r="D293" i="1" a="1"/>
  <c r="D297" i="1" a="1"/>
  <c r="D301" i="1" a="1"/>
  <c r="D305" i="1" a="1"/>
  <c r="D309" i="1" a="1"/>
  <c r="D313" i="1" a="1"/>
  <c r="D316" i="1" a="1"/>
  <c r="D319" i="1" a="1"/>
  <c r="D324" i="1" a="1"/>
  <c r="D327" i="1" a="1"/>
  <c r="D332" i="1" a="1"/>
  <c r="D335" i="1" a="1"/>
  <c r="D340" i="1" a="1"/>
  <c r="D343" i="1" a="1"/>
  <c r="D348" i="1" a="1"/>
  <c r="D351" i="1" a="1"/>
  <c r="D356" i="1" a="1"/>
  <c r="D359" i="1" a="1"/>
  <c r="D364" i="1" a="1"/>
  <c r="D367" i="1" a="1"/>
  <c r="D372" i="1" a="1"/>
  <c r="D375" i="1" a="1"/>
  <c r="D380" i="1" a="1"/>
  <c r="D383" i="1" a="1"/>
  <c r="D388" i="1" a="1"/>
  <c r="D391" i="1" a="1"/>
  <c r="D396" i="1" a="1"/>
  <c r="D399" i="1" a="1"/>
  <c r="D404" i="1" a="1"/>
  <c r="D407" i="1" a="1"/>
  <c r="D412" i="1" a="1"/>
  <c r="D415" i="1" a="1"/>
  <c r="D420" i="1" a="1"/>
  <c r="D423" i="1" a="1"/>
  <c r="D428" i="1" a="1"/>
  <c r="D431" i="1" a="1"/>
  <c r="D436" i="1" a="1"/>
  <c r="D439" i="1" a="1"/>
  <c r="D444" i="1" a="1"/>
  <c r="D447" i="1" a="1"/>
  <c r="D452" i="1" a="1"/>
  <c r="D455" i="1" a="1"/>
  <c r="D460" i="1" a="1"/>
  <c r="D463" i="1" a="1"/>
  <c r="D468" i="1" a="1"/>
  <c r="D471" i="1" a="1"/>
  <c r="D476" i="1" a="1"/>
  <c r="D479" i="1" a="1"/>
  <c r="D484" i="1" a="1"/>
  <c r="D487" i="1" a="1"/>
  <c r="D492" i="1" a="1"/>
  <c r="D495" i="1" a="1"/>
  <c r="D31" i="1" a="1"/>
  <c r="D42" i="1" a="1"/>
  <c r="D63" i="1" a="1"/>
  <c r="D74" i="1" a="1"/>
  <c r="D95" i="1" a="1"/>
  <c r="D106" i="1" a="1"/>
  <c r="D127" i="1" a="1"/>
  <c r="D138" i="1" a="1"/>
  <c r="D159" i="1" a="1"/>
  <c r="D170" i="1" a="1"/>
  <c r="D180" i="1" a="1"/>
  <c r="D188" i="1" a="1"/>
  <c r="D196" i="1" a="1"/>
  <c r="D204" i="1" a="1"/>
  <c r="D210" i="1" a="1"/>
  <c r="D221" i="1" a="1"/>
  <c r="D226" i="1" a="1"/>
  <c r="D237" i="1" a="1"/>
  <c r="D242" i="1" a="1"/>
  <c r="D253" i="1" a="1"/>
  <c r="D317" i="1" a="1"/>
  <c r="D322" i="1" a="1"/>
  <c r="D325" i="1" a="1"/>
  <c r="D330" i="1" a="1"/>
  <c r="D333" i="1" a="1"/>
  <c r="D338" i="1" a="1"/>
  <c r="D341" i="1" a="1"/>
  <c r="D346" i="1" a="1"/>
  <c r="D349" i="1" a="1"/>
  <c r="D354" i="1" a="1"/>
  <c r="D357" i="1" a="1"/>
  <c r="D362" i="1" a="1"/>
  <c r="D365" i="1" a="1"/>
  <c r="D370" i="1" a="1"/>
  <c r="D373" i="1" a="1"/>
  <c r="D378" i="1" a="1"/>
  <c r="D381" i="1" a="1"/>
  <c r="D386" i="1" a="1"/>
  <c r="D389" i="1" a="1"/>
  <c r="D394" i="1" a="1"/>
  <c r="D397" i="1" a="1"/>
  <c r="D418" i="1" a="1"/>
  <c r="D429" i="1" a="1"/>
  <c r="D450" i="1" a="1"/>
  <c r="D410" i="1" a="1"/>
  <c r="D421" i="1" a="1"/>
  <c r="D442" i="1" a="1"/>
  <c r="D453" i="1" a="1"/>
  <c r="D474" i="1" a="1"/>
  <c r="D402" i="1" a="1"/>
  <c r="D413" i="1" a="1"/>
  <c r="D434" i="1" a="1"/>
  <c r="D445" i="1" a="1"/>
  <c r="D466" i="1" a="1"/>
  <c r="D477" i="1" a="1"/>
  <c r="D503" i="1" a="1"/>
  <c r="D508" i="1" a="1"/>
  <c r="D513" i="1" a="1"/>
  <c r="D517" i="1" a="1"/>
  <c r="D521" i="1" a="1"/>
  <c r="D526" i="1" a="1"/>
  <c r="D529" i="1" a="1"/>
  <c r="D534" i="1" a="1"/>
  <c r="D537" i="1" a="1"/>
  <c r="D542" i="1" a="1"/>
  <c r="D545" i="1" a="1"/>
  <c r="D550" i="1" a="1"/>
  <c r="D553" i="1" a="1"/>
  <c r="D558" i="1" a="1"/>
  <c r="D561" i="1" a="1"/>
  <c r="D566" i="1" a="1"/>
  <c r="D569" i="1" a="1"/>
  <c r="D574" i="1" a="1"/>
  <c r="D577" i="1" a="1"/>
  <c r="D582" i="1" a="1"/>
  <c r="D585" i="1" a="1"/>
  <c r="D590" i="1" a="1"/>
  <c r="D593" i="1" a="1"/>
  <c r="D598" i="1" a="1"/>
  <c r="D601" i="1" a="1"/>
  <c r="D606" i="1" a="1"/>
  <c r="D609" i="1" a="1"/>
  <c r="D614" i="1" a="1"/>
  <c r="D617" i="1" a="1"/>
  <c r="D622" i="1" a="1"/>
  <c r="D625" i="1" a="1"/>
  <c r="D630" i="1" a="1"/>
  <c r="D632" i="1" a="1"/>
  <c r="D634" i="1" a="1"/>
  <c r="D636" i="1" a="1"/>
  <c r="D405" i="1" a="1"/>
  <c r="D426" i="1" a="1"/>
  <c r="D437" i="1" a="1"/>
  <c r="D458" i="1" a="1"/>
  <c r="D469" i="1" a="1"/>
  <c r="D490" i="1" a="1"/>
  <c r="D498" i="1" a="1"/>
  <c r="D509" i="1" a="1"/>
  <c r="D524" i="1" a="1"/>
  <c r="D527" i="1" a="1"/>
  <c r="D532" i="1" a="1"/>
  <c r="D535" i="1" a="1"/>
  <c r="D540" i="1" a="1"/>
  <c r="D543" i="1" a="1"/>
  <c r="D548" i="1" a="1"/>
  <c r="D551" i="1" a="1"/>
  <c r="D556" i="1" a="1"/>
  <c r="D559" i="1" a="1"/>
  <c r="D564" i="1" a="1"/>
  <c r="D567" i="1" a="1"/>
  <c r="D572" i="1" a="1"/>
  <c r="D575" i="1" a="1"/>
  <c r="D580" i="1" a="1"/>
  <c r="D583" i="1" a="1"/>
  <c r="D588" i="1" a="1"/>
  <c r="D591" i="1" a="1"/>
  <c r="D596" i="1" a="1"/>
  <c r="D599" i="1" a="1"/>
  <c r="D604" i="1" a="1"/>
  <c r="D607" i="1" a="1"/>
  <c r="D612" i="1" a="1"/>
  <c r="D615" i="1" a="1"/>
  <c r="D620" i="1" a="1"/>
  <c r="D623" i="1" a="1"/>
  <c r="D628" i="1" a="1"/>
  <c r="D461" i="1" a="1"/>
  <c r="D493" i="1" a="1"/>
  <c r="D515" i="1" a="1"/>
  <c r="D522" i="1" a="1"/>
  <c r="D533" i="1" a="1"/>
  <c r="D538" i="1" a="1"/>
  <c r="D549" i="1" a="1"/>
  <c r="D554" i="1" a="1"/>
  <c r="D565" i="1" a="1"/>
  <c r="D506" i="1" a="1"/>
  <c r="D523" i="1" a="1"/>
  <c r="D528" i="1" a="1"/>
  <c r="D539" i="1" a="1"/>
  <c r="D544" i="1" a="1"/>
  <c r="D555" i="1" a="1"/>
  <c r="D560" i="1" a="1"/>
  <c r="D571" i="1" a="1"/>
  <c r="D482" i="1" a="1"/>
  <c r="D500" i="1" a="1"/>
  <c r="D511" i="1" a="1"/>
  <c r="D519" i="1" a="1"/>
  <c r="D525" i="1" a="1"/>
  <c r="D530" i="1" a="1"/>
  <c r="D541" i="1" a="1"/>
  <c r="D546" i="1" a="1"/>
  <c r="D557" i="1" a="1"/>
  <c r="D562" i="1" a="1"/>
  <c r="D573" i="1" a="1"/>
  <c r="D578" i="1" a="1"/>
  <c r="D589" i="1" a="1"/>
  <c r="D594" i="1" a="1"/>
  <c r="D605" i="1" a="1"/>
  <c r="D610" i="1" a="1"/>
  <c r="D621" i="1" a="1"/>
  <c r="D626" i="1" a="1"/>
  <c r="D631" i="1" a="1"/>
  <c r="D635" i="1" a="1"/>
  <c r="D638" i="1" a="1"/>
  <c r="D641" i="1" a="1"/>
  <c r="D646" i="1" a="1"/>
  <c r="D649" i="1" a="1"/>
  <c r="D654" i="1" a="1"/>
  <c r="D657" i="1" a="1"/>
  <c r="D662" i="1" a="1"/>
  <c r="D665" i="1" a="1"/>
  <c r="D670" i="1" a="1"/>
  <c r="D673" i="1" a="1"/>
  <c r="D678" i="1" a="1"/>
  <c r="D681" i="1" a="1"/>
  <c r="D686" i="1" a="1"/>
  <c r="D689" i="1" a="1"/>
  <c r="D694" i="1" a="1"/>
  <c r="D697" i="1" a="1"/>
  <c r="D702" i="1" a="1"/>
  <c r="D705" i="1" a="1"/>
  <c r="D710" i="1" a="1"/>
  <c r="D713" i="1" a="1"/>
  <c r="D715" i="1" a="1"/>
  <c r="D717" i="1" a="1"/>
  <c r="D719" i="1" a="1"/>
  <c r="D721" i="1" a="1"/>
  <c r="D723" i="1" a="1"/>
  <c r="D725" i="1" a="1"/>
  <c r="D727" i="1" a="1"/>
  <c r="D485" i="1" a="1"/>
  <c r="D501" i="1" a="1"/>
  <c r="D531" i="1" a="1"/>
  <c r="D536" i="1" a="1"/>
  <c r="D547" i="1" a="1"/>
  <c r="D552" i="1" a="1"/>
  <c r="D563" i="1" a="1"/>
  <c r="D568" i="1" a="1"/>
  <c r="D579" i="1" a="1"/>
  <c r="D584" i="1" a="1"/>
  <c r="D595" i="1" a="1"/>
  <c r="D600" i="1" a="1"/>
  <c r="D611" i="1" a="1"/>
  <c r="D616" i="1" a="1"/>
  <c r="D627" i="1" a="1"/>
  <c r="D639" i="1" a="1"/>
  <c r="D644" i="1" a="1"/>
  <c r="D647" i="1" a="1"/>
  <c r="D652" i="1" a="1"/>
  <c r="D655" i="1" a="1"/>
  <c r="D660" i="1" a="1"/>
  <c r="D663" i="1" a="1"/>
  <c r="D668" i="1" a="1"/>
  <c r="D671" i="1" a="1"/>
  <c r="D676" i="1" a="1"/>
  <c r="D679" i="1" a="1"/>
  <c r="D684" i="1" a="1"/>
  <c r="D687" i="1" a="1"/>
  <c r="D692" i="1" a="1"/>
  <c r="D695" i="1" a="1"/>
  <c r="D700" i="1" a="1"/>
  <c r="D703" i="1" a="1"/>
  <c r="D708" i="1" a="1"/>
  <c r="D711" i="1" a="1"/>
  <c r="D570" i="1" a="1"/>
  <c r="D592" i="1" a="1"/>
  <c r="D603" i="1" a="1"/>
  <c r="D624" i="1" a="1"/>
  <c r="D640" i="1" a="1"/>
  <c r="D651" i="1" a="1"/>
  <c r="D656" i="1" a="1"/>
  <c r="D667" i="1" a="1"/>
  <c r="D672" i="1" a="1"/>
  <c r="D683" i="1" a="1"/>
  <c r="D688" i="1" a="1"/>
  <c r="D699" i="1" a="1"/>
  <c r="D704" i="1" a="1"/>
  <c r="D730" i="1" a="1"/>
  <c r="D735" i="1" a="1"/>
  <c r="D738" i="1" a="1"/>
  <c r="D743" i="1" a="1"/>
  <c r="D746" i="1" a="1"/>
  <c r="D751" i="1" a="1"/>
  <c r="D754" i="1" a="1"/>
  <c r="D759" i="1" a="1"/>
  <c r="D762" i="1" a="1"/>
  <c r="D767" i="1" a="1"/>
  <c r="D770" i="1" a="1"/>
  <c r="D775" i="1" a="1"/>
  <c r="D778" i="1" a="1"/>
  <c r="D783" i="1" a="1"/>
  <c r="D786" i="1" a="1"/>
  <c r="D791" i="1" a="1"/>
  <c r="D794" i="1" a="1"/>
  <c r="D799" i="1" a="1"/>
  <c r="D802" i="1" a="1"/>
  <c r="D807" i="1" a="1"/>
  <c r="D810" i="1" a="1"/>
  <c r="D815" i="1" a="1"/>
  <c r="D818" i="1" a="1"/>
  <c r="D823" i="1" a="1"/>
  <c r="D826" i="1" a="1"/>
  <c r="D831" i="1" a="1"/>
  <c r="D834" i="1" a="1"/>
  <c r="D839" i="1" a="1"/>
  <c r="D842" i="1" a="1"/>
  <c r="D847" i="1" a="1"/>
  <c r="D850" i="1" a="1"/>
  <c r="D855" i="1" a="1"/>
  <c r="D858" i="1" a="1"/>
  <c r="D863" i="1" a="1"/>
  <c r="D866" i="1" a="1"/>
  <c r="D871" i="1" a="1"/>
  <c r="D874" i="1" a="1"/>
  <c r="D879" i="1" a="1"/>
  <c r="D882" i="1" a="1"/>
  <c r="D887" i="1" a="1"/>
  <c r="D890" i="1" a="1"/>
  <c r="D895" i="1" a="1"/>
  <c r="D898" i="1" a="1"/>
  <c r="D903" i="1" a="1"/>
  <c r="D906" i="1" a="1"/>
  <c r="D911" i="1" a="1"/>
  <c r="D914" i="1" a="1"/>
  <c r="D919" i="1" a="1"/>
  <c r="D922" i="1" a="1"/>
  <c r="D927" i="1" a="1"/>
  <c r="D930" i="1" a="1"/>
  <c r="D935" i="1" a="1"/>
  <c r="D938" i="1" a="1"/>
  <c r="D943" i="1" a="1"/>
  <c r="D951" i="1" a="1"/>
  <c r="D962" i="1" a="1"/>
  <c r="D586" i="1" a="1"/>
  <c r="D597" i="1" a="1"/>
  <c r="D618" i="1" a="1"/>
  <c r="D629" i="1" a="1"/>
  <c r="D637" i="1" a="1"/>
  <c r="D642" i="1" a="1"/>
  <c r="D653" i="1" a="1"/>
  <c r="D658" i="1" a="1"/>
  <c r="D669" i="1" a="1"/>
  <c r="D674" i="1" a="1"/>
  <c r="D685" i="1" a="1"/>
  <c r="D690" i="1" a="1"/>
  <c r="D701" i="1" a="1"/>
  <c r="D706" i="1" a="1"/>
  <c r="D716" i="1" a="1"/>
  <c r="D720" i="1" a="1"/>
  <c r="D724" i="1" a="1"/>
  <c r="D728" i="1" a="1"/>
  <c r="D733" i="1" a="1"/>
  <c r="D736" i="1" a="1"/>
  <c r="D741" i="1" a="1"/>
  <c r="D744" i="1" a="1"/>
  <c r="D749" i="1" a="1"/>
  <c r="D752" i="1" a="1"/>
  <c r="D757" i="1" a="1"/>
  <c r="D760" i="1" a="1"/>
  <c r="D765" i="1" a="1"/>
  <c r="D768" i="1" a="1"/>
  <c r="D773" i="1" a="1"/>
  <c r="D776" i="1" a="1"/>
  <c r="D781" i="1" a="1"/>
  <c r="D784" i="1" a="1"/>
  <c r="D789" i="1" a="1"/>
  <c r="D792" i="1" a="1"/>
  <c r="D797" i="1" a="1"/>
  <c r="D800" i="1" a="1"/>
  <c r="D805" i="1" a="1"/>
  <c r="D808" i="1" a="1"/>
  <c r="D813" i="1" a="1"/>
  <c r="D816" i="1" a="1"/>
  <c r="D821" i="1" a="1"/>
  <c r="D824" i="1" a="1"/>
  <c r="D829" i="1" a="1"/>
  <c r="D832" i="1" a="1"/>
  <c r="D837" i="1" a="1"/>
  <c r="D840" i="1" a="1"/>
  <c r="D845" i="1" a="1"/>
  <c r="D848" i="1" a="1"/>
  <c r="D853" i="1" a="1"/>
  <c r="D856" i="1" a="1"/>
  <c r="D861" i="1" a="1"/>
  <c r="D864" i="1" a="1"/>
  <c r="D869" i="1" a="1"/>
  <c r="D872" i="1" a="1"/>
  <c r="D877" i="1" a="1"/>
  <c r="D880" i="1" a="1"/>
  <c r="D885" i="1" a="1"/>
  <c r="D888" i="1" a="1"/>
  <c r="D893" i="1" a="1"/>
  <c r="D896" i="1" a="1"/>
  <c r="D901" i="1" a="1"/>
  <c r="D904" i="1" a="1"/>
  <c r="D909" i="1" a="1"/>
  <c r="D912" i="1" a="1"/>
  <c r="D917" i="1" a="1"/>
  <c r="D920" i="1" a="1"/>
  <c r="D925" i="1" a="1"/>
  <c r="D928" i="1" a="1"/>
  <c r="D933" i="1" a="1"/>
  <c r="D936" i="1" a="1"/>
  <c r="D941" i="1" a="1"/>
  <c r="D944" i="1" a="1"/>
  <c r="D949" i="1" a="1"/>
  <c r="D952" i="1" a="1"/>
  <c r="D957" i="1" a="1"/>
  <c r="D960" i="1" a="1"/>
  <c r="D965" i="1" a="1"/>
  <c r="D968" i="1" a="1"/>
  <c r="D970" i="1" a="1"/>
  <c r="D972" i="1" a="1"/>
  <c r="D974" i="1" a="1"/>
  <c r="D976" i="1" a="1"/>
  <c r="D978" i="1" a="1"/>
  <c r="D980" i="1" a="1"/>
  <c r="D982" i="1" a="1"/>
  <c r="D984" i="1" a="1"/>
  <c r="D986" i="1" a="1"/>
  <c r="D988" i="1" a="1"/>
  <c r="D990" i="1" a="1"/>
  <c r="D992" i="1" a="1"/>
  <c r="D994" i="1" a="1"/>
  <c r="D996" i="1" a="1"/>
  <c r="D998" i="1" a="1"/>
  <c r="D1000" i="1" a="1"/>
  <c r="D1002" i="1" a="1"/>
  <c r="D1004" i="1" a="1"/>
  <c r="D899" i="1" a="1"/>
  <c r="D907" i="1" a="1"/>
  <c r="D910" i="1" a="1"/>
  <c r="D918" i="1" a="1"/>
  <c r="D923" i="1" a="1"/>
  <c r="D926" i="1" a="1"/>
  <c r="D934" i="1" a="1"/>
  <c r="D942" i="1" a="1"/>
  <c r="D950" i="1" a="1"/>
  <c r="D958" i="1" a="1"/>
  <c r="D966" i="1" a="1"/>
  <c r="D576" i="1" a="1"/>
  <c r="D587" i="1" a="1"/>
  <c r="D608" i="1" a="1"/>
  <c r="D619" i="1" a="1"/>
  <c r="D643" i="1" a="1"/>
  <c r="D648" i="1" a="1"/>
  <c r="D659" i="1" a="1"/>
  <c r="D664" i="1" a="1"/>
  <c r="D675" i="1" a="1"/>
  <c r="D680" i="1" a="1"/>
  <c r="D691" i="1" a="1"/>
  <c r="D696" i="1" a="1"/>
  <c r="D707" i="1" a="1"/>
  <c r="D712" i="1" a="1"/>
  <c r="D731" i="1" a="1"/>
  <c r="D734" i="1" a="1"/>
  <c r="D739" i="1" a="1"/>
  <c r="D742" i="1" a="1"/>
  <c r="D747" i="1" a="1"/>
  <c r="D750" i="1" a="1"/>
  <c r="D755" i="1" a="1"/>
  <c r="D758" i="1" a="1"/>
  <c r="D763" i="1" a="1"/>
  <c r="D766" i="1" a="1"/>
  <c r="D771" i="1" a="1"/>
  <c r="D774" i="1" a="1"/>
  <c r="D779" i="1" a="1"/>
  <c r="D782" i="1" a="1"/>
  <c r="D787" i="1" a="1"/>
  <c r="D790" i="1" a="1"/>
  <c r="D795" i="1" a="1"/>
  <c r="D798" i="1" a="1"/>
  <c r="D803" i="1" a="1"/>
  <c r="D806" i="1" a="1"/>
  <c r="D811" i="1" a="1"/>
  <c r="D814" i="1" a="1"/>
  <c r="D819" i="1" a="1"/>
  <c r="D822" i="1" a="1"/>
  <c r="D827" i="1" a="1"/>
  <c r="D830" i="1" a="1"/>
  <c r="D835" i="1" a="1"/>
  <c r="D838" i="1" a="1"/>
  <c r="D843" i="1" a="1"/>
  <c r="D846" i="1" a="1"/>
  <c r="D851" i="1" a="1"/>
  <c r="D854" i="1" a="1"/>
  <c r="D859" i="1" a="1"/>
  <c r="D862" i="1" a="1"/>
  <c r="D867" i="1" a="1"/>
  <c r="D870" i="1" a="1"/>
  <c r="D875" i="1" a="1"/>
  <c r="D878" i="1" a="1"/>
  <c r="D883" i="1" a="1"/>
  <c r="D886" i="1" a="1"/>
  <c r="D891" i="1" a="1"/>
  <c r="D894" i="1" a="1"/>
  <c r="D902" i="1" a="1"/>
  <c r="D915" i="1" a="1"/>
  <c r="D931" i="1" a="1"/>
  <c r="D939" i="1" a="1"/>
  <c r="D947" i="1" a="1"/>
  <c r="D955" i="1" a="1"/>
  <c r="D963" i="1" a="1"/>
  <c r="D581" i="1" a="1"/>
  <c r="D602" i="1" a="1"/>
  <c r="D613" i="1" a="1"/>
  <c r="D633" i="1" a="1"/>
  <c r="D645" i="1" a="1"/>
  <c r="D650" i="1" a="1"/>
  <c r="D661" i="1" a="1"/>
  <c r="D666" i="1" a="1"/>
  <c r="D677" i="1" a="1"/>
  <c r="D682" i="1" a="1"/>
  <c r="D693" i="1" a="1"/>
  <c r="D698" i="1" a="1"/>
  <c r="D709" i="1" a="1"/>
  <c r="D714" i="1" a="1"/>
  <c r="D718" i="1" a="1"/>
  <c r="D722" i="1" a="1"/>
  <c r="D726" i="1" a="1"/>
  <c r="D729" i="1" a="1"/>
  <c r="D732" i="1" a="1"/>
  <c r="D737" i="1" a="1"/>
  <c r="D740" i="1" a="1"/>
  <c r="D745" i="1" a="1"/>
  <c r="D748" i="1" a="1"/>
  <c r="D753" i="1" a="1"/>
  <c r="D756" i="1" a="1"/>
  <c r="D761" i="1" a="1"/>
  <c r="D764" i="1" a="1"/>
  <c r="D769" i="1" a="1"/>
  <c r="D772" i="1" a="1"/>
  <c r="D777" i="1" a="1"/>
  <c r="D780" i="1" a="1"/>
  <c r="D785" i="1" a="1"/>
  <c r="D788" i="1" a="1"/>
  <c r="D793" i="1" a="1"/>
  <c r="D796" i="1" a="1"/>
  <c r="D801" i="1" a="1"/>
  <c r="D804" i="1" a="1"/>
  <c r="D809" i="1" a="1"/>
  <c r="D812" i="1" a="1"/>
  <c r="D817" i="1" a="1"/>
  <c r="D820" i="1" a="1"/>
  <c r="D825" i="1" a="1"/>
  <c r="D828" i="1" a="1"/>
  <c r="D833" i="1" a="1"/>
  <c r="D836" i="1" a="1"/>
  <c r="D841" i="1" a="1"/>
  <c r="D844" i="1" a="1"/>
  <c r="D849" i="1" a="1"/>
  <c r="D852" i="1" a="1"/>
  <c r="D857" i="1" a="1"/>
  <c r="D860" i="1" a="1"/>
  <c r="D865" i="1" a="1"/>
  <c r="D868" i="1" a="1"/>
  <c r="D873" i="1" a="1"/>
  <c r="D876" i="1" a="1"/>
  <c r="D881" i="1" a="1"/>
  <c r="D884" i="1" a="1"/>
  <c r="D889" i="1" a="1"/>
  <c r="D892" i="1" a="1"/>
  <c r="D897" i="1" a="1"/>
  <c r="D900" i="1" a="1"/>
  <c r="D905" i="1" a="1"/>
  <c r="D908" i="1" a="1"/>
  <c r="D913" i="1" a="1"/>
  <c r="D916" i="1" a="1"/>
  <c r="D921" i="1" a="1"/>
  <c r="D924" i="1" a="1"/>
  <c r="D929" i="1" a="1"/>
  <c r="D932" i="1" a="1"/>
  <c r="D937" i="1" a="1"/>
  <c r="D940" i="1" a="1"/>
  <c r="D945" i="1" a="1"/>
  <c r="D948" i="1" a="1"/>
  <c r="D953" i="1" a="1"/>
  <c r="D956" i="1" a="1"/>
  <c r="D961" i="1" a="1"/>
  <c r="D964" i="1" a="1"/>
  <c r="D969" i="1" a="1"/>
  <c r="D971" i="1" a="1"/>
  <c r="D973" i="1" a="1"/>
  <c r="D975" i="1" a="1"/>
  <c r="D977" i="1" a="1"/>
  <c r="D979" i="1" a="1"/>
  <c r="D981" i="1" a="1"/>
  <c r="D983" i="1" a="1"/>
  <c r="D985" i="1" a="1"/>
  <c r="D987" i="1" a="1"/>
  <c r="D989" i="1" a="1"/>
  <c r="D991" i="1" a="1"/>
  <c r="D993" i="1" a="1"/>
  <c r="D995" i="1" a="1"/>
  <c r="D997" i="1" a="1"/>
  <c r="D999" i="1" a="1"/>
  <c r="D1001" i="1" a="1"/>
  <c r="D1003" i="1" a="1"/>
  <c r="D946" i="1" a="1"/>
  <c r="D954" i="1" a="1"/>
  <c r="D959" i="1" a="1"/>
  <c r="D967" i="1" a="1"/>
  <c r="D8" i="1" a="1"/>
  <c r="D967" i="1" l="1"/>
  <c r="D959" i="1"/>
  <c r="D954" i="1"/>
  <c r="D946" i="1"/>
  <c r="D1003" i="1"/>
  <c r="D1001" i="1"/>
  <c r="D999" i="1"/>
  <c r="D997" i="1"/>
  <c r="D995" i="1"/>
  <c r="D993" i="1"/>
  <c r="D991" i="1"/>
  <c r="D989" i="1"/>
  <c r="D987" i="1"/>
  <c r="D985" i="1"/>
  <c r="D983" i="1"/>
  <c r="D981" i="1"/>
  <c r="D979" i="1"/>
  <c r="D977" i="1"/>
  <c r="D975" i="1"/>
  <c r="D973" i="1"/>
  <c r="D971" i="1"/>
  <c r="D969" i="1"/>
  <c r="D964" i="1"/>
  <c r="D961" i="1"/>
  <c r="D956" i="1"/>
  <c r="D953" i="1"/>
  <c r="D948" i="1"/>
  <c r="D945" i="1"/>
  <c r="D940" i="1"/>
  <c r="D937" i="1"/>
  <c r="D932" i="1"/>
  <c r="D929" i="1"/>
  <c r="D924" i="1"/>
  <c r="D921" i="1"/>
  <c r="D916" i="1"/>
  <c r="D913" i="1"/>
  <c r="D908" i="1"/>
  <c r="D905" i="1"/>
  <c r="D900" i="1"/>
  <c r="D897" i="1"/>
  <c r="D892" i="1"/>
  <c r="D889" i="1"/>
  <c r="D884" i="1"/>
  <c r="D881" i="1"/>
  <c r="D876" i="1"/>
  <c r="D873" i="1"/>
  <c r="D868" i="1"/>
  <c r="D865" i="1"/>
  <c r="D860" i="1"/>
  <c r="D857" i="1"/>
  <c r="D852" i="1"/>
  <c r="D849" i="1"/>
  <c r="D844" i="1"/>
  <c r="D841" i="1"/>
  <c r="D836" i="1"/>
  <c r="D833" i="1"/>
  <c r="D828" i="1"/>
  <c r="D825" i="1"/>
  <c r="D820" i="1"/>
  <c r="D817" i="1"/>
  <c r="D812" i="1"/>
  <c r="D809" i="1"/>
  <c r="D804" i="1"/>
  <c r="D801" i="1"/>
  <c r="D796" i="1"/>
  <c r="D793" i="1"/>
  <c r="D788" i="1"/>
  <c r="D785" i="1"/>
  <c r="D780" i="1"/>
  <c r="D777" i="1"/>
  <c r="D772" i="1"/>
  <c r="D769" i="1"/>
  <c r="D764" i="1"/>
  <c r="D761" i="1"/>
  <c r="D756" i="1"/>
  <c r="D753" i="1"/>
  <c r="D748" i="1"/>
  <c r="D745" i="1"/>
  <c r="D740" i="1"/>
  <c r="D737" i="1"/>
  <c r="D732" i="1"/>
  <c r="D729" i="1"/>
  <c r="D726" i="1"/>
  <c r="D722" i="1"/>
  <c r="D718" i="1"/>
  <c r="D714" i="1"/>
  <c r="D709" i="1"/>
  <c r="D698" i="1"/>
  <c r="D693" i="1"/>
  <c r="D682" i="1"/>
  <c r="D677" i="1"/>
  <c r="D666" i="1"/>
  <c r="D661" i="1"/>
  <c r="D650" i="1"/>
  <c r="D645" i="1"/>
  <c r="D633" i="1"/>
  <c r="D613" i="1"/>
  <c r="D602" i="1"/>
  <c r="D581" i="1"/>
  <c r="D963" i="1"/>
  <c r="D955" i="1"/>
  <c r="D947" i="1"/>
  <c r="D939" i="1"/>
  <c r="D931" i="1"/>
  <c r="D915" i="1"/>
  <c r="D902" i="1"/>
  <c r="D894" i="1"/>
  <c r="D891" i="1"/>
  <c r="D886" i="1"/>
  <c r="D883" i="1"/>
  <c r="D878" i="1"/>
  <c r="D875" i="1"/>
  <c r="D870" i="1"/>
  <c r="D867" i="1"/>
  <c r="D862" i="1"/>
  <c r="D859" i="1"/>
  <c r="D854" i="1"/>
  <c r="D851" i="1"/>
  <c r="D846" i="1"/>
  <c r="D843" i="1"/>
  <c r="D838" i="1"/>
  <c r="D835" i="1"/>
  <c r="D830" i="1"/>
  <c r="D827" i="1"/>
  <c r="D822" i="1"/>
  <c r="D819" i="1"/>
  <c r="D814" i="1"/>
  <c r="D811" i="1"/>
  <c r="D806" i="1"/>
  <c r="D803" i="1"/>
  <c r="D798" i="1"/>
  <c r="D795" i="1"/>
  <c r="D790" i="1"/>
  <c r="D787" i="1"/>
  <c r="D782" i="1"/>
  <c r="D779" i="1"/>
  <c r="D774" i="1"/>
  <c r="D771" i="1"/>
  <c r="D766" i="1"/>
  <c r="D763" i="1"/>
  <c r="D758" i="1"/>
  <c r="D755" i="1"/>
  <c r="D750" i="1"/>
  <c r="D747" i="1"/>
  <c r="D742" i="1"/>
  <c r="D739" i="1"/>
  <c r="D734" i="1"/>
  <c r="D731" i="1"/>
  <c r="D712" i="1"/>
  <c r="D707" i="1"/>
  <c r="D696" i="1"/>
  <c r="D691" i="1"/>
  <c r="D680" i="1"/>
  <c r="D675" i="1"/>
  <c r="D664" i="1"/>
  <c r="D659" i="1"/>
  <c r="D648" i="1"/>
  <c r="D643" i="1"/>
  <c r="D619" i="1"/>
  <c r="D608" i="1"/>
  <c r="D587" i="1"/>
  <c r="D576" i="1"/>
  <c r="D966" i="1"/>
  <c r="D958" i="1"/>
  <c r="D950" i="1"/>
  <c r="D942" i="1"/>
  <c r="D934" i="1"/>
  <c r="D926" i="1"/>
  <c r="D923" i="1"/>
  <c r="D918" i="1"/>
  <c r="D910" i="1"/>
  <c r="D907" i="1"/>
  <c r="D899" i="1"/>
  <c r="D1004" i="1"/>
  <c r="D1002" i="1"/>
  <c r="D1000" i="1"/>
  <c r="D998" i="1"/>
  <c r="D996" i="1"/>
  <c r="D994" i="1"/>
  <c r="D992" i="1"/>
  <c r="D990" i="1"/>
  <c r="D988" i="1"/>
  <c r="D986" i="1"/>
  <c r="D984" i="1"/>
  <c r="D982" i="1"/>
  <c r="D980" i="1"/>
  <c r="D978" i="1"/>
  <c r="D976" i="1"/>
  <c r="D974" i="1"/>
  <c r="D972" i="1"/>
  <c r="D970" i="1"/>
  <c r="D968" i="1"/>
  <c r="D965" i="1"/>
  <c r="D960" i="1"/>
  <c r="D957" i="1"/>
  <c r="D952" i="1"/>
  <c r="D949" i="1"/>
  <c r="D944" i="1"/>
  <c r="D941" i="1"/>
  <c r="D936" i="1"/>
  <c r="D933" i="1"/>
  <c r="D928" i="1"/>
  <c r="D925" i="1"/>
  <c r="D920" i="1"/>
  <c r="D917" i="1"/>
  <c r="D912" i="1"/>
  <c r="D909" i="1"/>
  <c r="D904" i="1"/>
  <c r="D901" i="1"/>
  <c r="D896" i="1"/>
  <c r="D893" i="1"/>
  <c r="D888" i="1"/>
  <c r="D885" i="1"/>
  <c r="D880" i="1"/>
  <c r="D877" i="1"/>
  <c r="D872" i="1"/>
  <c r="D869" i="1"/>
  <c r="D864" i="1"/>
  <c r="D861" i="1"/>
  <c r="D856" i="1"/>
  <c r="D853" i="1"/>
  <c r="D848" i="1"/>
  <c r="D845" i="1"/>
  <c r="D840" i="1"/>
  <c r="D837" i="1"/>
  <c r="D832" i="1"/>
  <c r="D829" i="1"/>
  <c r="D824" i="1"/>
  <c r="D821" i="1"/>
  <c r="D816" i="1"/>
  <c r="D813" i="1"/>
  <c r="D808" i="1"/>
  <c r="D805" i="1"/>
  <c r="D800" i="1"/>
  <c r="D797" i="1"/>
  <c r="D792" i="1"/>
  <c r="D789" i="1"/>
  <c r="D784" i="1"/>
  <c r="D781" i="1"/>
  <c r="D776" i="1"/>
  <c r="D773" i="1"/>
  <c r="D768" i="1"/>
  <c r="D765" i="1"/>
  <c r="D760" i="1"/>
  <c r="D757" i="1"/>
  <c r="D752" i="1"/>
  <c r="D749" i="1"/>
  <c r="D744" i="1"/>
  <c r="D741" i="1"/>
  <c r="D736" i="1"/>
  <c r="D733" i="1"/>
  <c r="D728" i="1"/>
  <c r="D724" i="1"/>
  <c r="D720" i="1"/>
  <c r="D716" i="1"/>
  <c r="D706" i="1"/>
  <c r="D701" i="1"/>
  <c r="D690" i="1"/>
  <c r="D685" i="1"/>
  <c r="D674" i="1"/>
  <c r="D669" i="1"/>
  <c r="D658" i="1"/>
  <c r="D653" i="1"/>
  <c r="D642" i="1"/>
  <c r="D637" i="1"/>
  <c r="D629" i="1"/>
  <c r="D618" i="1"/>
  <c r="D597" i="1"/>
  <c r="D586" i="1"/>
  <c r="D962" i="1"/>
  <c r="D951" i="1"/>
  <c r="D943" i="1"/>
  <c r="D938" i="1"/>
  <c r="D935" i="1"/>
  <c r="D930" i="1"/>
  <c r="D927" i="1"/>
  <c r="D922" i="1"/>
  <c r="D919" i="1"/>
  <c r="D914" i="1"/>
  <c r="D911" i="1"/>
  <c r="D906" i="1"/>
  <c r="D903" i="1"/>
  <c r="D898" i="1"/>
  <c r="D895" i="1"/>
  <c r="D890" i="1"/>
  <c r="D887" i="1"/>
  <c r="D882" i="1"/>
  <c r="D879" i="1"/>
  <c r="D874" i="1"/>
  <c r="D871" i="1"/>
  <c r="D866" i="1"/>
  <c r="D863" i="1"/>
  <c r="D858" i="1"/>
  <c r="D855" i="1"/>
  <c r="D850" i="1"/>
  <c r="D847" i="1"/>
  <c r="D842" i="1"/>
  <c r="D839" i="1"/>
  <c r="D834" i="1"/>
  <c r="D831" i="1"/>
  <c r="D826" i="1"/>
  <c r="D823" i="1"/>
  <c r="D818" i="1"/>
  <c r="D815" i="1"/>
  <c r="D810" i="1"/>
  <c r="D807" i="1"/>
  <c r="D802" i="1"/>
  <c r="D799" i="1"/>
  <c r="D794" i="1"/>
  <c r="D791" i="1"/>
  <c r="D786" i="1"/>
  <c r="D783" i="1"/>
  <c r="D778" i="1"/>
  <c r="D775" i="1"/>
  <c r="D770" i="1"/>
  <c r="D767" i="1"/>
  <c r="D762" i="1"/>
  <c r="D759" i="1"/>
  <c r="D754" i="1"/>
  <c r="D751" i="1"/>
  <c r="D746" i="1"/>
  <c r="D743" i="1"/>
  <c r="D738" i="1"/>
  <c r="D735" i="1"/>
  <c r="D730" i="1"/>
  <c r="D704" i="1"/>
  <c r="D699" i="1"/>
  <c r="D688" i="1"/>
  <c r="D683" i="1"/>
  <c r="D672" i="1"/>
  <c r="D667" i="1"/>
  <c r="D656" i="1"/>
  <c r="D651" i="1"/>
  <c r="D640" i="1"/>
  <c r="D624" i="1"/>
  <c r="D603" i="1"/>
  <c r="D592" i="1"/>
  <c r="D570" i="1"/>
  <c r="D711" i="1"/>
  <c r="D708" i="1"/>
  <c r="D703" i="1"/>
  <c r="D700" i="1"/>
  <c r="D695" i="1"/>
  <c r="D692" i="1"/>
  <c r="D687" i="1"/>
  <c r="D684" i="1"/>
  <c r="D679" i="1"/>
  <c r="D676" i="1"/>
  <c r="D671" i="1"/>
  <c r="D668" i="1"/>
  <c r="D663" i="1"/>
  <c r="D660" i="1"/>
  <c r="D655" i="1"/>
  <c r="D652" i="1"/>
  <c r="D647" i="1"/>
  <c r="D644" i="1"/>
  <c r="D639" i="1"/>
  <c r="D627" i="1"/>
  <c r="D616" i="1"/>
  <c r="D611" i="1"/>
  <c r="D600" i="1"/>
  <c r="D595" i="1"/>
  <c r="D584" i="1"/>
  <c r="D579" i="1"/>
  <c r="D568" i="1"/>
  <c r="D563" i="1"/>
  <c r="D552" i="1"/>
  <c r="D547" i="1"/>
  <c r="D536" i="1"/>
  <c r="D531" i="1"/>
  <c r="D501" i="1"/>
  <c r="D485" i="1"/>
  <c r="D727" i="1"/>
  <c r="D725" i="1"/>
  <c r="D723" i="1"/>
  <c r="D721" i="1"/>
  <c r="D719" i="1"/>
  <c r="D717" i="1"/>
  <c r="D715" i="1"/>
  <c r="D713" i="1"/>
  <c r="D710" i="1"/>
  <c r="D705" i="1"/>
  <c r="D702" i="1"/>
  <c r="D697" i="1"/>
  <c r="D694" i="1"/>
  <c r="D689" i="1"/>
  <c r="D686" i="1"/>
  <c r="D681" i="1"/>
  <c r="D678" i="1"/>
  <c r="D673" i="1"/>
  <c r="D670" i="1"/>
  <c r="D665" i="1"/>
  <c r="D662" i="1"/>
  <c r="D657" i="1"/>
  <c r="D654" i="1"/>
  <c r="D649" i="1"/>
  <c r="D646" i="1"/>
  <c r="D641" i="1"/>
  <c r="D638" i="1"/>
  <c r="D635" i="1"/>
  <c r="D631" i="1"/>
  <c r="D626" i="1"/>
  <c r="D621" i="1"/>
  <c r="D610" i="1"/>
  <c r="D605" i="1"/>
  <c r="D594" i="1"/>
  <c r="D589" i="1"/>
  <c r="D578" i="1"/>
  <c r="D573" i="1"/>
  <c r="D562" i="1"/>
  <c r="D557" i="1"/>
  <c r="D546" i="1"/>
  <c r="D541" i="1"/>
  <c r="D530" i="1"/>
  <c r="D525" i="1"/>
  <c r="D519" i="1"/>
  <c r="D511" i="1"/>
  <c r="D500" i="1"/>
  <c r="D482" i="1"/>
  <c r="D571" i="1"/>
  <c r="D560" i="1"/>
  <c r="D555" i="1"/>
  <c r="D544" i="1"/>
  <c r="D539" i="1"/>
  <c r="D528" i="1"/>
  <c r="D523" i="1"/>
  <c r="D506" i="1"/>
  <c r="D565" i="1"/>
  <c r="D554" i="1"/>
  <c r="D549" i="1"/>
  <c r="D538" i="1"/>
  <c r="D533" i="1"/>
  <c r="D522" i="1"/>
  <c r="D515" i="1"/>
  <c r="D493" i="1"/>
  <c r="D461" i="1"/>
  <c r="D628" i="1"/>
  <c r="D623" i="1"/>
  <c r="D620" i="1"/>
  <c r="D615" i="1"/>
  <c r="D612" i="1"/>
  <c r="D607" i="1"/>
  <c r="D604" i="1"/>
  <c r="D599" i="1"/>
  <c r="D596" i="1"/>
  <c r="D591" i="1"/>
  <c r="D588" i="1"/>
  <c r="D583" i="1"/>
  <c r="D580" i="1"/>
  <c r="D575" i="1"/>
  <c r="D572" i="1"/>
  <c r="D567" i="1"/>
  <c r="D564" i="1"/>
  <c r="D559" i="1"/>
  <c r="D556" i="1"/>
  <c r="D551" i="1"/>
  <c r="D548" i="1"/>
  <c r="D543" i="1"/>
  <c r="D540" i="1"/>
  <c r="D535" i="1"/>
  <c r="D532" i="1"/>
  <c r="D527" i="1"/>
  <c r="D524" i="1"/>
  <c r="D509" i="1"/>
  <c r="D498" i="1"/>
  <c r="D490" i="1"/>
  <c r="D469" i="1"/>
  <c r="D458" i="1"/>
  <c r="D437" i="1"/>
  <c r="D426" i="1"/>
  <c r="D405" i="1"/>
  <c r="D636" i="1"/>
  <c r="D634" i="1"/>
  <c r="D632" i="1"/>
  <c r="D630" i="1"/>
  <c r="D625" i="1"/>
  <c r="D622" i="1"/>
  <c r="D617" i="1"/>
  <c r="D614" i="1"/>
  <c r="D609" i="1"/>
  <c r="D606" i="1"/>
  <c r="D601" i="1"/>
  <c r="D598" i="1"/>
  <c r="D593" i="1"/>
  <c r="D590" i="1"/>
  <c r="D585" i="1"/>
  <c r="D582" i="1"/>
  <c r="D577" i="1"/>
  <c r="D574" i="1"/>
  <c r="D569" i="1"/>
  <c r="D566" i="1"/>
  <c r="D561" i="1"/>
  <c r="D558" i="1"/>
  <c r="D553" i="1"/>
  <c r="D550" i="1"/>
  <c r="D545" i="1"/>
  <c r="D542" i="1"/>
  <c r="D537" i="1"/>
  <c r="D534" i="1"/>
  <c r="D529" i="1"/>
  <c r="D526" i="1"/>
  <c r="D521" i="1"/>
  <c r="D517" i="1"/>
  <c r="D513" i="1"/>
  <c r="D508" i="1"/>
  <c r="D503" i="1"/>
  <c r="D477" i="1"/>
  <c r="D466" i="1"/>
  <c r="D445" i="1"/>
  <c r="D434" i="1"/>
  <c r="D413" i="1"/>
  <c r="D402" i="1"/>
  <c r="D474" i="1"/>
  <c r="D453" i="1"/>
  <c r="D442" i="1"/>
  <c r="D421" i="1"/>
  <c r="D410" i="1"/>
  <c r="D450" i="1"/>
  <c r="D429" i="1"/>
  <c r="D418" i="1"/>
  <c r="D397" i="1"/>
  <c r="D394" i="1"/>
  <c r="D389" i="1"/>
  <c r="D386" i="1"/>
  <c r="D381" i="1"/>
  <c r="D378" i="1"/>
  <c r="D373" i="1"/>
  <c r="D370" i="1"/>
  <c r="D365" i="1"/>
  <c r="D362" i="1"/>
  <c r="D357" i="1"/>
  <c r="D354" i="1"/>
  <c r="D349" i="1"/>
  <c r="D346" i="1"/>
  <c r="D341" i="1"/>
  <c r="D338" i="1"/>
  <c r="D333" i="1"/>
  <c r="D330" i="1"/>
  <c r="D325" i="1"/>
  <c r="D322" i="1"/>
  <c r="D317" i="1"/>
  <c r="D253" i="1"/>
  <c r="D242" i="1"/>
  <c r="D237" i="1"/>
  <c r="D226" i="1"/>
  <c r="D221" i="1"/>
  <c r="D210" i="1"/>
  <c r="D204" i="1"/>
  <c r="D196" i="1"/>
  <c r="D188" i="1"/>
  <c r="D180" i="1"/>
  <c r="D170" i="1"/>
  <c r="D159" i="1"/>
  <c r="D138" i="1"/>
  <c r="D127" i="1"/>
  <c r="D106" i="1"/>
  <c r="D95" i="1"/>
  <c r="D74" i="1"/>
  <c r="D63" i="1"/>
  <c r="D42" i="1"/>
  <c r="D31" i="1"/>
  <c r="D495" i="1"/>
  <c r="D492" i="1"/>
  <c r="D487" i="1"/>
  <c r="D484" i="1"/>
  <c r="D479" i="1"/>
  <c r="D476" i="1"/>
  <c r="D471" i="1"/>
  <c r="D468" i="1"/>
  <c r="D463" i="1"/>
  <c r="D460" i="1"/>
  <c r="D455" i="1"/>
  <c r="D452" i="1"/>
  <c r="D447" i="1"/>
  <c r="D444" i="1"/>
  <c r="D439" i="1"/>
  <c r="D436" i="1"/>
  <c r="D431" i="1"/>
  <c r="D428" i="1"/>
  <c r="D423" i="1"/>
  <c r="D420" i="1"/>
  <c r="D415" i="1"/>
  <c r="D412" i="1"/>
  <c r="D407" i="1"/>
  <c r="D404" i="1"/>
  <c r="D399" i="1"/>
  <c r="D396" i="1"/>
  <c r="D391" i="1"/>
  <c r="D388" i="1"/>
  <c r="D383" i="1"/>
  <c r="D380" i="1"/>
  <c r="D375" i="1"/>
  <c r="D372" i="1"/>
  <c r="D367" i="1"/>
  <c r="D364" i="1"/>
  <c r="D359" i="1"/>
  <c r="D356" i="1"/>
  <c r="D351" i="1"/>
  <c r="D348" i="1"/>
  <c r="D343" i="1"/>
  <c r="D340" i="1"/>
  <c r="D335" i="1"/>
  <c r="D332" i="1"/>
  <c r="D327" i="1"/>
  <c r="D324" i="1"/>
  <c r="D319" i="1"/>
  <c r="D316" i="1"/>
  <c r="D313" i="1"/>
  <c r="D309" i="1"/>
  <c r="D305" i="1"/>
  <c r="D301" i="1"/>
  <c r="D297" i="1"/>
  <c r="D293" i="1"/>
  <c r="D289" i="1"/>
  <c r="D285" i="1"/>
  <c r="D281" i="1"/>
  <c r="D277" i="1"/>
  <c r="D273" i="1"/>
  <c r="D269" i="1"/>
  <c r="D265" i="1"/>
  <c r="D261" i="1"/>
  <c r="D257" i="1"/>
  <c r="D252" i="1"/>
  <c r="D247" i="1"/>
  <c r="D236" i="1"/>
  <c r="D231" i="1"/>
  <c r="D220" i="1"/>
  <c r="D215" i="1"/>
  <c r="D169" i="1"/>
  <c r="D148" i="1"/>
  <c r="D137" i="1"/>
  <c r="D116" i="1"/>
  <c r="D105" i="1"/>
  <c r="D84" i="1"/>
  <c r="D73" i="1"/>
  <c r="D52" i="1"/>
  <c r="D41" i="1"/>
  <c r="D510" i="1"/>
  <c r="D505" i="1"/>
  <c r="D502" i="1"/>
  <c r="D497" i="1"/>
  <c r="D494" i="1"/>
  <c r="D489" i="1"/>
  <c r="D486" i="1"/>
  <c r="D481" i="1"/>
  <c r="D478" i="1"/>
  <c r="D473" i="1"/>
  <c r="D470" i="1"/>
  <c r="D465" i="1"/>
  <c r="D462" i="1"/>
  <c r="D457" i="1"/>
  <c r="D454" i="1"/>
  <c r="D449" i="1"/>
  <c r="D446" i="1"/>
  <c r="D441" i="1"/>
  <c r="D438" i="1"/>
  <c r="D433" i="1"/>
  <c r="D430" i="1"/>
  <c r="D425" i="1"/>
  <c r="D422" i="1"/>
  <c r="D417" i="1"/>
  <c r="D414" i="1"/>
  <c r="D409" i="1"/>
  <c r="D406" i="1"/>
  <c r="D401" i="1"/>
  <c r="D398" i="1"/>
  <c r="D393" i="1"/>
  <c r="D390" i="1"/>
  <c r="D385" i="1"/>
  <c r="D382" i="1"/>
  <c r="D377" i="1"/>
  <c r="D374" i="1"/>
  <c r="D369" i="1"/>
  <c r="D366" i="1"/>
  <c r="D361" i="1"/>
  <c r="D358" i="1"/>
  <c r="D353" i="1"/>
  <c r="D350" i="1"/>
  <c r="D345" i="1"/>
  <c r="D342" i="1"/>
  <c r="D337" i="1"/>
  <c r="D334" i="1"/>
  <c r="D329" i="1"/>
  <c r="D326" i="1"/>
  <c r="D321" i="1"/>
  <c r="D318" i="1"/>
  <c r="D250" i="1"/>
  <c r="D245" i="1"/>
  <c r="D234" i="1"/>
  <c r="D229" i="1"/>
  <c r="D218" i="1"/>
  <c r="D213" i="1"/>
  <c r="D200" i="1"/>
  <c r="D192" i="1"/>
  <c r="D184" i="1"/>
  <c r="D175" i="1"/>
  <c r="D154" i="1"/>
  <c r="D143" i="1"/>
  <c r="D122" i="1"/>
  <c r="D111" i="1"/>
  <c r="D90" i="1"/>
  <c r="D79" i="1"/>
  <c r="D58" i="1"/>
  <c r="D47" i="1"/>
  <c r="D520" i="1"/>
  <c r="D518" i="1"/>
  <c r="D516" i="1"/>
  <c r="D514" i="1"/>
  <c r="D512" i="1"/>
  <c r="D507" i="1"/>
  <c r="D504" i="1"/>
  <c r="D499" i="1"/>
  <c r="D496" i="1"/>
  <c r="D491" i="1"/>
  <c r="D488" i="1"/>
  <c r="D483" i="1"/>
  <c r="D480" i="1"/>
  <c r="D475" i="1"/>
  <c r="D472" i="1"/>
  <c r="D467" i="1"/>
  <c r="D464" i="1"/>
  <c r="D459" i="1"/>
  <c r="D456" i="1"/>
  <c r="D451" i="1"/>
  <c r="D448" i="1"/>
  <c r="D443" i="1"/>
  <c r="D440" i="1"/>
  <c r="D435" i="1"/>
  <c r="D432" i="1"/>
  <c r="D427" i="1"/>
  <c r="D424" i="1"/>
  <c r="D419" i="1"/>
  <c r="D416" i="1"/>
  <c r="D411" i="1"/>
  <c r="D408" i="1"/>
  <c r="D403" i="1"/>
  <c r="D400" i="1"/>
  <c r="D395" i="1"/>
  <c r="D392" i="1"/>
  <c r="D387" i="1"/>
  <c r="D384" i="1"/>
  <c r="D379" i="1"/>
  <c r="D376" i="1"/>
  <c r="D371" i="1"/>
  <c r="D368" i="1"/>
  <c r="D363" i="1"/>
  <c r="D360" i="1"/>
  <c r="D355" i="1"/>
  <c r="D352" i="1"/>
  <c r="D347" i="1"/>
  <c r="D344" i="1"/>
  <c r="D339" i="1"/>
  <c r="D336" i="1"/>
  <c r="D331" i="1"/>
  <c r="D328" i="1"/>
  <c r="D323" i="1"/>
  <c r="D320" i="1"/>
  <c r="D315" i="1"/>
  <c r="D311" i="1"/>
  <c r="D307" i="1"/>
  <c r="D303" i="1"/>
  <c r="D299" i="1"/>
  <c r="D295" i="1"/>
  <c r="D291" i="1"/>
  <c r="D287" i="1"/>
  <c r="D283" i="1"/>
  <c r="D279" i="1"/>
  <c r="D275" i="1"/>
  <c r="D271" i="1"/>
  <c r="D267" i="1"/>
  <c r="D263" i="1"/>
  <c r="D259" i="1"/>
  <c r="D255" i="1"/>
  <c r="D244" i="1"/>
  <c r="D239" i="1"/>
  <c r="D228" i="1"/>
  <c r="D223" i="1"/>
  <c r="D212" i="1"/>
  <c r="D207" i="1"/>
  <c r="D164" i="1"/>
  <c r="D153" i="1"/>
  <c r="D132" i="1"/>
  <c r="D121" i="1"/>
  <c r="D100" i="1"/>
  <c r="D89" i="1"/>
  <c r="D68" i="1"/>
  <c r="D57" i="1"/>
  <c r="D36" i="1"/>
  <c r="D254" i="1"/>
  <c r="D249" i="1"/>
  <c r="D246" i="1"/>
  <c r="D241" i="1"/>
  <c r="D238" i="1"/>
  <c r="D233" i="1"/>
  <c r="D230" i="1"/>
  <c r="D225" i="1"/>
  <c r="D222" i="1"/>
  <c r="D217" i="1"/>
  <c r="D214" i="1"/>
  <c r="D209" i="1"/>
  <c r="D206" i="1"/>
  <c r="D202" i="1"/>
  <c r="D198" i="1"/>
  <c r="D194" i="1"/>
  <c r="D190" i="1"/>
  <c r="D186" i="1"/>
  <c r="D182" i="1"/>
  <c r="D178" i="1"/>
  <c r="D167" i="1"/>
  <c r="D162" i="1"/>
  <c r="D151" i="1"/>
  <c r="D146" i="1"/>
  <c r="D135" i="1"/>
  <c r="D130" i="1"/>
  <c r="D119" i="1"/>
  <c r="D114" i="1"/>
  <c r="D103" i="1"/>
  <c r="D98" i="1"/>
  <c r="D87" i="1"/>
  <c r="D82" i="1"/>
  <c r="D71" i="1"/>
  <c r="D66" i="1"/>
  <c r="D55" i="1"/>
  <c r="D50" i="1"/>
  <c r="D39" i="1"/>
  <c r="D34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1" i="1"/>
  <c r="D248" i="1"/>
  <c r="D243" i="1"/>
  <c r="D240" i="1"/>
  <c r="D235" i="1"/>
  <c r="D232" i="1"/>
  <c r="D227" i="1"/>
  <c r="D224" i="1"/>
  <c r="D219" i="1"/>
  <c r="D216" i="1"/>
  <c r="D211" i="1"/>
  <c r="D208" i="1"/>
  <c r="D177" i="1"/>
  <c r="D172" i="1"/>
  <c r="D161" i="1"/>
  <c r="D156" i="1"/>
  <c r="D145" i="1"/>
  <c r="D140" i="1"/>
  <c r="D129" i="1"/>
  <c r="D124" i="1"/>
  <c r="D113" i="1"/>
  <c r="D108" i="1"/>
  <c r="D97" i="1"/>
  <c r="D92" i="1"/>
  <c r="D81" i="1"/>
  <c r="D76" i="1"/>
  <c r="D65" i="1"/>
  <c r="D60" i="1"/>
  <c r="D49" i="1"/>
  <c r="D44" i="1"/>
  <c r="D33" i="1"/>
  <c r="D28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4" i="1"/>
  <c r="D171" i="1"/>
  <c r="D166" i="1"/>
  <c r="D163" i="1"/>
  <c r="D158" i="1"/>
  <c r="D155" i="1"/>
  <c r="D150" i="1"/>
  <c r="D147" i="1"/>
  <c r="D142" i="1"/>
  <c r="D139" i="1"/>
  <c r="D134" i="1"/>
  <c r="D131" i="1"/>
  <c r="D126" i="1"/>
  <c r="D123" i="1"/>
  <c r="D118" i="1"/>
  <c r="D115" i="1"/>
  <c r="D110" i="1"/>
  <c r="D107" i="1"/>
  <c r="D102" i="1"/>
  <c r="D99" i="1"/>
  <c r="D94" i="1"/>
  <c r="D91" i="1"/>
  <c r="D86" i="1"/>
  <c r="D83" i="1"/>
  <c r="D78" i="1"/>
  <c r="D75" i="1"/>
  <c r="D70" i="1"/>
  <c r="D67" i="1"/>
  <c r="D62" i="1"/>
  <c r="D59" i="1"/>
  <c r="D54" i="1"/>
  <c r="D51" i="1"/>
  <c r="D46" i="1"/>
  <c r="D43" i="1"/>
  <c r="D38" i="1"/>
  <c r="D35" i="1"/>
  <c r="D30" i="1"/>
  <c r="D27" i="1"/>
  <c r="D176" i="1"/>
  <c r="D173" i="1"/>
  <c r="D168" i="1"/>
  <c r="D165" i="1"/>
  <c r="D160" i="1"/>
  <c r="D157" i="1"/>
  <c r="D152" i="1"/>
  <c r="D149" i="1"/>
  <c r="D144" i="1"/>
  <c r="D141" i="1"/>
  <c r="D136" i="1"/>
  <c r="D133" i="1"/>
  <c r="D128" i="1"/>
  <c r="D125" i="1"/>
  <c r="D120" i="1"/>
  <c r="D117" i="1"/>
  <c r="D112" i="1"/>
  <c r="D109" i="1"/>
  <c r="D104" i="1"/>
  <c r="D101" i="1"/>
  <c r="D96" i="1"/>
  <c r="D93" i="1"/>
  <c r="D88" i="1"/>
  <c r="D85" i="1"/>
  <c r="D80" i="1"/>
  <c r="D77" i="1"/>
  <c r="D72" i="1"/>
  <c r="D69" i="1"/>
  <c r="D64" i="1"/>
  <c r="D61" i="1"/>
  <c r="D56" i="1"/>
  <c r="D53" i="1"/>
  <c r="D48" i="1"/>
  <c r="D45" i="1"/>
  <c r="D40" i="1"/>
  <c r="D37" i="1"/>
  <c r="D32" i="1"/>
  <c r="D29" i="1"/>
  <c r="D26" i="1"/>
  <c r="D24" i="1"/>
  <c r="D22" i="1"/>
  <c r="D20" i="1"/>
  <c r="D18" i="1"/>
  <c r="D16" i="1"/>
  <c r="D14" i="1"/>
  <c r="D12" i="1"/>
  <c r="D25" i="1"/>
  <c r="D23" i="1"/>
  <c r="D21" i="1"/>
  <c r="D19" i="1"/>
  <c r="D17" i="1"/>
  <c r="D15" i="1"/>
  <c r="D13" i="1"/>
  <c r="D11" i="1"/>
  <c r="D9" i="1"/>
  <c r="D8" i="1"/>
  <c r="C6" i="1" l="1"/>
  <c r="D6" i="1" a="1"/>
  <c r="E3" i="1" l="1"/>
  <c r="G3" i="1" s="1"/>
  <c r="D6" i="1"/>
  <c r="L9" i="1" l="1"/>
  <c r="N9" i="1" s="1"/>
  <c r="L13" i="1"/>
  <c r="N13" i="1" s="1"/>
  <c r="L17" i="1"/>
  <c r="N17" i="1" s="1"/>
  <c r="L21" i="1"/>
  <c r="N21" i="1" s="1"/>
  <c r="L25" i="1"/>
  <c r="N25" i="1" s="1"/>
  <c r="L29" i="1"/>
  <c r="N29" i="1" s="1"/>
  <c r="L33" i="1"/>
  <c r="N33" i="1" s="1"/>
  <c r="L37" i="1"/>
  <c r="N37" i="1" s="1"/>
  <c r="L41" i="1"/>
  <c r="N41" i="1" s="1"/>
  <c r="L45" i="1"/>
  <c r="N45" i="1" s="1"/>
  <c r="L49" i="1"/>
  <c r="N49" i="1" s="1"/>
  <c r="L53" i="1"/>
  <c r="N53" i="1" s="1"/>
  <c r="L57" i="1"/>
  <c r="N57" i="1" s="1"/>
  <c r="L61" i="1"/>
  <c r="N61" i="1" s="1"/>
  <c r="L65" i="1"/>
  <c r="N65" i="1" s="1"/>
  <c r="L69" i="1"/>
  <c r="N69" i="1" s="1"/>
  <c r="L73" i="1"/>
  <c r="N73" i="1" s="1"/>
  <c r="L77" i="1"/>
  <c r="N77" i="1" s="1"/>
  <c r="L81" i="1"/>
  <c r="N81" i="1" s="1"/>
  <c r="L85" i="1"/>
  <c r="N85" i="1" s="1"/>
  <c r="L89" i="1"/>
  <c r="N89" i="1" s="1"/>
  <c r="L93" i="1"/>
  <c r="N93" i="1" s="1"/>
  <c r="L97" i="1"/>
  <c r="N97" i="1" s="1"/>
  <c r="L101" i="1"/>
  <c r="N101" i="1" s="1"/>
  <c r="L105" i="1"/>
  <c r="N105" i="1" s="1"/>
  <c r="L109" i="1"/>
  <c r="N109" i="1" s="1"/>
  <c r="L113" i="1"/>
  <c r="N113" i="1" s="1"/>
  <c r="L117" i="1"/>
  <c r="N117" i="1" s="1"/>
  <c r="L121" i="1"/>
  <c r="N121" i="1" s="1"/>
  <c r="L125" i="1"/>
  <c r="N125" i="1" s="1"/>
  <c r="L129" i="1"/>
  <c r="N129" i="1" s="1"/>
  <c r="L133" i="1"/>
  <c r="N133" i="1" s="1"/>
  <c r="L137" i="1"/>
  <c r="N137" i="1" s="1"/>
  <c r="L141" i="1"/>
  <c r="N141" i="1" s="1"/>
  <c r="L145" i="1"/>
  <c r="N145" i="1" s="1"/>
  <c r="L149" i="1"/>
  <c r="N149" i="1" s="1"/>
  <c r="L153" i="1"/>
  <c r="N153" i="1" s="1"/>
  <c r="L157" i="1"/>
  <c r="N157" i="1" s="1"/>
  <c r="L161" i="1"/>
  <c r="N161" i="1" s="1"/>
  <c r="L165" i="1"/>
  <c r="N165" i="1" s="1"/>
  <c r="L169" i="1"/>
  <c r="N169" i="1" s="1"/>
  <c r="L173" i="1"/>
  <c r="N173" i="1" s="1"/>
  <c r="L177" i="1"/>
  <c r="N177" i="1" s="1"/>
  <c r="L181" i="1"/>
  <c r="N181" i="1" s="1"/>
  <c r="L185" i="1"/>
  <c r="N185" i="1" s="1"/>
  <c r="L10" i="1"/>
  <c r="N10" i="1" s="1"/>
  <c r="L14" i="1"/>
  <c r="N14" i="1" s="1"/>
  <c r="L18" i="1"/>
  <c r="N18" i="1" s="1"/>
  <c r="L22" i="1"/>
  <c r="N22" i="1" s="1"/>
  <c r="L26" i="1"/>
  <c r="N26" i="1" s="1"/>
  <c r="L30" i="1"/>
  <c r="N30" i="1" s="1"/>
  <c r="L34" i="1"/>
  <c r="N34" i="1" s="1"/>
  <c r="L38" i="1"/>
  <c r="N38" i="1" s="1"/>
  <c r="L42" i="1"/>
  <c r="N42" i="1" s="1"/>
  <c r="L46" i="1"/>
  <c r="N46" i="1" s="1"/>
  <c r="L50" i="1"/>
  <c r="N50" i="1" s="1"/>
  <c r="L54" i="1"/>
  <c r="N54" i="1" s="1"/>
  <c r="L58" i="1"/>
  <c r="N58" i="1" s="1"/>
  <c r="L62" i="1"/>
  <c r="N62" i="1" s="1"/>
  <c r="L66" i="1"/>
  <c r="N66" i="1" s="1"/>
  <c r="L70" i="1"/>
  <c r="N70" i="1" s="1"/>
  <c r="L74" i="1"/>
  <c r="N74" i="1" s="1"/>
  <c r="L78" i="1"/>
  <c r="N78" i="1" s="1"/>
  <c r="L82" i="1"/>
  <c r="N82" i="1" s="1"/>
  <c r="L86" i="1"/>
  <c r="N86" i="1" s="1"/>
  <c r="L90" i="1"/>
  <c r="N90" i="1" s="1"/>
  <c r="L94" i="1"/>
  <c r="N94" i="1" s="1"/>
  <c r="L98" i="1"/>
  <c r="N98" i="1" s="1"/>
  <c r="L102" i="1"/>
  <c r="N102" i="1" s="1"/>
  <c r="L106" i="1"/>
  <c r="N106" i="1" s="1"/>
  <c r="L110" i="1"/>
  <c r="N110" i="1" s="1"/>
  <c r="L114" i="1"/>
  <c r="N114" i="1" s="1"/>
  <c r="L118" i="1"/>
  <c r="N118" i="1" s="1"/>
  <c r="L122" i="1"/>
  <c r="N122" i="1" s="1"/>
  <c r="L126" i="1"/>
  <c r="N126" i="1" s="1"/>
  <c r="L130" i="1"/>
  <c r="N130" i="1" s="1"/>
  <c r="L134" i="1"/>
  <c r="N134" i="1" s="1"/>
  <c r="L138" i="1"/>
  <c r="N138" i="1" s="1"/>
  <c r="L142" i="1"/>
  <c r="N142" i="1" s="1"/>
  <c r="L146" i="1"/>
  <c r="N146" i="1" s="1"/>
  <c r="L150" i="1"/>
  <c r="N150" i="1" s="1"/>
  <c r="L154" i="1"/>
  <c r="N154" i="1" s="1"/>
  <c r="L158" i="1"/>
  <c r="N158" i="1" s="1"/>
  <c r="L162" i="1"/>
  <c r="N162" i="1" s="1"/>
  <c r="L166" i="1"/>
  <c r="N166" i="1" s="1"/>
  <c r="L170" i="1"/>
  <c r="N170" i="1" s="1"/>
  <c r="L174" i="1"/>
  <c r="N174" i="1" s="1"/>
  <c r="L178" i="1"/>
  <c r="N178" i="1" s="1"/>
  <c r="L182" i="1"/>
  <c r="N182" i="1" s="1"/>
  <c r="L186" i="1"/>
  <c r="N186" i="1" s="1"/>
  <c r="L190" i="1"/>
  <c r="N190" i="1" s="1"/>
  <c r="L194" i="1"/>
  <c r="N194" i="1" s="1"/>
  <c r="L198" i="1"/>
  <c r="N198" i="1" s="1"/>
  <c r="L202" i="1"/>
  <c r="N202" i="1" s="1"/>
  <c r="L206" i="1"/>
  <c r="N206" i="1" s="1"/>
  <c r="L210" i="1"/>
  <c r="N210" i="1" s="1"/>
  <c r="L214" i="1"/>
  <c r="N214" i="1" s="1"/>
  <c r="L218" i="1"/>
  <c r="N218" i="1" s="1"/>
  <c r="L222" i="1"/>
  <c r="N222" i="1" s="1"/>
  <c r="L7" i="1"/>
  <c r="N7" i="1" s="1"/>
  <c r="L11" i="1"/>
  <c r="N11" i="1" s="1"/>
  <c r="L15" i="1"/>
  <c r="N15" i="1" s="1"/>
  <c r="L19" i="1"/>
  <c r="N19" i="1" s="1"/>
  <c r="L23" i="1"/>
  <c r="N23" i="1" s="1"/>
  <c r="L27" i="1"/>
  <c r="N27" i="1" s="1"/>
  <c r="L31" i="1"/>
  <c r="N31" i="1" s="1"/>
  <c r="L35" i="1"/>
  <c r="N35" i="1" s="1"/>
  <c r="L39" i="1"/>
  <c r="N39" i="1" s="1"/>
  <c r="L43" i="1"/>
  <c r="N43" i="1" s="1"/>
  <c r="L47" i="1"/>
  <c r="N47" i="1" s="1"/>
  <c r="L51" i="1"/>
  <c r="N51" i="1" s="1"/>
  <c r="L55" i="1"/>
  <c r="N55" i="1" s="1"/>
  <c r="L59" i="1"/>
  <c r="N59" i="1" s="1"/>
  <c r="L63" i="1"/>
  <c r="N63" i="1" s="1"/>
  <c r="L67" i="1"/>
  <c r="N67" i="1" s="1"/>
  <c r="L71" i="1"/>
  <c r="N71" i="1" s="1"/>
  <c r="L75" i="1"/>
  <c r="N75" i="1" s="1"/>
  <c r="L79" i="1"/>
  <c r="N79" i="1" s="1"/>
  <c r="L83" i="1"/>
  <c r="N83" i="1" s="1"/>
  <c r="L87" i="1"/>
  <c r="N87" i="1" s="1"/>
  <c r="L91" i="1"/>
  <c r="N91" i="1" s="1"/>
  <c r="L95" i="1"/>
  <c r="N95" i="1" s="1"/>
  <c r="L99" i="1"/>
  <c r="N99" i="1" s="1"/>
  <c r="L103" i="1"/>
  <c r="N103" i="1" s="1"/>
  <c r="L107" i="1"/>
  <c r="N107" i="1" s="1"/>
  <c r="L111" i="1"/>
  <c r="N111" i="1" s="1"/>
  <c r="L115" i="1"/>
  <c r="N115" i="1" s="1"/>
  <c r="L119" i="1"/>
  <c r="N119" i="1" s="1"/>
  <c r="L123" i="1"/>
  <c r="N123" i="1" s="1"/>
  <c r="L127" i="1"/>
  <c r="N127" i="1" s="1"/>
  <c r="L131" i="1"/>
  <c r="N131" i="1" s="1"/>
  <c r="L135" i="1"/>
  <c r="N135" i="1" s="1"/>
  <c r="L139" i="1"/>
  <c r="N139" i="1" s="1"/>
  <c r="L143" i="1"/>
  <c r="N143" i="1" s="1"/>
  <c r="L147" i="1"/>
  <c r="N147" i="1" s="1"/>
  <c r="L151" i="1"/>
  <c r="N151" i="1" s="1"/>
  <c r="L155" i="1"/>
  <c r="N155" i="1" s="1"/>
  <c r="L159" i="1"/>
  <c r="N159" i="1" s="1"/>
  <c r="L163" i="1"/>
  <c r="N163" i="1" s="1"/>
  <c r="L167" i="1"/>
  <c r="N167" i="1" s="1"/>
  <c r="L171" i="1"/>
  <c r="N171" i="1" s="1"/>
  <c r="L175" i="1"/>
  <c r="N175" i="1" s="1"/>
  <c r="L179" i="1"/>
  <c r="N179" i="1" s="1"/>
  <c r="L183" i="1"/>
  <c r="N183" i="1" s="1"/>
  <c r="L187" i="1"/>
  <c r="N187" i="1" s="1"/>
  <c r="L191" i="1"/>
  <c r="N191" i="1" s="1"/>
  <c r="L195" i="1"/>
  <c r="N195" i="1" s="1"/>
  <c r="L199" i="1"/>
  <c r="N199" i="1" s="1"/>
  <c r="L203" i="1"/>
  <c r="N203" i="1" s="1"/>
  <c r="L207" i="1"/>
  <c r="N207" i="1" s="1"/>
  <c r="L211" i="1"/>
  <c r="N211" i="1" s="1"/>
  <c r="L215" i="1"/>
  <c r="N215" i="1" s="1"/>
  <c r="L219" i="1"/>
  <c r="N219" i="1" s="1"/>
  <c r="L223" i="1"/>
  <c r="N223" i="1" s="1"/>
  <c r="L16" i="1"/>
  <c r="N16" i="1" s="1"/>
  <c r="L32" i="1"/>
  <c r="N32" i="1" s="1"/>
  <c r="L48" i="1"/>
  <c r="N48" i="1" s="1"/>
  <c r="L64" i="1"/>
  <c r="N64" i="1" s="1"/>
  <c r="L80" i="1"/>
  <c r="N80" i="1" s="1"/>
  <c r="L96" i="1"/>
  <c r="N96" i="1" s="1"/>
  <c r="L112" i="1"/>
  <c r="N112" i="1" s="1"/>
  <c r="L128" i="1"/>
  <c r="N128" i="1" s="1"/>
  <c r="L144" i="1"/>
  <c r="N144" i="1" s="1"/>
  <c r="L160" i="1"/>
  <c r="N160" i="1" s="1"/>
  <c r="L176" i="1"/>
  <c r="N176" i="1" s="1"/>
  <c r="L189" i="1"/>
  <c r="N189" i="1" s="1"/>
  <c r="L197" i="1"/>
  <c r="N197" i="1" s="1"/>
  <c r="L205" i="1"/>
  <c r="N205" i="1" s="1"/>
  <c r="L213" i="1"/>
  <c r="N213" i="1" s="1"/>
  <c r="L221" i="1"/>
  <c r="N221" i="1" s="1"/>
  <c r="L227" i="1"/>
  <c r="N227" i="1" s="1"/>
  <c r="L231" i="1"/>
  <c r="N231" i="1" s="1"/>
  <c r="L235" i="1"/>
  <c r="N235" i="1" s="1"/>
  <c r="L239" i="1"/>
  <c r="N239" i="1" s="1"/>
  <c r="L243" i="1"/>
  <c r="N243" i="1" s="1"/>
  <c r="L247" i="1"/>
  <c r="N247" i="1" s="1"/>
  <c r="L251" i="1"/>
  <c r="N251" i="1" s="1"/>
  <c r="L255" i="1"/>
  <c r="N255" i="1" s="1"/>
  <c r="L259" i="1"/>
  <c r="N259" i="1" s="1"/>
  <c r="L263" i="1"/>
  <c r="N263" i="1" s="1"/>
  <c r="L267" i="1"/>
  <c r="N267" i="1" s="1"/>
  <c r="L271" i="1"/>
  <c r="N271" i="1" s="1"/>
  <c r="L275" i="1"/>
  <c r="N275" i="1" s="1"/>
  <c r="L279" i="1"/>
  <c r="N279" i="1" s="1"/>
  <c r="L283" i="1"/>
  <c r="N283" i="1" s="1"/>
  <c r="L287" i="1"/>
  <c r="N287" i="1" s="1"/>
  <c r="L291" i="1"/>
  <c r="N291" i="1" s="1"/>
  <c r="L295" i="1"/>
  <c r="N295" i="1" s="1"/>
  <c r="L299" i="1"/>
  <c r="N299" i="1" s="1"/>
  <c r="L303" i="1"/>
  <c r="N303" i="1" s="1"/>
  <c r="L307" i="1"/>
  <c r="N307" i="1" s="1"/>
  <c r="L311" i="1"/>
  <c r="N311" i="1" s="1"/>
  <c r="L315" i="1"/>
  <c r="N315" i="1" s="1"/>
  <c r="L319" i="1"/>
  <c r="N319" i="1" s="1"/>
  <c r="L323" i="1"/>
  <c r="N323" i="1" s="1"/>
  <c r="L327" i="1"/>
  <c r="N327" i="1" s="1"/>
  <c r="L331" i="1"/>
  <c r="N331" i="1" s="1"/>
  <c r="L335" i="1"/>
  <c r="N335" i="1" s="1"/>
  <c r="L339" i="1"/>
  <c r="N339" i="1" s="1"/>
  <c r="L343" i="1"/>
  <c r="N343" i="1" s="1"/>
  <c r="L347" i="1"/>
  <c r="N347" i="1" s="1"/>
  <c r="L351" i="1"/>
  <c r="N351" i="1" s="1"/>
  <c r="L355" i="1"/>
  <c r="N355" i="1" s="1"/>
  <c r="L359" i="1"/>
  <c r="N359" i="1" s="1"/>
  <c r="L363" i="1"/>
  <c r="N363" i="1" s="1"/>
  <c r="L367" i="1"/>
  <c r="N367" i="1" s="1"/>
  <c r="L371" i="1"/>
  <c r="N371" i="1" s="1"/>
  <c r="L375" i="1"/>
  <c r="N375" i="1" s="1"/>
  <c r="L379" i="1"/>
  <c r="N379" i="1" s="1"/>
  <c r="L383" i="1"/>
  <c r="N383" i="1" s="1"/>
  <c r="L387" i="1"/>
  <c r="N387" i="1" s="1"/>
  <c r="L391" i="1"/>
  <c r="N391" i="1" s="1"/>
  <c r="L395" i="1"/>
  <c r="N395" i="1" s="1"/>
  <c r="L399" i="1"/>
  <c r="N399" i="1" s="1"/>
  <c r="L403" i="1"/>
  <c r="N403" i="1" s="1"/>
  <c r="L407" i="1"/>
  <c r="N407" i="1" s="1"/>
  <c r="L411" i="1"/>
  <c r="N411" i="1" s="1"/>
  <c r="L415" i="1"/>
  <c r="N415" i="1" s="1"/>
  <c r="L419" i="1"/>
  <c r="N419" i="1" s="1"/>
  <c r="L423" i="1"/>
  <c r="N423" i="1" s="1"/>
  <c r="L427" i="1"/>
  <c r="N427" i="1" s="1"/>
  <c r="L431" i="1"/>
  <c r="N431" i="1" s="1"/>
  <c r="L435" i="1"/>
  <c r="N435" i="1" s="1"/>
  <c r="L439" i="1"/>
  <c r="N439" i="1" s="1"/>
  <c r="L443" i="1"/>
  <c r="N443" i="1" s="1"/>
  <c r="L447" i="1"/>
  <c r="N447" i="1" s="1"/>
  <c r="L451" i="1"/>
  <c r="N451" i="1" s="1"/>
  <c r="L455" i="1"/>
  <c r="N455" i="1" s="1"/>
  <c r="L459" i="1"/>
  <c r="N459" i="1" s="1"/>
  <c r="L463" i="1"/>
  <c r="N463" i="1" s="1"/>
  <c r="L467" i="1"/>
  <c r="N467" i="1" s="1"/>
  <c r="L20" i="1"/>
  <c r="N20" i="1" s="1"/>
  <c r="L36" i="1"/>
  <c r="N36" i="1" s="1"/>
  <c r="L52" i="1"/>
  <c r="N52" i="1" s="1"/>
  <c r="L68" i="1"/>
  <c r="N68" i="1" s="1"/>
  <c r="L84" i="1"/>
  <c r="N84" i="1" s="1"/>
  <c r="L100" i="1"/>
  <c r="N100" i="1" s="1"/>
  <c r="L116" i="1"/>
  <c r="N116" i="1" s="1"/>
  <c r="L132" i="1"/>
  <c r="N132" i="1" s="1"/>
  <c r="L148" i="1"/>
  <c r="N148" i="1" s="1"/>
  <c r="L164" i="1"/>
  <c r="N164" i="1" s="1"/>
  <c r="L180" i="1"/>
  <c r="N180" i="1" s="1"/>
  <c r="L192" i="1"/>
  <c r="N192" i="1" s="1"/>
  <c r="L200" i="1"/>
  <c r="N200" i="1" s="1"/>
  <c r="L208" i="1"/>
  <c r="N208" i="1" s="1"/>
  <c r="L216" i="1"/>
  <c r="N216" i="1" s="1"/>
  <c r="L224" i="1"/>
  <c r="N224" i="1" s="1"/>
  <c r="L228" i="1"/>
  <c r="N228" i="1" s="1"/>
  <c r="L232" i="1"/>
  <c r="N232" i="1" s="1"/>
  <c r="L236" i="1"/>
  <c r="N236" i="1" s="1"/>
  <c r="L240" i="1"/>
  <c r="N240" i="1" s="1"/>
  <c r="L244" i="1"/>
  <c r="N244" i="1" s="1"/>
  <c r="L248" i="1"/>
  <c r="N248" i="1" s="1"/>
  <c r="L252" i="1"/>
  <c r="N252" i="1" s="1"/>
  <c r="L256" i="1"/>
  <c r="N256" i="1" s="1"/>
  <c r="L260" i="1"/>
  <c r="N260" i="1" s="1"/>
  <c r="L264" i="1"/>
  <c r="N264" i="1" s="1"/>
  <c r="L268" i="1"/>
  <c r="N268" i="1" s="1"/>
  <c r="L272" i="1"/>
  <c r="N272" i="1" s="1"/>
  <c r="L276" i="1"/>
  <c r="N276" i="1" s="1"/>
  <c r="L280" i="1"/>
  <c r="N280" i="1" s="1"/>
  <c r="L284" i="1"/>
  <c r="N284" i="1" s="1"/>
  <c r="L288" i="1"/>
  <c r="N288" i="1" s="1"/>
  <c r="L292" i="1"/>
  <c r="N292" i="1" s="1"/>
  <c r="L296" i="1"/>
  <c r="N296" i="1" s="1"/>
  <c r="L300" i="1"/>
  <c r="N300" i="1" s="1"/>
  <c r="L304" i="1"/>
  <c r="N304" i="1" s="1"/>
  <c r="L308" i="1"/>
  <c r="N308" i="1" s="1"/>
  <c r="L312" i="1"/>
  <c r="N312" i="1" s="1"/>
  <c r="L316" i="1"/>
  <c r="N316" i="1" s="1"/>
  <c r="L320" i="1"/>
  <c r="N320" i="1" s="1"/>
  <c r="L324" i="1"/>
  <c r="N324" i="1" s="1"/>
  <c r="L328" i="1"/>
  <c r="N328" i="1" s="1"/>
  <c r="L332" i="1"/>
  <c r="N332" i="1" s="1"/>
  <c r="L336" i="1"/>
  <c r="N336" i="1" s="1"/>
  <c r="L340" i="1"/>
  <c r="N340" i="1" s="1"/>
  <c r="L344" i="1"/>
  <c r="N344" i="1" s="1"/>
  <c r="L348" i="1"/>
  <c r="N348" i="1" s="1"/>
  <c r="L352" i="1"/>
  <c r="N352" i="1" s="1"/>
  <c r="L356" i="1"/>
  <c r="N356" i="1" s="1"/>
  <c r="L360" i="1"/>
  <c r="N360" i="1" s="1"/>
  <c r="L364" i="1"/>
  <c r="N364" i="1" s="1"/>
  <c r="L368" i="1"/>
  <c r="N368" i="1" s="1"/>
  <c r="L372" i="1"/>
  <c r="N372" i="1" s="1"/>
  <c r="L376" i="1"/>
  <c r="N376" i="1" s="1"/>
  <c r="L380" i="1"/>
  <c r="N380" i="1" s="1"/>
  <c r="L384" i="1"/>
  <c r="N384" i="1" s="1"/>
  <c r="L388" i="1"/>
  <c r="N388" i="1" s="1"/>
  <c r="L392" i="1"/>
  <c r="N392" i="1" s="1"/>
  <c r="L396" i="1"/>
  <c r="N396" i="1" s="1"/>
  <c r="L400" i="1"/>
  <c r="N400" i="1" s="1"/>
  <c r="L404" i="1"/>
  <c r="N404" i="1" s="1"/>
  <c r="L408" i="1"/>
  <c r="N408" i="1" s="1"/>
  <c r="L412" i="1"/>
  <c r="N412" i="1" s="1"/>
  <c r="L416" i="1"/>
  <c r="N416" i="1" s="1"/>
  <c r="L420" i="1"/>
  <c r="N420" i="1" s="1"/>
  <c r="L424" i="1"/>
  <c r="N424" i="1" s="1"/>
  <c r="L428" i="1"/>
  <c r="N428" i="1" s="1"/>
  <c r="L432" i="1"/>
  <c r="N432" i="1" s="1"/>
  <c r="L436" i="1"/>
  <c r="N436" i="1" s="1"/>
  <c r="L440" i="1"/>
  <c r="N440" i="1" s="1"/>
  <c r="L444" i="1"/>
  <c r="N444" i="1" s="1"/>
  <c r="L448" i="1"/>
  <c r="N448" i="1" s="1"/>
  <c r="L452" i="1"/>
  <c r="N452" i="1" s="1"/>
  <c r="L456" i="1"/>
  <c r="N456" i="1" s="1"/>
  <c r="L460" i="1"/>
  <c r="N460" i="1" s="1"/>
  <c r="L464" i="1"/>
  <c r="N464" i="1" s="1"/>
  <c r="L468" i="1"/>
  <c r="N468" i="1" s="1"/>
  <c r="L472" i="1"/>
  <c r="N472" i="1" s="1"/>
  <c r="L476" i="1"/>
  <c r="N476" i="1" s="1"/>
  <c r="L480" i="1"/>
  <c r="N480" i="1" s="1"/>
  <c r="L484" i="1"/>
  <c r="N484" i="1" s="1"/>
  <c r="L488" i="1"/>
  <c r="N488" i="1" s="1"/>
  <c r="L492" i="1"/>
  <c r="N492" i="1" s="1"/>
  <c r="L496" i="1"/>
  <c r="N496" i="1" s="1"/>
  <c r="L8" i="1"/>
  <c r="N8" i="1" s="1"/>
  <c r="L24" i="1"/>
  <c r="N24" i="1" s="1"/>
  <c r="L40" i="1"/>
  <c r="N40" i="1" s="1"/>
  <c r="L56" i="1"/>
  <c r="N56" i="1" s="1"/>
  <c r="L72" i="1"/>
  <c r="N72" i="1" s="1"/>
  <c r="L88" i="1"/>
  <c r="N88" i="1" s="1"/>
  <c r="L104" i="1"/>
  <c r="N104" i="1" s="1"/>
  <c r="L120" i="1"/>
  <c r="N120" i="1" s="1"/>
  <c r="L136" i="1"/>
  <c r="N136" i="1" s="1"/>
  <c r="L152" i="1"/>
  <c r="N152" i="1" s="1"/>
  <c r="L168" i="1"/>
  <c r="N168" i="1" s="1"/>
  <c r="L184" i="1"/>
  <c r="N184" i="1" s="1"/>
  <c r="L193" i="1"/>
  <c r="N193" i="1" s="1"/>
  <c r="L201" i="1"/>
  <c r="N201" i="1" s="1"/>
  <c r="L209" i="1"/>
  <c r="N209" i="1" s="1"/>
  <c r="L217" i="1"/>
  <c r="N217" i="1" s="1"/>
  <c r="L225" i="1"/>
  <c r="N225" i="1" s="1"/>
  <c r="L229" i="1"/>
  <c r="N229" i="1" s="1"/>
  <c r="L233" i="1"/>
  <c r="N233" i="1" s="1"/>
  <c r="L237" i="1"/>
  <c r="N237" i="1" s="1"/>
  <c r="L241" i="1"/>
  <c r="N241" i="1" s="1"/>
  <c r="L245" i="1"/>
  <c r="N245" i="1" s="1"/>
  <c r="L249" i="1"/>
  <c r="N249" i="1" s="1"/>
  <c r="L253" i="1"/>
  <c r="N253" i="1" s="1"/>
  <c r="L257" i="1"/>
  <c r="N257" i="1" s="1"/>
  <c r="L261" i="1"/>
  <c r="N261" i="1" s="1"/>
  <c r="L265" i="1"/>
  <c r="N265" i="1" s="1"/>
  <c r="L269" i="1"/>
  <c r="N269" i="1" s="1"/>
  <c r="L273" i="1"/>
  <c r="N273" i="1" s="1"/>
  <c r="L277" i="1"/>
  <c r="N277" i="1" s="1"/>
  <c r="L281" i="1"/>
  <c r="N281" i="1" s="1"/>
  <c r="L285" i="1"/>
  <c r="N285" i="1" s="1"/>
  <c r="L289" i="1"/>
  <c r="N289" i="1" s="1"/>
  <c r="L293" i="1"/>
  <c r="N293" i="1" s="1"/>
  <c r="L297" i="1"/>
  <c r="N297" i="1" s="1"/>
  <c r="L301" i="1"/>
  <c r="N301" i="1" s="1"/>
  <c r="L305" i="1"/>
  <c r="N305" i="1" s="1"/>
  <c r="L309" i="1"/>
  <c r="N309" i="1" s="1"/>
  <c r="L313" i="1"/>
  <c r="N313" i="1" s="1"/>
  <c r="L317" i="1"/>
  <c r="N317" i="1" s="1"/>
  <c r="L321" i="1"/>
  <c r="N321" i="1" s="1"/>
  <c r="L325" i="1"/>
  <c r="N325" i="1" s="1"/>
  <c r="L329" i="1"/>
  <c r="N329" i="1" s="1"/>
  <c r="L333" i="1"/>
  <c r="N333" i="1" s="1"/>
  <c r="L337" i="1"/>
  <c r="N337" i="1" s="1"/>
  <c r="L341" i="1"/>
  <c r="N341" i="1" s="1"/>
  <c r="L345" i="1"/>
  <c r="N345" i="1" s="1"/>
  <c r="L349" i="1"/>
  <c r="N349" i="1" s="1"/>
  <c r="L353" i="1"/>
  <c r="N353" i="1" s="1"/>
  <c r="L357" i="1"/>
  <c r="N357" i="1" s="1"/>
  <c r="L361" i="1"/>
  <c r="N361" i="1" s="1"/>
  <c r="L365" i="1"/>
  <c r="N365" i="1" s="1"/>
  <c r="L369" i="1"/>
  <c r="N369" i="1" s="1"/>
  <c r="L373" i="1"/>
  <c r="N373" i="1" s="1"/>
  <c r="L377" i="1"/>
  <c r="N377" i="1" s="1"/>
  <c r="L381" i="1"/>
  <c r="N381" i="1" s="1"/>
  <c r="L385" i="1"/>
  <c r="N385" i="1" s="1"/>
  <c r="L389" i="1"/>
  <c r="N389" i="1" s="1"/>
  <c r="L393" i="1"/>
  <c r="N393" i="1" s="1"/>
  <c r="L397" i="1"/>
  <c r="N397" i="1" s="1"/>
  <c r="L401" i="1"/>
  <c r="N401" i="1" s="1"/>
  <c r="L405" i="1"/>
  <c r="N405" i="1" s="1"/>
  <c r="L409" i="1"/>
  <c r="N409" i="1" s="1"/>
  <c r="L413" i="1"/>
  <c r="N413" i="1" s="1"/>
  <c r="L417" i="1"/>
  <c r="N417" i="1" s="1"/>
  <c r="L421" i="1"/>
  <c r="N421" i="1" s="1"/>
  <c r="L425" i="1"/>
  <c r="N425" i="1" s="1"/>
  <c r="L429" i="1"/>
  <c r="N429" i="1" s="1"/>
  <c r="L433" i="1"/>
  <c r="N433" i="1" s="1"/>
  <c r="L437" i="1"/>
  <c r="N437" i="1" s="1"/>
  <c r="L441" i="1"/>
  <c r="N441" i="1" s="1"/>
  <c r="L445" i="1"/>
  <c r="N445" i="1" s="1"/>
  <c r="L449" i="1"/>
  <c r="N449" i="1" s="1"/>
  <c r="L453" i="1"/>
  <c r="N453" i="1" s="1"/>
  <c r="L457" i="1"/>
  <c r="N457" i="1" s="1"/>
  <c r="L461" i="1"/>
  <c r="N461" i="1" s="1"/>
  <c r="L465" i="1"/>
  <c r="N465" i="1" s="1"/>
  <c r="L469" i="1"/>
  <c r="N469" i="1" s="1"/>
  <c r="L473" i="1"/>
  <c r="N473" i="1" s="1"/>
  <c r="L477" i="1"/>
  <c r="N477" i="1" s="1"/>
  <c r="L481" i="1"/>
  <c r="N481" i="1" s="1"/>
  <c r="L485" i="1"/>
  <c r="N485" i="1" s="1"/>
  <c r="L489" i="1"/>
  <c r="N489" i="1" s="1"/>
  <c r="L493" i="1"/>
  <c r="N493" i="1" s="1"/>
  <c r="L497" i="1"/>
  <c r="N497" i="1" s="1"/>
  <c r="L28" i="1"/>
  <c r="N28" i="1" s="1"/>
  <c r="L92" i="1"/>
  <c r="N92" i="1" s="1"/>
  <c r="L156" i="1"/>
  <c r="N156" i="1" s="1"/>
  <c r="L204" i="1"/>
  <c r="N204" i="1" s="1"/>
  <c r="L230" i="1"/>
  <c r="N230" i="1" s="1"/>
  <c r="L246" i="1"/>
  <c r="N246" i="1" s="1"/>
  <c r="L262" i="1"/>
  <c r="N262" i="1" s="1"/>
  <c r="L278" i="1"/>
  <c r="N278" i="1" s="1"/>
  <c r="L294" i="1"/>
  <c r="N294" i="1" s="1"/>
  <c r="L310" i="1"/>
  <c r="N310" i="1" s="1"/>
  <c r="L326" i="1"/>
  <c r="N326" i="1" s="1"/>
  <c r="L342" i="1"/>
  <c r="N342" i="1" s="1"/>
  <c r="L358" i="1"/>
  <c r="N358" i="1" s="1"/>
  <c r="L374" i="1"/>
  <c r="N374" i="1" s="1"/>
  <c r="L390" i="1"/>
  <c r="N390" i="1" s="1"/>
  <c r="L406" i="1"/>
  <c r="N406" i="1" s="1"/>
  <c r="L422" i="1"/>
  <c r="N422" i="1" s="1"/>
  <c r="L438" i="1"/>
  <c r="N438" i="1" s="1"/>
  <c r="L454" i="1"/>
  <c r="N454" i="1" s="1"/>
  <c r="L470" i="1"/>
  <c r="N470" i="1" s="1"/>
  <c r="L478" i="1"/>
  <c r="N478" i="1" s="1"/>
  <c r="L486" i="1"/>
  <c r="N486" i="1" s="1"/>
  <c r="L494" i="1"/>
  <c r="N494" i="1" s="1"/>
  <c r="L500" i="1"/>
  <c r="N500" i="1" s="1"/>
  <c r="L504" i="1"/>
  <c r="N504" i="1" s="1"/>
  <c r="L508" i="1"/>
  <c r="N508" i="1" s="1"/>
  <c r="L512" i="1"/>
  <c r="N512" i="1" s="1"/>
  <c r="L516" i="1"/>
  <c r="N516" i="1" s="1"/>
  <c r="L520" i="1"/>
  <c r="N520" i="1" s="1"/>
  <c r="L524" i="1"/>
  <c r="N524" i="1" s="1"/>
  <c r="L528" i="1"/>
  <c r="N528" i="1" s="1"/>
  <c r="L532" i="1"/>
  <c r="N532" i="1" s="1"/>
  <c r="L536" i="1"/>
  <c r="N536" i="1" s="1"/>
  <c r="L540" i="1"/>
  <c r="N540" i="1" s="1"/>
  <c r="L544" i="1"/>
  <c r="N544" i="1" s="1"/>
  <c r="L548" i="1"/>
  <c r="N548" i="1" s="1"/>
  <c r="L552" i="1"/>
  <c r="N552" i="1" s="1"/>
  <c r="L556" i="1"/>
  <c r="N556" i="1" s="1"/>
  <c r="L560" i="1"/>
  <c r="N560" i="1" s="1"/>
  <c r="L564" i="1"/>
  <c r="N564" i="1" s="1"/>
  <c r="L568" i="1"/>
  <c r="N568" i="1" s="1"/>
  <c r="L572" i="1"/>
  <c r="N572" i="1" s="1"/>
  <c r="L576" i="1"/>
  <c r="N576" i="1" s="1"/>
  <c r="L580" i="1"/>
  <c r="N580" i="1" s="1"/>
  <c r="L584" i="1"/>
  <c r="N584" i="1" s="1"/>
  <c r="L588" i="1"/>
  <c r="N588" i="1" s="1"/>
  <c r="L592" i="1"/>
  <c r="N592" i="1" s="1"/>
  <c r="L596" i="1"/>
  <c r="N596" i="1" s="1"/>
  <c r="L600" i="1"/>
  <c r="N600" i="1" s="1"/>
  <c r="L604" i="1"/>
  <c r="N604" i="1" s="1"/>
  <c r="L608" i="1"/>
  <c r="N608" i="1" s="1"/>
  <c r="L612" i="1"/>
  <c r="N612" i="1" s="1"/>
  <c r="L616" i="1"/>
  <c r="N616" i="1" s="1"/>
  <c r="L620" i="1"/>
  <c r="N620" i="1" s="1"/>
  <c r="L624" i="1"/>
  <c r="N624" i="1" s="1"/>
  <c r="L628" i="1"/>
  <c r="N628" i="1" s="1"/>
  <c r="L632" i="1"/>
  <c r="N632" i="1" s="1"/>
  <c r="L636" i="1"/>
  <c r="N636" i="1" s="1"/>
  <c r="L640" i="1"/>
  <c r="N640" i="1" s="1"/>
  <c r="L644" i="1"/>
  <c r="N644" i="1" s="1"/>
  <c r="L648" i="1"/>
  <c r="N648" i="1" s="1"/>
  <c r="L652" i="1"/>
  <c r="N652" i="1" s="1"/>
  <c r="L656" i="1"/>
  <c r="N656" i="1" s="1"/>
  <c r="L660" i="1"/>
  <c r="N660" i="1" s="1"/>
  <c r="L664" i="1"/>
  <c r="N664" i="1" s="1"/>
  <c r="L668" i="1"/>
  <c r="N668" i="1" s="1"/>
  <c r="L672" i="1"/>
  <c r="N672" i="1" s="1"/>
  <c r="L676" i="1"/>
  <c r="N676" i="1" s="1"/>
  <c r="L680" i="1"/>
  <c r="N680" i="1" s="1"/>
  <c r="L684" i="1"/>
  <c r="N684" i="1" s="1"/>
  <c r="L688" i="1"/>
  <c r="N688" i="1" s="1"/>
  <c r="L692" i="1"/>
  <c r="N692" i="1" s="1"/>
  <c r="L696" i="1"/>
  <c r="N696" i="1" s="1"/>
  <c r="L700" i="1"/>
  <c r="N700" i="1" s="1"/>
  <c r="L704" i="1"/>
  <c r="N704" i="1" s="1"/>
  <c r="L708" i="1"/>
  <c r="N708" i="1" s="1"/>
  <c r="L712" i="1"/>
  <c r="N712" i="1" s="1"/>
  <c r="L716" i="1"/>
  <c r="N716" i="1" s="1"/>
  <c r="L720" i="1"/>
  <c r="N720" i="1" s="1"/>
  <c r="L724" i="1"/>
  <c r="N724" i="1" s="1"/>
  <c r="L728" i="1"/>
  <c r="N728" i="1" s="1"/>
  <c r="L732" i="1"/>
  <c r="N732" i="1" s="1"/>
  <c r="L736" i="1"/>
  <c r="N736" i="1" s="1"/>
  <c r="L740" i="1"/>
  <c r="N740" i="1" s="1"/>
  <c r="L744" i="1"/>
  <c r="N744" i="1" s="1"/>
  <c r="L748" i="1"/>
  <c r="N748" i="1" s="1"/>
  <c r="L752" i="1"/>
  <c r="N752" i="1" s="1"/>
  <c r="L756" i="1"/>
  <c r="N756" i="1" s="1"/>
  <c r="L760" i="1"/>
  <c r="N760" i="1" s="1"/>
  <c r="L764" i="1"/>
  <c r="N764" i="1" s="1"/>
  <c r="L768" i="1"/>
  <c r="N768" i="1" s="1"/>
  <c r="L772" i="1"/>
  <c r="N772" i="1" s="1"/>
  <c r="L776" i="1"/>
  <c r="N776" i="1" s="1"/>
  <c r="L780" i="1"/>
  <c r="N780" i="1" s="1"/>
  <c r="L784" i="1"/>
  <c r="N784" i="1" s="1"/>
  <c r="L788" i="1"/>
  <c r="N788" i="1" s="1"/>
  <c r="L792" i="1"/>
  <c r="N792" i="1" s="1"/>
  <c r="L796" i="1"/>
  <c r="N796" i="1" s="1"/>
  <c r="L800" i="1"/>
  <c r="N800" i="1" s="1"/>
  <c r="L804" i="1"/>
  <c r="N804" i="1" s="1"/>
  <c r="L808" i="1"/>
  <c r="N808" i="1" s="1"/>
  <c r="L812" i="1"/>
  <c r="N812" i="1" s="1"/>
  <c r="L816" i="1"/>
  <c r="N816" i="1" s="1"/>
  <c r="L820" i="1"/>
  <c r="N820" i="1" s="1"/>
  <c r="L824" i="1"/>
  <c r="N824" i="1" s="1"/>
  <c r="L828" i="1"/>
  <c r="N828" i="1" s="1"/>
  <c r="L832" i="1"/>
  <c r="N832" i="1" s="1"/>
  <c r="L836" i="1"/>
  <c r="N836" i="1" s="1"/>
  <c r="L840" i="1"/>
  <c r="N840" i="1" s="1"/>
  <c r="L844" i="1"/>
  <c r="N844" i="1" s="1"/>
  <c r="L848" i="1"/>
  <c r="N848" i="1" s="1"/>
  <c r="L852" i="1"/>
  <c r="N852" i="1" s="1"/>
  <c r="L856" i="1"/>
  <c r="N856" i="1" s="1"/>
  <c r="L860" i="1"/>
  <c r="N860" i="1" s="1"/>
  <c r="L864" i="1"/>
  <c r="N864" i="1" s="1"/>
  <c r="L868" i="1"/>
  <c r="N868" i="1" s="1"/>
  <c r="L872" i="1"/>
  <c r="N872" i="1" s="1"/>
  <c r="L876" i="1"/>
  <c r="N876" i="1" s="1"/>
  <c r="L880" i="1"/>
  <c r="N880" i="1" s="1"/>
  <c r="L884" i="1"/>
  <c r="N884" i="1" s="1"/>
  <c r="L888" i="1"/>
  <c r="N888" i="1" s="1"/>
  <c r="L892" i="1"/>
  <c r="N892" i="1" s="1"/>
  <c r="L896" i="1"/>
  <c r="N896" i="1" s="1"/>
  <c r="L900" i="1"/>
  <c r="N900" i="1" s="1"/>
  <c r="L904" i="1"/>
  <c r="N904" i="1" s="1"/>
  <c r="L908" i="1"/>
  <c r="N908" i="1" s="1"/>
  <c r="L912" i="1"/>
  <c r="N912" i="1" s="1"/>
  <c r="L916" i="1"/>
  <c r="N916" i="1" s="1"/>
  <c r="L920" i="1"/>
  <c r="N920" i="1" s="1"/>
  <c r="L924" i="1"/>
  <c r="N924" i="1" s="1"/>
  <c r="L928" i="1"/>
  <c r="N928" i="1" s="1"/>
  <c r="L932" i="1"/>
  <c r="N932" i="1" s="1"/>
  <c r="L936" i="1"/>
  <c r="N936" i="1" s="1"/>
  <c r="L940" i="1"/>
  <c r="N940" i="1" s="1"/>
  <c r="L944" i="1"/>
  <c r="N944" i="1" s="1"/>
  <c r="L948" i="1"/>
  <c r="N948" i="1" s="1"/>
  <c r="L952" i="1"/>
  <c r="N952" i="1" s="1"/>
  <c r="L956" i="1"/>
  <c r="N956" i="1" s="1"/>
  <c r="L960" i="1"/>
  <c r="N960" i="1" s="1"/>
  <c r="L964" i="1"/>
  <c r="N964" i="1" s="1"/>
  <c r="L968" i="1"/>
  <c r="N968" i="1" s="1"/>
  <c r="L972" i="1"/>
  <c r="N972" i="1" s="1"/>
  <c r="L976" i="1"/>
  <c r="N976" i="1" s="1"/>
  <c r="L980" i="1"/>
  <c r="N980" i="1" s="1"/>
  <c r="L984" i="1"/>
  <c r="N984" i="1" s="1"/>
  <c r="L988" i="1"/>
  <c r="N988" i="1" s="1"/>
  <c r="L992" i="1"/>
  <c r="N992" i="1" s="1"/>
  <c r="L996" i="1"/>
  <c r="N996" i="1" s="1"/>
  <c r="L1000" i="1"/>
  <c r="N1000" i="1" s="1"/>
  <c r="L1004" i="1"/>
  <c r="N1004" i="1" s="1"/>
  <c r="L354" i="1"/>
  <c r="N354" i="1" s="1"/>
  <c r="L434" i="1"/>
  <c r="N434" i="1" s="1"/>
  <c r="L483" i="1"/>
  <c r="N483" i="1" s="1"/>
  <c r="L507" i="1"/>
  <c r="N507" i="1" s="1"/>
  <c r="L519" i="1"/>
  <c r="N519" i="1" s="1"/>
  <c r="L531" i="1"/>
  <c r="N531" i="1" s="1"/>
  <c r="L543" i="1"/>
  <c r="N543" i="1" s="1"/>
  <c r="L555" i="1"/>
  <c r="N555" i="1" s="1"/>
  <c r="L567" i="1"/>
  <c r="N567" i="1" s="1"/>
  <c r="L587" i="1"/>
  <c r="N587" i="1" s="1"/>
  <c r="L44" i="1"/>
  <c r="N44" i="1" s="1"/>
  <c r="L108" i="1"/>
  <c r="N108" i="1" s="1"/>
  <c r="L172" i="1"/>
  <c r="N172" i="1" s="1"/>
  <c r="L212" i="1"/>
  <c r="N212" i="1" s="1"/>
  <c r="L234" i="1"/>
  <c r="N234" i="1" s="1"/>
  <c r="L250" i="1"/>
  <c r="N250" i="1" s="1"/>
  <c r="L266" i="1"/>
  <c r="N266" i="1" s="1"/>
  <c r="L282" i="1"/>
  <c r="N282" i="1" s="1"/>
  <c r="L298" i="1"/>
  <c r="N298" i="1" s="1"/>
  <c r="L314" i="1"/>
  <c r="N314" i="1" s="1"/>
  <c r="L330" i="1"/>
  <c r="N330" i="1" s="1"/>
  <c r="L346" i="1"/>
  <c r="N346" i="1" s="1"/>
  <c r="L362" i="1"/>
  <c r="N362" i="1" s="1"/>
  <c r="L378" i="1"/>
  <c r="N378" i="1" s="1"/>
  <c r="L394" i="1"/>
  <c r="N394" i="1" s="1"/>
  <c r="L410" i="1"/>
  <c r="N410" i="1" s="1"/>
  <c r="L426" i="1"/>
  <c r="N426" i="1" s="1"/>
  <c r="L442" i="1"/>
  <c r="N442" i="1" s="1"/>
  <c r="L458" i="1"/>
  <c r="N458" i="1" s="1"/>
  <c r="L471" i="1"/>
  <c r="N471" i="1" s="1"/>
  <c r="L479" i="1"/>
  <c r="N479" i="1" s="1"/>
  <c r="L487" i="1"/>
  <c r="N487" i="1" s="1"/>
  <c r="L495" i="1"/>
  <c r="N495" i="1" s="1"/>
  <c r="L501" i="1"/>
  <c r="N501" i="1" s="1"/>
  <c r="L505" i="1"/>
  <c r="N505" i="1" s="1"/>
  <c r="L509" i="1"/>
  <c r="N509" i="1" s="1"/>
  <c r="L513" i="1"/>
  <c r="N513" i="1" s="1"/>
  <c r="L517" i="1"/>
  <c r="N517" i="1" s="1"/>
  <c r="L521" i="1"/>
  <c r="N521" i="1" s="1"/>
  <c r="L525" i="1"/>
  <c r="N525" i="1" s="1"/>
  <c r="L529" i="1"/>
  <c r="N529" i="1" s="1"/>
  <c r="L533" i="1"/>
  <c r="N533" i="1" s="1"/>
  <c r="L537" i="1"/>
  <c r="N537" i="1" s="1"/>
  <c r="L541" i="1"/>
  <c r="N541" i="1" s="1"/>
  <c r="L545" i="1"/>
  <c r="N545" i="1" s="1"/>
  <c r="L549" i="1"/>
  <c r="N549" i="1" s="1"/>
  <c r="L553" i="1"/>
  <c r="N553" i="1" s="1"/>
  <c r="L557" i="1"/>
  <c r="N557" i="1" s="1"/>
  <c r="L561" i="1"/>
  <c r="N561" i="1" s="1"/>
  <c r="L565" i="1"/>
  <c r="N565" i="1" s="1"/>
  <c r="L569" i="1"/>
  <c r="N569" i="1" s="1"/>
  <c r="L573" i="1"/>
  <c r="N573" i="1" s="1"/>
  <c r="L577" i="1"/>
  <c r="N577" i="1" s="1"/>
  <c r="L581" i="1"/>
  <c r="N581" i="1" s="1"/>
  <c r="L585" i="1"/>
  <c r="N585" i="1" s="1"/>
  <c r="L589" i="1"/>
  <c r="N589" i="1" s="1"/>
  <c r="L593" i="1"/>
  <c r="N593" i="1" s="1"/>
  <c r="L597" i="1"/>
  <c r="N597" i="1" s="1"/>
  <c r="L601" i="1"/>
  <c r="N601" i="1" s="1"/>
  <c r="L605" i="1"/>
  <c r="N605" i="1" s="1"/>
  <c r="L609" i="1"/>
  <c r="N609" i="1" s="1"/>
  <c r="L613" i="1"/>
  <c r="N613" i="1" s="1"/>
  <c r="L617" i="1"/>
  <c r="N617" i="1" s="1"/>
  <c r="L621" i="1"/>
  <c r="N621" i="1" s="1"/>
  <c r="L625" i="1"/>
  <c r="N625" i="1" s="1"/>
  <c r="L629" i="1"/>
  <c r="N629" i="1" s="1"/>
  <c r="L633" i="1"/>
  <c r="N633" i="1" s="1"/>
  <c r="L637" i="1"/>
  <c r="N637" i="1" s="1"/>
  <c r="L641" i="1"/>
  <c r="N641" i="1" s="1"/>
  <c r="L645" i="1"/>
  <c r="N645" i="1" s="1"/>
  <c r="L649" i="1"/>
  <c r="N649" i="1" s="1"/>
  <c r="L653" i="1"/>
  <c r="N653" i="1" s="1"/>
  <c r="L657" i="1"/>
  <c r="N657" i="1" s="1"/>
  <c r="L661" i="1"/>
  <c r="N661" i="1" s="1"/>
  <c r="L665" i="1"/>
  <c r="N665" i="1" s="1"/>
  <c r="L669" i="1"/>
  <c r="N669" i="1" s="1"/>
  <c r="L673" i="1"/>
  <c r="N673" i="1" s="1"/>
  <c r="L677" i="1"/>
  <c r="N677" i="1" s="1"/>
  <c r="L681" i="1"/>
  <c r="N681" i="1" s="1"/>
  <c r="L685" i="1"/>
  <c r="N685" i="1" s="1"/>
  <c r="L689" i="1"/>
  <c r="N689" i="1" s="1"/>
  <c r="L693" i="1"/>
  <c r="N693" i="1" s="1"/>
  <c r="L697" i="1"/>
  <c r="N697" i="1" s="1"/>
  <c r="L701" i="1"/>
  <c r="N701" i="1" s="1"/>
  <c r="L705" i="1"/>
  <c r="N705" i="1" s="1"/>
  <c r="L709" i="1"/>
  <c r="N709" i="1" s="1"/>
  <c r="L713" i="1"/>
  <c r="N713" i="1" s="1"/>
  <c r="L717" i="1"/>
  <c r="N717" i="1" s="1"/>
  <c r="L721" i="1"/>
  <c r="N721" i="1" s="1"/>
  <c r="L725" i="1"/>
  <c r="N725" i="1" s="1"/>
  <c r="L729" i="1"/>
  <c r="N729" i="1" s="1"/>
  <c r="L733" i="1"/>
  <c r="N733" i="1" s="1"/>
  <c r="L737" i="1"/>
  <c r="N737" i="1" s="1"/>
  <c r="L741" i="1"/>
  <c r="N741" i="1" s="1"/>
  <c r="L745" i="1"/>
  <c r="N745" i="1" s="1"/>
  <c r="L749" i="1"/>
  <c r="N749" i="1" s="1"/>
  <c r="L753" i="1"/>
  <c r="N753" i="1" s="1"/>
  <c r="L757" i="1"/>
  <c r="N757" i="1" s="1"/>
  <c r="L761" i="1"/>
  <c r="N761" i="1" s="1"/>
  <c r="L765" i="1"/>
  <c r="N765" i="1" s="1"/>
  <c r="L769" i="1"/>
  <c r="N769" i="1" s="1"/>
  <c r="L773" i="1"/>
  <c r="N773" i="1" s="1"/>
  <c r="L777" i="1"/>
  <c r="N777" i="1" s="1"/>
  <c r="L781" i="1"/>
  <c r="N781" i="1" s="1"/>
  <c r="L785" i="1"/>
  <c r="N785" i="1" s="1"/>
  <c r="L789" i="1"/>
  <c r="N789" i="1" s="1"/>
  <c r="L793" i="1"/>
  <c r="N793" i="1" s="1"/>
  <c r="L797" i="1"/>
  <c r="N797" i="1" s="1"/>
  <c r="L801" i="1"/>
  <c r="N801" i="1" s="1"/>
  <c r="L805" i="1"/>
  <c r="N805" i="1" s="1"/>
  <c r="L809" i="1"/>
  <c r="N809" i="1" s="1"/>
  <c r="L813" i="1"/>
  <c r="N813" i="1" s="1"/>
  <c r="L817" i="1"/>
  <c r="N817" i="1" s="1"/>
  <c r="L821" i="1"/>
  <c r="N821" i="1" s="1"/>
  <c r="L825" i="1"/>
  <c r="N825" i="1" s="1"/>
  <c r="L829" i="1"/>
  <c r="N829" i="1" s="1"/>
  <c r="L833" i="1"/>
  <c r="N833" i="1" s="1"/>
  <c r="L837" i="1"/>
  <c r="N837" i="1" s="1"/>
  <c r="L841" i="1"/>
  <c r="N841" i="1" s="1"/>
  <c r="L845" i="1"/>
  <c r="N845" i="1" s="1"/>
  <c r="L849" i="1"/>
  <c r="N849" i="1" s="1"/>
  <c r="L853" i="1"/>
  <c r="N853" i="1" s="1"/>
  <c r="L857" i="1"/>
  <c r="N857" i="1" s="1"/>
  <c r="L861" i="1"/>
  <c r="N861" i="1" s="1"/>
  <c r="L865" i="1"/>
  <c r="N865" i="1" s="1"/>
  <c r="L869" i="1"/>
  <c r="N869" i="1" s="1"/>
  <c r="L873" i="1"/>
  <c r="N873" i="1" s="1"/>
  <c r="L877" i="1"/>
  <c r="N877" i="1" s="1"/>
  <c r="L881" i="1"/>
  <c r="N881" i="1" s="1"/>
  <c r="L885" i="1"/>
  <c r="N885" i="1" s="1"/>
  <c r="L889" i="1"/>
  <c r="N889" i="1" s="1"/>
  <c r="L893" i="1"/>
  <c r="N893" i="1" s="1"/>
  <c r="L897" i="1"/>
  <c r="N897" i="1" s="1"/>
  <c r="L901" i="1"/>
  <c r="N901" i="1" s="1"/>
  <c r="L905" i="1"/>
  <c r="N905" i="1" s="1"/>
  <c r="L909" i="1"/>
  <c r="N909" i="1" s="1"/>
  <c r="L913" i="1"/>
  <c r="N913" i="1" s="1"/>
  <c r="L917" i="1"/>
  <c r="N917" i="1" s="1"/>
  <c r="L921" i="1"/>
  <c r="N921" i="1" s="1"/>
  <c r="L925" i="1"/>
  <c r="N925" i="1" s="1"/>
  <c r="L929" i="1"/>
  <c r="N929" i="1" s="1"/>
  <c r="L933" i="1"/>
  <c r="N933" i="1" s="1"/>
  <c r="L937" i="1"/>
  <c r="N937" i="1" s="1"/>
  <c r="L941" i="1"/>
  <c r="N941" i="1" s="1"/>
  <c r="L945" i="1"/>
  <c r="N945" i="1" s="1"/>
  <c r="L949" i="1"/>
  <c r="N949" i="1" s="1"/>
  <c r="L953" i="1"/>
  <c r="N953" i="1" s="1"/>
  <c r="L957" i="1"/>
  <c r="N957" i="1" s="1"/>
  <c r="L961" i="1"/>
  <c r="N961" i="1" s="1"/>
  <c r="L965" i="1"/>
  <c r="N965" i="1" s="1"/>
  <c r="L969" i="1"/>
  <c r="N969" i="1" s="1"/>
  <c r="L973" i="1"/>
  <c r="N973" i="1" s="1"/>
  <c r="L977" i="1"/>
  <c r="N977" i="1" s="1"/>
  <c r="L981" i="1"/>
  <c r="N981" i="1" s="1"/>
  <c r="L985" i="1"/>
  <c r="N985" i="1" s="1"/>
  <c r="L989" i="1"/>
  <c r="N989" i="1" s="1"/>
  <c r="L993" i="1"/>
  <c r="N993" i="1" s="1"/>
  <c r="L997" i="1"/>
  <c r="N997" i="1" s="1"/>
  <c r="L1001" i="1"/>
  <c r="N1001" i="1" s="1"/>
  <c r="L6" i="1"/>
  <c r="N6" i="1" s="1"/>
  <c r="L12" i="1"/>
  <c r="N12" i="1" s="1"/>
  <c r="L196" i="1"/>
  <c r="N196" i="1" s="1"/>
  <c r="L242" i="1"/>
  <c r="N242" i="1" s="1"/>
  <c r="L274" i="1"/>
  <c r="N274" i="1" s="1"/>
  <c r="L306" i="1"/>
  <c r="N306" i="1" s="1"/>
  <c r="L338" i="1"/>
  <c r="N338" i="1" s="1"/>
  <c r="L386" i="1"/>
  <c r="N386" i="1" s="1"/>
  <c r="L418" i="1"/>
  <c r="N418" i="1" s="1"/>
  <c r="L466" i="1"/>
  <c r="N466" i="1" s="1"/>
  <c r="L491" i="1"/>
  <c r="N491" i="1" s="1"/>
  <c r="L503" i="1"/>
  <c r="N503" i="1" s="1"/>
  <c r="L515" i="1"/>
  <c r="N515" i="1" s="1"/>
  <c r="L523" i="1"/>
  <c r="N523" i="1" s="1"/>
  <c r="L535" i="1"/>
  <c r="N535" i="1" s="1"/>
  <c r="L547" i="1"/>
  <c r="N547" i="1" s="1"/>
  <c r="L563" i="1"/>
  <c r="N563" i="1" s="1"/>
  <c r="L575" i="1"/>
  <c r="N575" i="1" s="1"/>
  <c r="L583" i="1"/>
  <c r="N583" i="1" s="1"/>
  <c r="L60" i="1"/>
  <c r="N60" i="1" s="1"/>
  <c r="L124" i="1"/>
  <c r="N124" i="1" s="1"/>
  <c r="L188" i="1"/>
  <c r="N188" i="1" s="1"/>
  <c r="L220" i="1"/>
  <c r="N220" i="1" s="1"/>
  <c r="L238" i="1"/>
  <c r="N238" i="1" s="1"/>
  <c r="L254" i="1"/>
  <c r="N254" i="1" s="1"/>
  <c r="L270" i="1"/>
  <c r="N270" i="1" s="1"/>
  <c r="L286" i="1"/>
  <c r="N286" i="1" s="1"/>
  <c r="L302" i="1"/>
  <c r="N302" i="1" s="1"/>
  <c r="L318" i="1"/>
  <c r="N318" i="1" s="1"/>
  <c r="L334" i="1"/>
  <c r="N334" i="1" s="1"/>
  <c r="L350" i="1"/>
  <c r="N350" i="1" s="1"/>
  <c r="L366" i="1"/>
  <c r="N366" i="1" s="1"/>
  <c r="L382" i="1"/>
  <c r="N382" i="1" s="1"/>
  <c r="L398" i="1"/>
  <c r="N398" i="1" s="1"/>
  <c r="L414" i="1"/>
  <c r="N414" i="1" s="1"/>
  <c r="L430" i="1"/>
  <c r="N430" i="1" s="1"/>
  <c r="L446" i="1"/>
  <c r="N446" i="1" s="1"/>
  <c r="L462" i="1"/>
  <c r="N462" i="1" s="1"/>
  <c r="L474" i="1"/>
  <c r="N474" i="1" s="1"/>
  <c r="L482" i="1"/>
  <c r="N482" i="1" s="1"/>
  <c r="L490" i="1"/>
  <c r="N490" i="1" s="1"/>
  <c r="L498" i="1"/>
  <c r="N498" i="1" s="1"/>
  <c r="L502" i="1"/>
  <c r="N502" i="1" s="1"/>
  <c r="L506" i="1"/>
  <c r="N506" i="1" s="1"/>
  <c r="L510" i="1"/>
  <c r="N510" i="1" s="1"/>
  <c r="L514" i="1"/>
  <c r="N514" i="1" s="1"/>
  <c r="L518" i="1"/>
  <c r="N518" i="1" s="1"/>
  <c r="L522" i="1"/>
  <c r="N522" i="1" s="1"/>
  <c r="L526" i="1"/>
  <c r="N526" i="1" s="1"/>
  <c r="L530" i="1"/>
  <c r="N530" i="1" s="1"/>
  <c r="L534" i="1"/>
  <c r="N534" i="1" s="1"/>
  <c r="L538" i="1"/>
  <c r="N538" i="1" s="1"/>
  <c r="L542" i="1"/>
  <c r="N542" i="1" s="1"/>
  <c r="L546" i="1"/>
  <c r="N546" i="1" s="1"/>
  <c r="L550" i="1"/>
  <c r="N550" i="1" s="1"/>
  <c r="L554" i="1"/>
  <c r="N554" i="1" s="1"/>
  <c r="L558" i="1"/>
  <c r="N558" i="1" s="1"/>
  <c r="L562" i="1"/>
  <c r="N562" i="1" s="1"/>
  <c r="L566" i="1"/>
  <c r="N566" i="1" s="1"/>
  <c r="L570" i="1"/>
  <c r="N570" i="1" s="1"/>
  <c r="L574" i="1"/>
  <c r="N574" i="1" s="1"/>
  <c r="L578" i="1"/>
  <c r="N578" i="1" s="1"/>
  <c r="L582" i="1"/>
  <c r="N582" i="1" s="1"/>
  <c r="L586" i="1"/>
  <c r="N586" i="1" s="1"/>
  <c r="L590" i="1"/>
  <c r="N590" i="1" s="1"/>
  <c r="L594" i="1"/>
  <c r="N594" i="1" s="1"/>
  <c r="L598" i="1"/>
  <c r="N598" i="1" s="1"/>
  <c r="L602" i="1"/>
  <c r="N602" i="1" s="1"/>
  <c r="L606" i="1"/>
  <c r="N606" i="1" s="1"/>
  <c r="L610" i="1"/>
  <c r="N610" i="1" s="1"/>
  <c r="L614" i="1"/>
  <c r="N614" i="1" s="1"/>
  <c r="L618" i="1"/>
  <c r="N618" i="1" s="1"/>
  <c r="L622" i="1"/>
  <c r="N622" i="1" s="1"/>
  <c r="L626" i="1"/>
  <c r="N626" i="1" s="1"/>
  <c r="L630" i="1"/>
  <c r="N630" i="1" s="1"/>
  <c r="L634" i="1"/>
  <c r="N634" i="1" s="1"/>
  <c r="L638" i="1"/>
  <c r="N638" i="1" s="1"/>
  <c r="L642" i="1"/>
  <c r="N642" i="1" s="1"/>
  <c r="L646" i="1"/>
  <c r="N646" i="1" s="1"/>
  <c r="L650" i="1"/>
  <c r="N650" i="1" s="1"/>
  <c r="L654" i="1"/>
  <c r="N654" i="1" s="1"/>
  <c r="L658" i="1"/>
  <c r="N658" i="1" s="1"/>
  <c r="L662" i="1"/>
  <c r="N662" i="1" s="1"/>
  <c r="L666" i="1"/>
  <c r="N666" i="1" s="1"/>
  <c r="L670" i="1"/>
  <c r="N670" i="1" s="1"/>
  <c r="L674" i="1"/>
  <c r="N674" i="1" s="1"/>
  <c r="L678" i="1"/>
  <c r="N678" i="1" s="1"/>
  <c r="L682" i="1"/>
  <c r="N682" i="1" s="1"/>
  <c r="L686" i="1"/>
  <c r="N686" i="1" s="1"/>
  <c r="L690" i="1"/>
  <c r="N690" i="1" s="1"/>
  <c r="L694" i="1"/>
  <c r="N694" i="1" s="1"/>
  <c r="L698" i="1"/>
  <c r="N698" i="1" s="1"/>
  <c r="L702" i="1"/>
  <c r="N702" i="1" s="1"/>
  <c r="L706" i="1"/>
  <c r="N706" i="1" s="1"/>
  <c r="L710" i="1"/>
  <c r="N710" i="1" s="1"/>
  <c r="L714" i="1"/>
  <c r="N714" i="1" s="1"/>
  <c r="L718" i="1"/>
  <c r="N718" i="1" s="1"/>
  <c r="L722" i="1"/>
  <c r="N722" i="1" s="1"/>
  <c r="L726" i="1"/>
  <c r="N726" i="1" s="1"/>
  <c r="L730" i="1"/>
  <c r="N730" i="1" s="1"/>
  <c r="L734" i="1"/>
  <c r="N734" i="1" s="1"/>
  <c r="L738" i="1"/>
  <c r="N738" i="1" s="1"/>
  <c r="L742" i="1"/>
  <c r="N742" i="1" s="1"/>
  <c r="L746" i="1"/>
  <c r="N746" i="1" s="1"/>
  <c r="L750" i="1"/>
  <c r="N750" i="1" s="1"/>
  <c r="L754" i="1"/>
  <c r="N754" i="1" s="1"/>
  <c r="L758" i="1"/>
  <c r="N758" i="1" s="1"/>
  <c r="L762" i="1"/>
  <c r="N762" i="1" s="1"/>
  <c r="L766" i="1"/>
  <c r="N766" i="1" s="1"/>
  <c r="L770" i="1"/>
  <c r="N770" i="1" s="1"/>
  <c r="L774" i="1"/>
  <c r="N774" i="1" s="1"/>
  <c r="L778" i="1"/>
  <c r="N778" i="1" s="1"/>
  <c r="L782" i="1"/>
  <c r="N782" i="1" s="1"/>
  <c r="L786" i="1"/>
  <c r="N786" i="1" s="1"/>
  <c r="L790" i="1"/>
  <c r="N790" i="1" s="1"/>
  <c r="L794" i="1"/>
  <c r="N794" i="1" s="1"/>
  <c r="L798" i="1"/>
  <c r="N798" i="1" s="1"/>
  <c r="L802" i="1"/>
  <c r="N802" i="1" s="1"/>
  <c r="L806" i="1"/>
  <c r="N806" i="1" s="1"/>
  <c r="L810" i="1"/>
  <c r="N810" i="1" s="1"/>
  <c r="L814" i="1"/>
  <c r="N814" i="1" s="1"/>
  <c r="L818" i="1"/>
  <c r="N818" i="1" s="1"/>
  <c r="L822" i="1"/>
  <c r="N822" i="1" s="1"/>
  <c r="L826" i="1"/>
  <c r="N826" i="1" s="1"/>
  <c r="L830" i="1"/>
  <c r="N830" i="1" s="1"/>
  <c r="L834" i="1"/>
  <c r="N834" i="1" s="1"/>
  <c r="L838" i="1"/>
  <c r="N838" i="1" s="1"/>
  <c r="L842" i="1"/>
  <c r="N842" i="1" s="1"/>
  <c r="L846" i="1"/>
  <c r="N846" i="1" s="1"/>
  <c r="L850" i="1"/>
  <c r="N850" i="1" s="1"/>
  <c r="L854" i="1"/>
  <c r="N854" i="1" s="1"/>
  <c r="L858" i="1"/>
  <c r="N858" i="1" s="1"/>
  <c r="L862" i="1"/>
  <c r="N862" i="1" s="1"/>
  <c r="L866" i="1"/>
  <c r="N866" i="1" s="1"/>
  <c r="L870" i="1"/>
  <c r="N870" i="1" s="1"/>
  <c r="L874" i="1"/>
  <c r="N874" i="1" s="1"/>
  <c r="L878" i="1"/>
  <c r="N878" i="1" s="1"/>
  <c r="L882" i="1"/>
  <c r="N882" i="1" s="1"/>
  <c r="L886" i="1"/>
  <c r="N886" i="1" s="1"/>
  <c r="L890" i="1"/>
  <c r="N890" i="1" s="1"/>
  <c r="L894" i="1"/>
  <c r="N894" i="1" s="1"/>
  <c r="L898" i="1"/>
  <c r="N898" i="1" s="1"/>
  <c r="L902" i="1"/>
  <c r="N902" i="1" s="1"/>
  <c r="L906" i="1"/>
  <c r="N906" i="1" s="1"/>
  <c r="L910" i="1"/>
  <c r="N910" i="1" s="1"/>
  <c r="L914" i="1"/>
  <c r="N914" i="1" s="1"/>
  <c r="L918" i="1"/>
  <c r="N918" i="1" s="1"/>
  <c r="L922" i="1"/>
  <c r="N922" i="1" s="1"/>
  <c r="L926" i="1"/>
  <c r="N926" i="1" s="1"/>
  <c r="L930" i="1"/>
  <c r="N930" i="1" s="1"/>
  <c r="L934" i="1"/>
  <c r="N934" i="1" s="1"/>
  <c r="L938" i="1"/>
  <c r="N938" i="1" s="1"/>
  <c r="L942" i="1"/>
  <c r="N942" i="1" s="1"/>
  <c r="L946" i="1"/>
  <c r="N946" i="1" s="1"/>
  <c r="L950" i="1"/>
  <c r="N950" i="1" s="1"/>
  <c r="L954" i="1"/>
  <c r="N954" i="1" s="1"/>
  <c r="L958" i="1"/>
  <c r="N958" i="1" s="1"/>
  <c r="L962" i="1"/>
  <c r="N962" i="1" s="1"/>
  <c r="L966" i="1"/>
  <c r="N966" i="1" s="1"/>
  <c r="L970" i="1"/>
  <c r="N970" i="1" s="1"/>
  <c r="L974" i="1"/>
  <c r="N974" i="1" s="1"/>
  <c r="L978" i="1"/>
  <c r="N978" i="1" s="1"/>
  <c r="L982" i="1"/>
  <c r="N982" i="1" s="1"/>
  <c r="L986" i="1"/>
  <c r="N986" i="1" s="1"/>
  <c r="L990" i="1"/>
  <c r="N990" i="1" s="1"/>
  <c r="L994" i="1"/>
  <c r="N994" i="1" s="1"/>
  <c r="L998" i="1"/>
  <c r="N998" i="1" s="1"/>
  <c r="L1002" i="1"/>
  <c r="N1002" i="1" s="1"/>
  <c r="L76" i="1"/>
  <c r="N76" i="1" s="1"/>
  <c r="L140" i="1"/>
  <c r="N140" i="1" s="1"/>
  <c r="L226" i="1"/>
  <c r="N226" i="1" s="1"/>
  <c r="L258" i="1"/>
  <c r="N258" i="1" s="1"/>
  <c r="L290" i="1"/>
  <c r="N290" i="1" s="1"/>
  <c r="L322" i="1"/>
  <c r="N322" i="1" s="1"/>
  <c r="L370" i="1"/>
  <c r="N370" i="1" s="1"/>
  <c r="L402" i="1"/>
  <c r="N402" i="1" s="1"/>
  <c r="L450" i="1"/>
  <c r="N450" i="1" s="1"/>
  <c r="L475" i="1"/>
  <c r="N475" i="1" s="1"/>
  <c r="L499" i="1"/>
  <c r="N499" i="1" s="1"/>
  <c r="L511" i="1"/>
  <c r="N511" i="1" s="1"/>
  <c r="L527" i="1"/>
  <c r="N527" i="1" s="1"/>
  <c r="L539" i="1"/>
  <c r="N539" i="1" s="1"/>
  <c r="L551" i="1"/>
  <c r="N551" i="1" s="1"/>
  <c r="L559" i="1"/>
  <c r="N559" i="1" s="1"/>
  <c r="L571" i="1"/>
  <c r="N571" i="1" s="1"/>
  <c r="L579" i="1"/>
  <c r="N579" i="1" s="1"/>
  <c r="L591" i="1"/>
  <c r="N591" i="1" s="1"/>
  <c r="L595" i="1"/>
  <c r="N595" i="1" s="1"/>
  <c r="L611" i="1"/>
  <c r="N611" i="1" s="1"/>
  <c r="L627" i="1"/>
  <c r="N627" i="1" s="1"/>
  <c r="L643" i="1"/>
  <c r="N643" i="1" s="1"/>
  <c r="L659" i="1"/>
  <c r="N659" i="1" s="1"/>
  <c r="L675" i="1"/>
  <c r="N675" i="1" s="1"/>
  <c r="L691" i="1"/>
  <c r="N691" i="1" s="1"/>
  <c r="L707" i="1"/>
  <c r="N707" i="1" s="1"/>
  <c r="L723" i="1"/>
  <c r="N723" i="1" s="1"/>
  <c r="L739" i="1"/>
  <c r="N739" i="1" s="1"/>
  <c r="L755" i="1"/>
  <c r="N755" i="1" s="1"/>
  <c r="L771" i="1"/>
  <c r="N771" i="1" s="1"/>
  <c r="L787" i="1"/>
  <c r="N787" i="1" s="1"/>
  <c r="L803" i="1"/>
  <c r="N803" i="1" s="1"/>
  <c r="L819" i="1"/>
  <c r="N819" i="1" s="1"/>
  <c r="L835" i="1"/>
  <c r="N835" i="1" s="1"/>
  <c r="L851" i="1"/>
  <c r="N851" i="1" s="1"/>
  <c r="L867" i="1"/>
  <c r="N867" i="1" s="1"/>
  <c r="L883" i="1"/>
  <c r="N883" i="1" s="1"/>
  <c r="L899" i="1"/>
  <c r="N899" i="1" s="1"/>
  <c r="L915" i="1"/>
  <c r="N915" i="1" s="1"/>
  <c r="L931" i="1"/>
  <c r="N931" i="1" s="1"/>
  <c r="L947" i="1"/>
  <c r="N947" i="1" s="1"/>
  <c r="L963" i="1"/>
  <c r="N963" i="1" s="1"/>
  <c r="L979" i="1"/>
  <c r="N979" i="1" s="1"/>
  <c r="L995" i="1"/>
  <c r="N995" i="1" s="1"/>
  <c r="L639" i="1"/>
  <c r="N639" i="1" s="1"/>
  <c r="L599" i="1"/>
  <c r="N599" i="1" s="1"/>
  <c r="L615" i="1"/>
  <c r="N615" i="1" s="1"/>
  <c r="L631" i="1"/>
  <c r="N631" i="1" s="1"/>
  <c r="L647" i="1"/>
  <c r="N647" i="1" s="1"/>
  <c r="L663" i="1"/>
  <c r="N663" i="1" s="1"/>
  <c r="L679" i="1"/>
  <c r="N679" i="1" s="1"/>
  <c r="L695" i="1"/>
  <c r="N695" i="1" s="1"/>
  <c r="L711" i="1"/>
  <c r="N711" i="1" s="1"/>
  <c r="L727" i="1"/>
  <c r="N727" i="1" s="1"/>
  <c r="L743" i="1"/>
  <c r="N743" i="1" s="1"/>
  <c r="L759" i="1"/>
  <c r="N759" i="1" s="1"/>
  <c r="L775" i="1"/>
  <c r="N775" i="1" s="1"/>
  <c r="L791" i="1"/>
  <c r="N791" i="1" s="1"/>
  <c r="L807" i="1"/>
  <c r="N807" i="1" s="1"/>
  <c r="L823" i="1"/>
  <c r="N823" i="1" s="1"/>
  <c r="L839" i="1"/>
  <c r="N839" i="1" s="1"/>
  <c r="L855" i="1"/>
  <c r="N855" i="1" s="1"/>
  <c r="L871" i="1"/>
  <c r="N871" i="1" s="1"/>
  <c r="L887" i="1"/>
  <c r="N887" i="1" s="1"/>
  <c r="L903" i="1"/>
  <c r="N903" i="1" s="1"/>
  <c r="L919" i="1"/>
  <c r="N919" i="1" s="1"/>
  <c r="L935" i="1"/>
  <c r="N935" i="1" s="1"/>
  <c r="L951" i="1"/>
  <c r="N951" i="1" s="1"/>
  <c r="L967" i="1"/>
  <c r="N967" i="1" s="1"/>
  <c r="L983" i="1"/>
  <c r="N983" i="1" s="1"/>
  <c r="L999" i="1"/>
  <c r="N999" i="1" s="1"/>
  <c r="L623" i="1"/>
  <c r="N623" i="1" s="1"/>
  <c r="L671" i="1"/>
  <c r="N671" i="1" s="1"/>
  <c r="L687" i="1"/>
  <c r="N687" i="1" s="1"/>
  <c r="L719" i="1"/>
  <c r="N719" i="1" s="1"/>
  <c r="L767" i="1"/>
  <c r="N767" i="1" s="1"/>
  <c r="L799" i="1"/>
  <c r="N799" i="1" s="1"/>
  <c r="L831" i="1"/>
  <c r="N831" i="1" s="1"/>
  <c r="L863" i="1"/>
  <c r="N863" i="1" s="1"/>
  <c r="L895" i="1"/>
  <c r="N895" i="1" s="1"/>
  <c r="L927" i="1"/>
  <c r="N927" i="1" s="1"/>
  <c r="L959" i="1"/>
  <c r="N959" i="1" s="1"/>
  <c r="L991" i="1"/>
  <c r="N991" i="1" s="1"/>
  <c r="L603" i="1"/>
  <c r="N603" i="1" s="1"/>
  <c r="L619" i="1"/>
  <c r="N619" i="1" s="1"/>
  <c r="L635" i="1"/>
  <c r="N635" i="1" s="1"/>
  <c r="L651" i="1"/>
  <c r="N651" i="1" s="1"/>
  <c r="L667" i="1"/>
  <c r="N667" i="1" s="1"/>
  <c r="L683" i="1"/>
  <c r="N683" i="1" s="1"/>
  <c r="L699" i="1"/>
  <c r="N699" i="1" s="1"/>
  <c r="L715" i="1"/>
  <c r="N715" i="1" s="1"/>
  <c r="L731" i="1"/>
  <c r="N731" i="1" s="1"/>
  <c r="L747" i="1"/>
  <c r="N747" i="1" s="1"/>
  <c r="L763" i="1"/>
  <c r="N763" i="1" s="1"/>
  <c r="L779" i="1"/>
  <c r="N779" i="1" s="1"/>
  <c r="L795" i="1"/>
  <c r="N795" i="1" s="1"/>
  <c r="L811" i="1"/>
  <c r="N811" i="1" s="1"/>
  <c r="L827" i="1"/>
  <c r="N827" i="1" s="1"/>
  <c r="L843" i="1"/>
  <c r="N843" i="1" s="1"/>
  <c r="L859" i="1"/>
  <c r="N859" i="1" s="1"/>
  <c r="L875" i="1"/>
  <c r="N875" i="1" s="1"/>
  <c r="L891" i="1"/>
  <c r="N891" i="1" s="1"/>
  <c r="L907" i="1"/>
  <c r="N907" i="1" s="1"/>
  <c r="L923" i="1"/>
  <c r="N923" i="1" s="1"/>
  <c r="L939" i="1"/>
  <c r="N939" i="1" s="1"/>
  <c r="L955" i="1"/>
  <c r="N955" i="1" s="1"/>
  <c r="L971" i="1"/>
  <c r="N971" i="1" s="1"/>
  <c r="L987" i="1"/>
  <c r="N987" i="1" s="1"/>
  <c r="L1003" i="1"/>
  <c r="N1003" i="1" s="1"/>
  <c r="L607" i="1"/>
  <c r="N607" i="1" s="1"/>
  <c r="L655" i="1"/>
  <c r="N655" i="1" s="1"/>
  <c r="L703" i="1"/>
  <c r="N703" i="1" s="1"/>
  <c r="L735" i="1"/>
  <c r="N735" i="1" s="1"/>
  <c r="L751" i="1"/>
  <c r="N751" i="1" s="1"/>
  <c r="L783" i="1"/>
  <c r="N783" i="1" s="1"/>
  <c r="L815" i="1"/>
  <c r="N815" i="1" s="1"/>
  <c r="L847" i="1"/>
  <c r="N847" i="1" s="1"/>
  <c r="L879" i="1"/>
  <c r="N879" i="1" s="1"/>
  <c r="L911" i="1"/>
  <c r="N911" i="1" s="1"/>
  <c r="L943" i="1"/>
  <c r="N943" i="1" s="1"/>
  <c r="L975" i="1"/>
  <c r="N975" i="1" s="1"/>
  <c r="O9" i="1" a="1"/>
  <c r="O25" i="1" a="1"/>
  <c r="O41" i="1" a="1"/>
  <c r="O57" i="1" a="1"/>
  <c r="O73" i="1" a="1"/>
  <c r="O89" i="1" a="1"/>
  <c r="O105" i="1" a="1"/>
  <c r="O121" i="1" a="1"/>
  <c r="O137" i="1" a="1"/>
  <c r="O153" i="1" a="1"/>
  <c r="O169" i="1" a="1"/>
  <c r="O185" i="1" a="1"/>
  <c r="O22" i="1" a="1"/>
  <c r="O38" i="1" a="1"/>
  <c r="O54" i="1" a="1"/>
  <c r="O70" i="1" a="1"/>
  <c r="O86" i="1" a="1"/>
  <c r="O102" i="1" a="1"/>
  <c r="O118" i="1" a="1"/>
  <c r="O134" i="1" a="1"/>
  <c r="O150" i="1" a="1"/>
  <c r="O166" i="1" a="1"/>
  <c r="O182" i="1" a="1"/>
  <c r="O198" i="1" a="1"/>
  <c r="O214" i="1" a="1"/>
  <c r="O11" i="1" a="1"/>
  <c r="O27" i="1" a="1"/>
  <c r="O43" i="1" a="1"/>
  <c r="O59" i="1" a="1"/>
  <c r="O75" i="1" a="1"/>
  <c r="O91" i="1" a="1"/>
  <c r="O107" i="1" a="1"/>
  <c r="O123" i="1" a="1"/>
  <c r="O139" i="1" a="1"/>
  <c r="O155" i="1" a="1"/>
  <c r="O171" i="1" a="1"/>
  <c r="O187" i="1" a="1"/>
  <c r="O203" i="1" a="1"/>
  <c r="O219" i="1" a="1"/>
  <c r="O48" i="1" a="1"/>
  <c r="O112" i="1" a="1"/>
  <c r="O176" i="1" a="1"/>
  <c r="O213" i="1" a="1"/>
  <c r="O235" i="1" a="1"/>
  <c r="O251" i="1" a="1"/>
  <c r="O267" i="1" a="1"/>
  <c r="O283" i="1" a="1"/>
  <c r="O299" i="1" a="1"/>
  <c r="O315" i="1" a="1"/>
  <c r="O331" i="1" a="1"/>
  <c r="O347" i="1" a="1"/>
  <c r="O363" i="1" a="1"/>
  <c r="O379" i="1" a="1"/>
  <c r="O395" i="1" a="1"/>
  <c r="O411" i="1" a="1"/>
  <c r="O427" i="1" a="1"/>
  <c r="O443" i="1" a="1"/>
  <c r="O459" i="1" a="1"/>
  <c r="O36" i="1" a="1"/>
  <c r="O100" i="1" a="1"/>
  <c r="O164" i="1" a="1"/>
  <c r="O208" i="1" a="1"/>
  <c r="O232" i="1" a="1"/>
  <c r="O248" i="1" a="1"/>
  <c r="O264" i="1" a="1"/>
  <c r="O280" i="1" a="1"/>
  <c r="O296" i="1" a="1"/>
  <c r="O312" i="1" a="1"/>
  <c r="O328" i="1" a="1"/>
  <c r="O344" i="1" a="1"/>
  <c r="O360" i="1" a="1"/>
  <c r="O376" i="1" a="1"/>
  <c r="O392" i="1" a="1"/>
  <c r="O408" i="1" a="1"/>
  <c r="O424" i="1" a="1"/>
  <c r="O440" i="1" a="1"/>
  <c r="O456" i="1" a="1"/>
  <c r="O472" i="1" a="1"/>
  <c r="O488" i="1" a="1"/>
  <c r="O24" i="1" a="1"/>
  <c r="O88" i="1" a="1"/>
  <c r="O152" i="1" a="1"/>
  <c r="O201" i="1" a="1"/>
  <c r="O229" i="1" a="1"/>
  <c r="O245" i="1" a="1"/>
  <c r="O261" i="1" a="1"/>
  <c r="O277" i="1" a="1"/>
  <c r="O293" i="1" a="1"/>
  <c r="O309" i="1" a="1"/>
  <c r="O325" i="1" a="1"/>
  <c r="O341" i="1" a="1"/>
  <c r="O357" i="1" a="1"/>
  <c r="O373" i="1" a="1"/>
  <c r="O389" i="1" a="1"/>
  <c r="O405" i="1" a="1"/>
  <c r="O421" i="1" a="1"/>
  <c r="O437" i="1" a="1"/>
  <c r="O453" i="1" a="1"/>
  <c r="O469" i="1" a="1"/>
  <c r="O485" i="1" a="1"/>
  <c r="O28" i="1" a="1"/>
  <c r="O230" i="1" a="1"/>
  <c r="O294" i="1" a="1"/>
  <c r="O358" i="1" a="1"/>
  <c r="O422" i="1" a="1"/>
  <c r="O478" i="1" a="1"/>
  <c r="O504" i="1" a="1"/>
  <c r="O520" i="1" a="1"/>
  <c r="O536" i="1" a="1"/>
  <c r="O552" i="1" a="1"/>
  <c r="O568" i="1" a="1"/>
  <c r="O584" i="1" a="1"/>
  <c r="O600" i="1" a="1"/>
  <c r="O616" i="1" a="1"/>
  <c r="O632" i="1" a="1"/>
  <c r="O648" i="1" a="1"/>
  <c r="O664" i="1" a="1"/>
  <c r="O680" i="1" a="1"/>
  <c r="O696" i="1" a="1"/>
  <c r="O712" i="1" a="1"/>
  <c r="O728" i="1" a="1"/>
  <c r="O744" i="1" a="1"/>
  <c r="O760" i="1" a="1"/>
  <c r="O776" i="1" a="1"/>
  <c r="O792" i="1" a="1"/>
  <c r="O808" i="1" a="1"/>
  <c r="O824" i="1" a="1"/>
  <c r="O840" i="1" a="1"/>
  <c r="O856" i="1" a="1"/>
  <c r="O872" i="1" a="1"/>
  <c r="O888" i="1" a="1"/>
  <c r="O904" i="1" a="1"/>
  <c r="O920" i="1" a="1"/>
  <c r="O936" i="1" a="1"/>
  <c r="O952" i="1" a="1"/>
  <c r="O968" i="1" a="1"/>
  <c r="O984" i="1" a="1"/>
  <c r="O1000" i="1" a="1"/>
  <c r="O483" i="1" a="1"/>
  <c r="O543" i="1" a="1"/>
  <c r="O44" i="1" a="1"/>
  <c r="O234" i="1" a="1"/>
  <c r="O298" i="1" a="1"/>
  <c r="O362" i="1" a="1"/>
  <c r="O426" i="1" a="1"/>
  <c r="O479" i="1" a="1"/>
  <c r="O505" i="1" a="1"/>
  <c r="O521" i="1" a="1"/>
  <c r="O537" i="1" a="1"/>
  <c r="O553" i="1" a="1"/>
  <c r="O569" i="1" a="1"/>
  <c r="O585" i="1" a="1"/>
  <c r="O601" i="1" a="1"/>
  <c r="O617" i="1" a="1"/>
  <c r="O633" i="1" a="1"/>
  <c r="O649" i="1" a="1"/>
  <c r="O665" i="1" a="1"/>
  <c r="O681" i="1" a="1"/>
  <c r="O697" i="1" a="1"/>
  <c r="O713" i="1" a="1"/>
  <c r="O729" i="1" a="1"/>
  <c r="O745" i="1" a="1"/>
  <c r="O761" i="1" a="1"/>
  <c r="O777" i="1" a="1"/>
  <c r="O793" i="1" a="1"/>
  <c r="O809" i="1" a="1"/>
  <c r="O825" i="1" a="1"/>
  <c r="O841" i="1" a="1"/>
  <c r="O857" i="1" a="1"/>
  <c r="O873" i="1" a="1"/>
  <c r="O889" i="1" a="1"/>
  <c r="O905" i="1" a="1"/>
  <c r="O921" i="1" a="1"/>
  <c r="O937" i="1" a="1"/>
  <c r="O953" i="1" a="1"/>
  <c r="O969" i="1" a="1"/>
  <c r="O985" i="1" a="1"/>
  <c r="O1001" i="1" a="1"/>
  <c r="O242" i="1" a="1"/>
  <c r="O386" i="1" a="1"/>
  <c r="O503" i="1" a="1"/>
  <c r="O547" i="1" a="1"/>
  <c r="O60" i="1" a="1"/>
  <c r="O238" i="1" a="1"/>
  <c r="O302" i="1" a="1"/>
  <c r="O366" i="1" a="1"/>
  <c r="O430" i="1" a="1"/>
  <c r="O482" i="1" a="1"/>
  <c r="O506" i="1" a="1"/>
  <c r="O522" i="1" a="1"/>
  <c r="O538" i="1" a="1"/>
  <c r="O554" i="1" a="1"/>
  <c r="O570" i="1" a="1"/>
  <c r="O586" i="1" a="1"/>
  <c r="O602" i="1" a="1"/>
  <c r="O618" i="1" a="1"/>
  <c r="O634" i="1" a="1"/>
  <c r="O650" i="1" a="1"/>
  <c r="O666" i="1" a="1"/>
  <c r="O682" i="1" a="1"/>
  <c r="O698" i="1" a="1"/>
  <c r="O714" i="1" a="1"/>
  <c r="O730" i="1" a="1"/>
  <c r="O746" i="1" a="1"/>
  <c r="O762" i="1" a="1"/>
  <c r="O778" i="1" a="1"/>
  <c r="O794" i="1" a="1"/>
  <c r="O810" i="1" a="1"/>
  <c r="O826" i="1" a="1"/>
  <c r="O842" i="1" a="1"/>
  <c r="O858" i="1" a="1"/>
  <c r="O874" i="1" a="1"/>
  <c r="O890" i="1" a="1"/>
  <c r="O906" i="1" a="1"/>
  <c r="O922" i="1" a="1"/>
  <c r="O938" i="1" a="1"/>
  <c r="O954" i="1" a="1"/>
  <c r="O970" i="1" a="1"/>
  <c r="O986" i="1" a="1"/>
  <c r="O1002" i="1" a="1"/>
  <c r="O258" i="1" a="1"/>
  <c r="O402" i="1" a="1"/>
  <c r="O511" i="1" a="1"/>
  <c r="O559" i="1" a="1"/>
  <c r="O595" i="1" a="1"/>
  <c r="O659" i="1" a="1"/>
  <c r="O723" i="1" a="1"/>
  <c r="O787" i="1" a="1"/>
  <c r="O851" i="1" a="1"/>
  <c r="O915" i="1" a="1"/>
  <c r="O979" i="1" a="1"/>
  <c r="O615" i="1" a="1"/>
  <c r="O679" i="1" a="1"/>
  <c r="O743" i="1" a="1"/>
  <c r="O807" i="1" a="1"/>
  <c r="O871" i="1" a="1"/>
  <c r="O935" i="1" a="1"/>
  <c r="O999" i="1" a="1"/>
  <c r="O719" i="1" a="1"/>
  <c r="O863" i="1" a="1"/>
  <c r="O991" i="1" a="1"/>
  <c r="O651" i="1" a="1"/>
  <c r="O715" i="1" a="1"/>
  <c r="O779" i="1" a="1"/>
  <c r="O843" i="1" a="1"/>
  <c r="O907" i="1" a="1"/>
  <c r="O971" i="1" a="1"/>
  <c r="O655" i="1" a="1"/>
  <c r="O783" i="1" a="1"/>
  <c r="O911" i="1" a="1"/>
  <c r="O799" i="1" a="1"/>
  <c r="O683" i="1" a="1"/>
  <c r="O939" i="1" a="1"/>
  <c r="O847" i="1" a="1"/>
  <c r="O959" i="1" a="1"/>
  <c r="O13" i="1" a="1"/>
  <c r="O29" i="1" a="1"/>
  <c r="O45" i="1" a="1"/>
  <c r="O61" i="1" a="1"/>
  <c r="O77" i="1" a="1"/>
  <c r="O93" i="1" a="1"/>
  <c r="O109" i="1" a="1"/>
  <c r="O125" i="1" a="1"/>
  <c r="O141" i="1" a="1"/>
  <c r="O157" i="1" a="1"/>
  <c r="O173" i="1" a="1"/>
  <c r="O10" i="1" a="1"/>
  <c r="O26" i="1" a="1"/>
  <c r="O42" i="1" a="1"/>
  <c r="O58" i="1" a="1"/>
  <c r="O74" i="1" a="1"/>
  <c r="O90" i="1" a="1"/>
  <c r="O106" i="1" a="1"/>
  <c r="O122" i="1" a="1"/>
  <c r="O138" i="1" a="1"/>
  <c r="O154" i="1" a="1"/>
  <c r="O170" i="1" a="1"/>
  <c r="O186" i="1" a="1"/>
  <c r="O202" i="1" a="1"/>
  <c r="O218" i="1" a="1"/>
  <c r="O15" i="1" a="1"/>
  <c r="O31" i="1" a="1"/>
  <c r="O47" i="1" a="1"/>
  <c r="O63" i="1" a="1"/>
  <c r="O79" i="1" a="1"/>
  <c r="O95" i="1" a="1"/>
  <c r="O111" i="1" a="1"/>
  <c r="O127" i="1" a="1"/>
  <c r="O143" i="1" a="1"/>
  <c r="O159" i="1" a="1"/>
  <c r="O175" i="1" a="1"/>
  <c r="O191" i="1" a="1"/>
  <c r="O207" i="1" a="1"/>
  <c r="O223" i="1" a="1"/>
  <c r="O64" i="1" a="1"/>
  <c r="O128" i="1" a="1"/>
  <c r="O189" i="1" a="1"/>
  <c r="O221" i="1" a="1"/>
  <c r="O239" i="1" a="1"/>
  <c r="O255" i="1" a="1"/>
  <c r="O271" i="1" a="1"/>
  <c r="O287" i="1" a="1"/>
  <c r="O303" i="1" a="1"/>
  <c r="O319" i="1" a="1"/>
  <c r="O335" i="1" a="1"/>
  <c r="O351" i="1" a="1"/>
  <c r="O367" i="1" a="1"/>
  <c r="O383" i="1" a="1"/>
  <c r="O399" i="1" a="1"/>
  <c r="O415" i="1" a="1"/>
  <c r="O431" i="1" a="1"/>
  <c r="O447" i="1" a="1"/>
  <c r="O463" i="1" a="1"/>
  <c r="O52" i="1" a="1"/>
  <c r="O116" i="1" a="1"/>
  <c r="O180" i="1" a="1"/>
  <c r="O216" i="1" a="1"/>
  <c r="O236" i="1" a="1"/>
  <c r="O252" i="1" a="1"/>
  <c r="O268" i="1" a="1"/>
  <c r="O284" i="1" a="1"/>
  <c r="O300" i="1" a="1"/>
  <c r="O316" i="1" a="1"/>
  <c r="O332" i="1" a="1"/>
  <c r="O348" i="1" a="1"/>
  <c r="O364" i="1" a="1"/>
  <c r="O380" i="1" a="1"/>
  <c r="O396" i="1" a="1"/>
  <c r="O412" i="1" a="1"/>
  <c r="O428" i="1" a="1"/>
  <c r="O444" i="1" a="1"/>
  <c r="O460" i="1" a="1"/>
  <c r="O476" i="1" a="1"/>
  <c r="O492" i="1" a="1"/>
  <c r="O40" i="1" a="1"/>
  <c r="O104" i="1" a="1"/>
  <c r="O168" i="1" a="1"/>
  <c r="O209" i="1" a="1"/>
  <c r="O233" i="1" a="1"/>
  <c r="O249" i="1" a="1"/>
  <c r="O265" i="1" a="1"/>
  <c r="O281" i="1" a="1"/>
  <c r="O297" i="1" a="1"/>
  <c r="O313" i="1" a="1"/>
  <c r="O329" i="1" a="1"/>
  <c r="O345" i="1" a="1"/>
  <c r="O361" i="1" a="1"/>
  <c r="O377" i="1" a="1"/>
  <c r="O393" i="1" a="1"/>
  <c r="O409" i="1" a="1"/>
  <c r="O425" i="1" a="1"/>
  <c r="O441" i="1" a="1"/>
  <c r="O457" i="1" a="1"/>
  <c r="O473" i="1" a="1"/>
  <c r="O489" i="1" a="1"/>
  <c r="O92" i="1" a="1"/>
  <c r="O246" i="1" a="1"/>
  <c r="O310" i="1" a="1"/>
  <c r="O374" i="1" a="1"/>
  <c r="O438" i="1" a="1"/>
  <c r="O486" i="1" a="1"/>
  <c r="O508" i="1" a="1"/>
  <c r="O524" i="1" a="1"/>
  <c r="O540" i="1" a="1"/>
  <c r="O556" i="1" a="1"/>
  <c r="O572" i="1" a="1"/>
  <c r="O588" i="1" a="1"/>
  <c r="O604" i="1" a="1"/>
  <c r="O620" i="1" a="1"/>
  <c r="O636" i="1" a="1"/>
  <c r="O652" i="1" a="1"/>
  <c r="O668" i="1" a="1"/>
  <c r="O684" i="1" a="1"/>
  <c r="O700" i="1" a="1"/>
  <c r="O716" i="1" a="1"/>
  <c r="O732" i="1" a="1"/>
  <c r="O748" i="1" a="1"/>
  <c r="O764" i="1" a="1"/>
  <c r="O780" i="1" a="1"/>
  <c r="O796" i="1" a="1"/>
  <c r="O812" i="1" a="1"/>
  <c r="O828" i="1" a="1"/>
  <c r="O844" i="1" a="1"/>
  <c r="O860" i="1" a="1"/>
  <c r="O876" i="1" a="1"/>
  <c r="O892" i="1" a="1"/>
  <c r="O908" i="1" a="1"/>
  <c r="O924" i="1" a="1"/>
  <c r="O940" i="1" a="1"/>
  <c r="O956" i="1" a="1"/>
  <c r="O972" i="1" a="1"/>
  <c r="O988" i="1" a="1"/>
  <c r="O1004" i="1" a="1"/>
  <c r="O507" i="1" a="1"/>
  <c r="O555" i="1" a="1"/>
  <c r="O108" i="1" a="1"/>
  <c r="O250" i="1" a="1"/>
  <c r="O314" i="1" a="1"/>
  <c r="O378" i="1" a="1"/>
  <c r="O442" i="1" a="1"/>
  <c r="O487" i="1" a="1"/>
  <c r="O509" i="1" a="1"/>
  <c r="O525" i="1" a="1"/>
  <c r="O541" i="1" a="1"/>
  <c r="O557" i="1" a="1"/>
  <c r="O573" i="1" a="1"/>
  <c r="O589" i="1" a="1"/>
  <c r="O605" i="1" a="1"/>
  <c r="O621" i="1" a="1"/>
  <c r="O637" i="1" a="1"/>
  <c r="O653" i="1" a="1"/>
  <c r="O669" i="1" a="1"/>
  <c r="O685" i="1" a="1"/>
  <c r="O701" i="1" a="1"/>
  <c r="O717" i="1" a="1"/>
  <c r="O733" i="1" a="1"/>
  <c r="O749" i="1" a="1"/>
  <c r="O765" i="1" a="1"/>
  <c r="O781" i="1" a="1"/>
  <c r="O797" i="1" a="1"/>
  <c r="O813" i="1" a="1"/>
  <c r="O829" i="1" a="1"/>
  <c r="O845" i="1" a="1"/>
  <c r="O861" i="1" a="1"/>
  <c r="O877" i="1" a="1"/>
  <c r="O893" i="1" a="1"/>
  <c r="O909" i="1" a="1"/>
  <c r="O925" i="1" a="1"/>
  <c r="O941" i="1" a="1"/>
  <c r="O957" i="1" a="1"/>
  <c r="O973" i="1" a="1"/>
  <c r="O989" i="1" a="1"/>
  <c r="O6" i="1" a="1"/>
  <c r="O274" i="1" a="1"/>
  <c r="O418" i="1" a="1"/>
  <c r="O515" i="1" a="1"/>
  <c r="O563" i="1" a="1"/>
  <c r="O124" i="1" a="1"/>
  <c r="O254" i="1" a="1"/>
  <c r="O318" i="1" a="1"/>
  <c r="O382" i="1" a="1"/>
  <c r="O446" i="1" a="1"/>
  <c r="O490" i="1" a="1"/>
  <c r="O510" i="1" a="1"/>
  <c r="O526" i="1" a="1"/>
  <c r="O542" i="1" a="1"/>
  <c r="O558" i="1" a="1"/>
  <c r="O574" i="1" a="1"/>
  <c r="O590" i="1" a="1"/>
  <c r="O606" i="1" a="1"/>
  <c r="O622" i="1" a="1"/>
  <c r="O638" i="1" a="1"/>
  <c r="O654" i="1" a="1"/>
  <c r="O670" i="1" a="1"/>
  <c r="O686" i="1" a="1"/>
  <c r="O702" i="1" a="1"/>
  <c r="O718" i="1" a="1"/>
  <c r="O734" i="1" a="1"/>
  <c r="O750" i="1" a="1"/>
  <c r="O766" i="1" a="1"/>
  <c r="O782" i="1" a="1"/>
  <c r="O798" i="1" a="1"/>
  <c r="O814" i="1" a="1"/>
  <c r="O830" i="1" a="1"/>
  <c r="O846" i="1" a="1"/>
  <c r="O862" i="1" a="1"/>
  <c r="O878" i="1" a="1"/>
  <c r="O894" i="1" a="1"/>
  <c r="O910" i="1" a="1"/>
  <c r="O926" i="1" a="1"/>
  <c r="O942" i="1" a="1"/>
  <c r="O958" i="1" a="1"/>
  <c r="O974" i="1" a="1"/>
  <c r="O990" i="1" a="1"/>
  <c r="O76" i="1" a="1"/>
  <c r="O290" i="1" a="1"/>
  <c r="O450" i="1" a="1"/>
  <c r="O527" i="1" a="1"/>
  <c r="O571" i="1" a="1"/>
  <c r="O611" i="1" a="1"/>
  <c r="O675" i="1" a="1"/>
  <c r="O739" i="1" a="1"/>
  <c r="O803" i="1" a="1"/>
  <c r="O867" i="1" a="1"/>
  <c r="O931" i="1" a="1"/>
  <c r="O995" i="1" a="1"/>
  <c r="O631" i="1" a="1"/>
  <c r="O695" i="1" a="1"/>
  <c r="O759" i="1" a="1"/>
  <c r="O823" i="1" a="1"/>
  <c r="O887" i="1" a="1"/>
  <c r="O951" i="1" a="1"/>
  <c r="O623" i="1" a="1"/>
  <c r="O767" i="1" a="1"/>
  <c r="O895" i="1" a="1"/>
  <c r="O603" i="1" a="1"/>
  <c r="O667" i="1" a="1"/>
  <c r="O731" i="1" a="1"/>
  <c r="O795" i="1" a="1"/>
  <c r="O859" i="1" a="1"/>
  <c r="O923" i="1" a="1"/>
  <c r="O987" i="1" a="1"/>
  <c r="O703" i="1" a="1"/>
  <c r="O815" i="1" a="1"/>
  <c r="O943" i="1" a="1"/>
  <c r="O775" i="1" a="1"/>
  <c r="O903" i="1" a="1"/>
  <c r="O671" i="1" a="1"/>
  <c r="O619" i="1" a="1"/>
  <c r="O747" i="1" a="1"/>
  <c r="O875" i="1" a="1"/>
  <c r="O735" i="1" a="1"/>
  <c r="O975" i="1" a="1"/>
  <c r="O635" i="1" a="1"/>
  <c r="O17" i="1" a="1"/>
  <c r="O33" i="1" a="1"/>
  <c r="O49" i="1" a="1"/>
  <c r="O65" i="1" a="1"/>
  <c r="O81" i="1" a="1"/>
  <c r="O97" i="1" a="1"/>
  <c r="O113" i="1" a="1"/>
  <c r="O129" i="1" a="1"/>
  <c r="O145" i="1" a="1"/>
  <c r="O161" i="1" a="1"/>
  <c r="O177" i="1" a="1"/>
  <c r="O14" i="1" a="1"/>
  <c r="O30" i="1" a="1"/>
  <c r="O46" i="1" a="1"/>
  <c r="O62" i="1" a="1"/>
  <c r="O78" i="1" a="1"/>
  <c r="O94" i="1" a="1"/>
  <c r="O110" i="1" a="1"/>
  <c r="O126" i="1" a="1"/>
  <c r="O142" i="1" a="1"/>
  <c r="O158" i="1" a="1"/>
  <c r="O174" i="1" a="1"/>
  <c r="O190" i="1" a="1"/>
  <c r="O206" i="1" a="1"/>
  <c r="O222" i="1" a="1"/>
  <c r="O19" i="1" a="1"/>
  <c r="O35" i="1" a="1"/>
  <c r="O51" i="1" a="1"/>
  <c r="O67" i="1" a="1"/>
  <c r="O83" i="1" a="1"/>
  <c r="O99" i="1" a="1"/>
  <c r="O115" i="1" a="1"/>
  <c r="O131" i="1" a="1"/>
  <c r="O147" i="1" a="1"/>
  <c r="O163" i="1" a="1"/>
  <c r="O179" i="1" a="1"/>
  <c r="O195" i="1" a="1"/>
  <c r="O211" i="1" a="1"/>
  <c r="O16" i="1" a="1"/>
  <c r="O80" i="1" a="1"/>
  <c r="O144" i="1" a="1"/>
  <c r="O197" i="1" a="1"/>
  <c r="O227" i="1" a="1"/>
  <c r="O243" i="1" a="1"/>
  <c r="O259" i="1" a="1"/>
  <c r="O275" i="1" a="1"/>
  <c r="O291" i="1" a="1"/>
  <c r="O307" i="1" a="1"/>
  <c r="O323" i="1" a="1"/>
  <c r="O339" i="1" a="1"/>
  <c r="O355" i="1" a="1"/>
  <c r="O371" i="1" a="1"/>
  <c r="O387" i="1" a="1"/>
  <c r="O403" i="1" a="1"/>
  <c r="O419" i="1" a="1"/>
  <c r="O435" i="1" a="1"/>
  <c r="O451" i="1" a="1"/>
  <c r="O467" i="1" a="1"/>
  <c r="O68" i="1" a="1"/>
  <c r="O132" i="1" a="1"/>
  <c r="O192" i="1" a="1"/>
  <c r="O224" i="1" a="1"/>
  <c r="O240" i="1" a="1"/>
  <c r="O256" i="1" a="1"/>
  <c r="O272" i="1" a="1"/>
  <c r="O288" i="1" a="1"/>
  <c r="O304" i="1" a="1"/>
  <c r="O320" i="1" a="1"/>
  <c r="O336" i="1" a="1"/>
  <c r="O352" i="1" a="1"/>
  <c r="O368" i="1" a="1"/>
  <c r="O384" i="1" a="1"/>
  <c r="O400" i="1" a="1"/>
  <c r="O416" i="1" a="1"/>
  <c r="O432" i="1" a="1"/>
  <c r="O448" i="1" a="1"/>
  <c r="O464" i="1" a="1"/>
  <c r="O480" i="1" a="1"/>
  <c r="O496" i="1" a="1"/>
  <c r="O56" i="1" a="1"/>
  <c r="O120" i="1" a="1"/>
  <c r="O184" i="1" a="1"/>
  <c r="O217" i="1" a="1"/>
  <c r="O237" i="1" a="1"/>
  <c r="O253" i="1" a="1"/>
  <c r="O269" i="1" a="1"/>
  <c r="O285" i="1" a="1"/>
  <c r="O301" i="1" a="1"/>
  <c r="O317" i="1" a="1"/>
  <c r="O333" i="1" a="1"/>
  <c r="O349" i="1" a="1"/>
  <c r="O365" i="1" a="1"/>
  <c r="O381" i="1" a="1"/>
  <c r="O397" i="1" a="1"/>
  <c r="O413" i="1" a="1"/>
  <c r="O429" i="1" a="1"/>
  <c r="O445" i="1" a="1"/>
  <c r="O461" i="1" a="1"/>
  <c r="O477" i="1" a="1"/>
  <c r="O493" i="1" a="1"/>
  <c r="O156" i="1" a="1"/>
  <c r="O262" i="1" a="1"/>
  <c r="O326" i="1" a="1"/>
  <c r="O390" i="1" a="1"/>
  <c r="O454" i="1" a="1"/>
  <c r="O494" i="1" a="1"/>
  <c r="O512" i="1" a="1"/>
  <c r="O528" i="1" a="1"/>
  <c r="O544" i="1" a="1"/>
  <c r="O560" i="1" a="1"/>
  <c r="O576" i="1" a="1"/>
  <c r="O592" i="1" a="1"/>
  <c r="O608" i="1" a="1"/>
  <c r="O624" i="1" a="1"/>
  <c r="O640" i="1" a="1"/>
  <c r="O656" i="1" a="1"/>
  <c r="O672" i="1" a="1"/>
  <c r="O688" i="1" a="1"/>
  <c r="O704" i="1" a="1"/>
  <c r="O720" i="1" a="1"/>
  <c r="O736" i="1" a="1"/>
  <c r="O752" i="1" a="1"/>
  <c r="O768" i="1" a="1"/>
  <c r="O784" i="1" a="1"/>
  <c r="O800" i="1" a="1"/>
  <c r="O816" i="1" a="1"/>
  <c r="O832" i="1" a="1"/>
  <c r="O848" i="1" a="1"/>
  <c r="O864" i="1" a="1"/>
  <c r="O880" i="1" a="1"/>
  <c r="O896" i="1" a="1"/>
  <c r="O912" i="1" a="1"/>
  <c r="O928" i="1" a="1"/>
  <c r="O944" i="1" a="1"/>
  <c r="O960" i="1" a="1"/>
  <c r="O976" i="1" a="1"/>
  <c r="O992" i="1" a="1"/>
  <c r="O354" i="1" a="1"/>
  <c r="O519" i="1" a="1"/>
  <c r="O567" i="1" a="1"/>
  <c r="O172" i="1" a="1"/>
  <c r="O266" i="1" a="1"/>
  <c r="O330" i="1" a="1"/>
  <c r="O394" i="1" a="1"/>
  <c r="O458" i="1" a="1"/>
  <c r="O495" i="1" a="1"/>
  <c r="O513" i="1" a="1"/>
  <c r="O529" i="1" a="1"/>
  <c r="O545" i="1" a="1"/>
  <c r="O561" i="1" a="1"/>
  <c r="O577" i="1" a="1"/>
  <c r="O593" i="1" a="1"/>
  <c r="O609" i="1" a="1"/>
  <c r="O625" i="1" a="1"/>
  <c r="O641" i="1" a="1"/>
  <c r="O657" i="1" a="1"/>
  <c r="O673" i="1" a="1"/>
  <c r="O689" i="1" a="1"/>
  <c r="O705" i="1" a="1"/>
  <c r="O721" i="1" a="1"/>
  <c r="O737" i="1" a="1"/>
  <c r="O753" i="1" a="1"/>
  <c r="O769" i="1" a="1"/>
  <c r="O785" i="1" a="1"/>
  <c r="O801" i="1" a="1"/>
  <c r="O817" i="1" a="1"/>
  <c r="O833" i="1" a="1"/>
  <c r="O849" i="1" a="1"/>
  <c r="O865" i="1" a="1"/>
  <c r="O881" i="1" a="1"/>
  <c r="O897" i="1" a="1"/>
  <c r="O913" i="1" a="1"/>
  <c r="O929" i="1" a="1"/>
  <c r="O945" i="1" a="1"/>
  <c r="O961" i="1" a="1"/>
  <c r="O977" i="1" a="1"/>
  <c r="O993" i="1" a="1"/>
  <c r="O12" i="1" a="1"/>
  <c r="O306" i="1" a="1"/>
  <c r="O466" i="1" a="1"/>
  <c r="O523" i="1" a="1"/>
  <c r="O575" i="1" a="1"/>
  <c r="O188" i="1" a="1"/>
  <c r="O270" i="1" a="1"/>
  <c r="O334" i="1" a="1"/>
  <c r="O398" i="1" a="1"/>
  <c r="O462" i="1" a="1"/>
  <c r="O498" i="1" a="1"/>
  <c r="O514" i="1" a="1"/>
  <c r="O530" i="1" a="1"/>
  <c r="O546" i="1" a="1"/>
  <c r="O562" i="1" a="1"/>
  <c r="O578" i="1" a="1"/>
  <c r="O594" i="1" a="1"/>
  <c r="O610" i="1" a="1"/>
  <c r="O626" i="1" a="1"/>
  <c r="O642" i="1" a="1"/>
  <c r="O658" i="1" a="1"/>
  <c r="O674" i="1" a="1"/>
  <c r="O690" i="1" a="1"/>
  <c r="O706" i="1" a="1"/>
  <c r="O722" i="1" a="1"/>
  <c r="O738" i="1" a="1"/>
  <c r="O754" i="1" a="1"/>
  <c r="O770" i="1" a="1"/>
  <c r="O786" i="1" a="1"/>
  <c r="O802" i="1" a="1"/>
  <c r="O818" i="1" a="1"/>
  <c r="O834" i="1" a="1"/>
  <c r="O850" i="1" a="1"/>
  <c r="O866" i="1" a="1"/>
  <c r="O882" i="1" a="1"/>
  <c r="O898" i="1" a="1"/>
  <c r="O914" i="1" a="1"/>
  <c r="O930" i="1" a="1"/>
  <c r="O946" i="1" a="1"/>
  <c r="O962" i="1" a="1"/>
  <c r="O978" i="1" a="1"/>
  <c r="O994" i="1" a="1"/>
  <c r="O140" i="1" a="1"/>
  <c r="O322" i="1" a="1"/>
  <c r="O475" i="1" a="1"/>
  <c r="O539" i="1" a="1"/>
  <c r="O579" i="1" a="1"/>
  <c r="O627" i="1" a="1"/>
  <c r="O691" i="1" a="1"/>
  <c r="O755" i="1" a="1"/>
  <c r="O819" i="1" a="1"/>
  <c r="O883" i="1" a="1"/>
  <c r="O947" i="1" a="1"/>
  <c r="O639" i="1" a="1"/>
  <c r="O647" i="1" a="1"/>
  <c r="O711" i="1" a="1"/>
  <c r="O839" i="1" a="1"/>
  <c r="O967" i="1" a="1"/>
  <c r="O927" i="1" a="1"/>
  <c r="O811" i="1" a="1"/>
  <c r="O1003" i="1" a="1"/>
  <c r="O21" i="1" a="1"/>
  <c r="O37" i="1" a="1"/>
  <c r="O53" i="1" a="1"/>
  <c r="O69" i="1" a="1"/>
  <c r="O85" i="1" a="1"/>
  <c r="O101" i="1" a="1"/>
  <c r="O117" i="1" a="1"/>
  <c r="O133" i="1" a="1"/>
  <c r="O149" i="1" a="1"/>
  <c r="O165" i="1" a="1"/>
  <c r="O181" i="1" a="1"/>
  <c r="O18" i="1" a="1"/>
  <c r="O34" i="1" a="1"/>
  <c r="O50" i="1" a="1"/>
  <c r="O66" i="1" a="1"/>
  <c r="O82" i="1" a="1"/>
  <c r="O98" i="1" a="1"/>
  <c r="O114" i="1" a="1"/>
  <c r="O130" i="1" a="1"/>
  <c r="O146" i="1" a="1"/>
  <c r="O162" i="1" a="1"/>
  <c r="O178" i="1" a="1"/>
  <c r="O194" i="1" a="1"/>
  <c r="O210" i="1" a="1"/>
  <c r="O7" i="1" a="1"/>
  <c r="O23" i="1" a="1"/>
  <c r="O39" i="1" a="1"/>
  <c r="O55" i="1" a="1"/>
  <c r="O71" i="1" a="1"/>
  <c r="O87" i="1" a="1"/>
  <c r="O103" i="1" a="1"/>
  <c r="O119" i="1" a="1"/>
  <c r="O135" i="1" a="1"/>
  <c r="O151" i="1" a="1"/>
  <c r="O167" i="1" a="1"/>
  <c r="O183" i="1" a="1"/>
  <c r="O199" i="1" a="1"/>
  <c r="O215" i="1" a="1"/>
  <c r="O32" i="1" a="1"/>
  <c r="O96" i="1" a="1"/>
  <c r="O160" i="1" a="1"/>
  <c r="O205" i="1" a="1"/>
  <c r="O231" i="1" a="1"/>
  <c r="O247" i="1" a="1"/>
  <c r="O263" i="1" a="1"/>
  <c r="O279" i="1" a="1"/>
  <c r="O295" i="1" a="1"/>
  <c r="O311" i="1" a="1"/>
  <c r="O327" i="1" a="1"/>
  <c r="O343" i="1" a="1"/>
  <c r="O359" i="1" a="1"/>
  <c r="O375" i="1" a="1"/>
  <c r="O391" i="1" a="1"/>
  <c r="O407" i="1" a="1"/>
  <c r="O423" i="1" a="1"/>
  <c r="O439" i="1" a="1"/>
  <c r="O455" i="1" a="1"/>
  <c r="O20" i="1" a="1"/>
  <c r="O84" i="1" a="1"/>
  <c r="O148" i="1" a="1"/>
  <c r="O200" i="1" a="1"/>
  <c r="O228" i="1" a="1"/>
  <c r="O244" i="1" a="1"/>
  <c r="O260" i="1" a="1"/>
  <c r="O276" i="1" a="1"/>
  <c r="O292" i="1" a="1"/>
  <c r="O308" i="1" a="1"/>
  <c r="O324" i="1" a="1"/>
  <c r="O340" i="1" a="1"/>
  <c r="O356" i="1" a="1"/>
  <c r="O372" i="1" a="1"/>
  <c r="O388" i="1" a="1"/>
  <c r="O404" i="1" a="1"/>
  <c r="O420" i="1" a="1"/>
  <c r="O436" i="1" a="1"/>
  <c r="O452" i="1" a="1"/>
  <c r="O468" i="1" a="1"/>
  <c r="O484" i="1" a="1"/>
  <c r="O8" i="1" a="1"/>
  <c r="O72" i="1" a="1"/>
  <c r="O136" i="1" a="1"/>
  <c r="O193" i="1" a="1"/>
  <c r="O225" i="1" a="1"/>
  <c r="O241" i="1" a="1"/>
  <c r="O257" i="1" a="1"/>
  <c r="O273" i="1" a="1"/>
  <c r="O289" i="1" a="1"/>
  <c r="O305" i="1" a="1"/>
  <c r="O321" i="1" a="1"/>
  <c r="O337" i="1" a="1"/>
  <c r="O353" i="1" a="1"/>
  <c r="O369" i="1" a="1"/>
  <c r="O385" i="1" a="1"/>
  <c r="O401" i="1" a="1"/>
  <c r="O417" i="1" a="1"/>
  <c r="O433" i="1" a="1"/>
  <c r="O449" i="1" a="1"/>
  <c r="O465" i="1" a="1"/>
  <c r="O481" i="1" a="1"/>
  <c r="O497" i="1" a="1"/>
  <c r="O204" i="1" a="1"/>
  <c r="O278" i="1" a="1"/>
  <c r="O342" i="1" a="1"/>
  <c r="O406" i="1" a="1"/>
  <c r="O470" i="1" a="1"/>
  <c r="O500" i="1" a="1"/>
  <c r="O516" i="1" a="1"/>
  <c r="O532" i="1" a="1"/>
  <c r="O548" i="1" a="1"/>
  <c r="O564" i="1" a="1"/>
  <c r="O580" i="1" a="1"/>
  <c r="O596" i="1" a="1"/>
  <c r="O612" i="1" a="1"/>
  <c r="O628" i="1" a="1"/>
  <c r="O644" i="1" a="1"/>
  <c r="O660" i="1" a="1"/>
  <c r="O676" i="1" a="1"/>
  <c r="O692" i="1" a="1"/>
  <c r="O708" i="1" a="1"/>
  <c r="O724" i="1" a="1"/>
  <c r="O740" i="1" a="1"/>
  <c r="O756" i="1" a="1"/>
  <c r="O772" i="1" a="1"/>
  <c r="O788" i="1" a="1"/>
  <c r="O804" i="1" a="1"/>
  <c r="O820" i="1" a="1"/>
  <c r="O836" i="1" a="1"/>
  <c r="O852" i="1" a="1"/>
  <c r="O868" i="1" a="1"/>
  <c r="O884" i="1" a="1"/>
  <c r="O900" i="1" a="1"/>
  <c r="O916" i="1" a="1"/>
  <c r="O932" i="1" a="1"/>
  <c r="O948" i="1" a="1"/>
  <c r="O964" i="1" a="1"/>
  <c r="O980" i="1" a="1"/>
  <c r="O996" i="1" a="1"/>
  <c r="O434" i="1" a="1"/>
  <c r="O531" i="1" a="1"/>
  <c r="O587" i="1" a="1"/>
  <c r="O212" i="1" a="1"/>
  <c r="O282" i="1" a="1"/>
  <c r="O346" i="1" a="1"/>
  <c r="O410" i="1" a="1"/>
  <c r="O471" i="1" a="1"/>
  <c r="O501" i="1" a="1"/>
  <c r="O517" i="1" a="1"/>
  <c r="O533" i="1" a="1"/>
  <c r="O549" i="1" a="1"/>
  <c r="O565" i="1" a="1"/>
  <c r="O581" i="1" a="1"/>
  <c r="O597" i="1" a="1"/>
  <c r="O613" i="1" a="1"/>
  <c r="O629" i="1" a="1"/>
  <c r="O645" i="1" a="1"/>
  <c r="O661" i="1" a="1"/>
  <c r="O677" i="1" a="1"/>
  <c r="O693" i="1" a="1"/>
  <c r="O709" i="1" a="1"/>
  <c r="O725" i="1" a="1"/>
  <c r="O741" i="1" a="1"/>
  <c r="O757" i="1" a="1"/>
  <c r="O773" i="1" a="1"/>
  <c r="O789" i="1" a="1"/>
  <c r="O805" i="1" a="1"/>
  <c r="O821" i="1" a="1"/>
  <c r="O837" i="1" a="1"/>
  <c r="O853" i="1" a="1"/>
  <c r="O869" i="1" a="1"/>
  <c r="O885" i="1" a="1"/>
  <c r="O901" i="1" a="1"/>
  <c r="O917" i="1" a="1"/>
  <c r="O933" i="1" a="1"/>
  <c r="O949" i="1" a="1"/>
  <c r="O965" i="1" a="1"/>
  <c r="O981" i="1" a="1"/>
  <c r="O997" i="1" a="1"/>
  <c r="O196" i="1" a="1"/>
  <c r="O338" i="1" a="1"/>
  <c r="O491" i="1" a="1"/>
  <c r="O535" i="1" a="1"/>
  <c r="O583" i="1" a="1"/>
  <c r="O220" i="1" a="1"/>
  <c r="O286" i="1" a="1"/>
  <c r="O350" i="1" a="1"/>
  <c r="O414" i="1" a="1"/>
  <c r="O474" i="1" a="1"/>
  <c r="O502" i="1" a="1"/>
  <c r="O518" i="1" a="1"/>
  <c r="O534" i="1" a="1"/>
  <c r="O550" i="1" a="1"/>
  <c r="O566" i="1" a="1"/>
  <c r="O582" i="1" a="1"/>
  <c r="O598" i="1" a="1"/>
  <c r="O614" i="1" a="1"/>
  <c r="O630" i="1" a="1"/>
  <c r="O646" i="1" a="1"/>
  <c r="O662" i="1" a="1"/>
  <c r="O678" i="1" a="1"/>
  <c r="O694" i="1" a="1"/>
  <c r="O710" i="1" a="1"/>
  <c r="O726" i="1" a="1"/>
  <c r="O742" i="1" a="1"/>
  <c r="O758" i="1" a="1"/>
  <c r="O774" i="1" a="1"/>
  <c r="O790" i="1" a="1"/>
  <c r="O806" i="1" a="1"/>
  <c r="O822" i="1" a="1"/>
  <c r="O838" i="1" a="1"/>
  <c r="O854" i="1" a="1"/>
  <c r="O870" i="1" a="1"/>
  <c r="O886" i="1" a="1"/>
  <c r="O902" i="1" a="1"/>
  <c r="O918" i="1" a="1"/>
  <c r="O934" i="1" a="1"/>
  <c r="O950" i="1" a="1"/>
  <c r="O966" i="1" a="1"/>
  <c r="O982" i="1" a="1"/>
  <c r="O998" i="1" a="1"/>
  <c r="O226" i="1" a="1"/>
  <c r="O370" i="1" a="1"/>
  <c r="O499" i="1" a="1"/>
  <c r="O551" i="1" a="1"/>
  <c r="O591" i="1" a="1"/>
  <c r="O643" i="1" a="1"/>
  <c r="O707" i="1" a="1"/>
  <c r="O771" i="1" a="1"/>
  <c r="O835" i="1" a="1"/>
  <c r="O899" i="1" a="1"/>
  <c r="O963" i="1" a="1"/>
  <c r="O599" i="1" a="1"/>
  <c r="O663" i="1" a="1"/>
  <c r="O727" i="1" a="1"/>
  <c r="O791" i="1" a="1"/>
  <c r="O855" i="1" a="1"/>
  <c r="O919" i="1" a="1"/>
  <c r="O983" i="1" a="1"/>
  <c r="O687" i="1" a="1"/>
  <c r="O831" i="1" a="1"/>
  <c r="O827" i="1" a="1"/>
  <c r="O891" i="1" a="1"/>
  <c r="O763" i="1" a="1"/>
  <c r="O607" i="1" a="1"/>
  <c r="O879" i="1" a="1"/>
  <c r="O699" i="1" a="1"/>
  <c r="O955" i="1" a="1"/>
  <c r="O751" i="1" a="1"/>
  <c r="O751" i="1" l="1"/>
  <c r="O955" i="1"/>
  <c r="O699" i="1"/>
  <c r="O879" i="1"/>
  <c r="O607" i="1"/>
  <c r="O763" i="1"/>
  <c r="O891" i="1"/>
  <c r="O827" i="1"/>
  <c r="O831" i="1"/>
  <c r="O687" i="1"/>
  <c r="O983" i="1"/>
  <c r="O919" i="1"/>
  <c r="O855" i="1"/>
  <c r="O791" i="1"/>
  <c r="O727" i="1"/>
  <c r="O663" i="1"/>
  <c r="O599" i="1"/>
  <c r="O963" i="1"/>
  <c r="O899" i="1"/>
  <c r="O835" i="1"/>
  <c r="O771" i="1"/>
  <c r="O707" i="1"/>
  <c r="O643" i="1"/>
  <c r="O591" i="1"/>
  <c r="O551" i="1"/>
  <c r="O499" i="1"/>
  <c r="O370" i="1"/>
  <c r="O226" i="1"/>
  <c r="O998" i="1"/>
  <c r="O982" i="1"/>
  <c r="O966" i="1"/>
  <c r="O950" i="1"/>
  <c r="O934" i="1"/>
  <c r="O918" i="1"/>
  <c r="O902" i="1"/>
  <c r="O886" i="1"/>
  <c r="O870" i="1"/>
  <c r="O854" i="1"/>
  <c r="O838" i="1"/>
  <c r="O822" i="1"/>
  <c r="O806" i="1"/>
  <c r="O790" i="1"/>
  <c r="O774" i="1"/>
  <c r="O758" i="1"/>
  <c r="O742" i="1"/>
  <c r="O726" i="1"/>
  <c r="O710" i="1"/>
  <c r="O694" i="1"/>
  <c r="O678" i="1"/>
  <c r="O662" i="1"/>
  <c r="O646" i="1"/>
  <c r="O630" i="1"/>
  <c r="O614" i="1"/>
  <c r="O598" i="1"/>
  <c r="O582" i="1"/>
  <c r="O566" i="1"/>
  <c r="O550" i="1"/>
  <c r="O534" i="1"/>
  <c r="O518" i="1"/>
  <c r="O502" i="1"/>
  <c r="O474" i="1"/>
  <c r="O414" i="1"/>
  <c r="O350" i="1"/>
  <c r="O286" i="1"/>
  <c r="O220" i="1"/>
  <c r="O583" i="1"/>
  <c r="O535" i="1"/>
  <c r="O491" i="1"/>
  <c r="O338" i="1"/>
  <c r="O196" i="1"/>
  <c r="O997" i="1"/>
  <c r="O981" i="1"/>
  <c r="O965" i="1"/>
  <c r="O949" i="1"/>
  <c r="O933" i="1"/>
  <c r="O917" i="1"/>
  <c r="O901" i="1"/>
  <c r="O885" i="1"/>
  <c r="O869" i="1"/>
  <c r="O853" i="1"/>
  <c r="O837" i="1"/>
  <c r="O821" i="1"/>
  <c r="O805" i="1"/>
  <c r="O789" i="1"/>
  <c r="O773" i="1"/>
  <c r="O757" i="1"/>
  <c r="O741" i="1"/>
  <c r="O725" i="1"/>
  <c r="O709" i="1"/>
  <c r="O693" i="1"/>
  <c r="O677" i="1"/>
  <c r="O661" i="1"/>
  <c r="O645" i="1"/>
  <c r="O629" i="1"/>
  <c r="O613" i="1"/>
  <c r="O597" i="1"/>
  <c r="O581" i="1"/>
  <c r="O565" i="1"/>
  <c r="O549" i="1"/>
  <c r="O533" i="1"/>
  <c r="O517" i="1"/>
  <c r="O501" i="1"/>
  <c r="O471" i="1"/>
  <c r="O410" i="1"/>
  <c r="O346" i="1"/>
  <c r="O282" i="1"/>
  <c r="O212" i="1"/>
  <c r="O587" i="1"/>
  <c r="O531" i="1"/>
  <c r="O434" i="1"/>
  <c r="O996" i="1"/>
  <c r="O980" i="1"/>
  <c r="O964" i="1"/>
  <c r="O948" i="1"/>
  <c r="O932" i="1"/>
  <c r="O916" i="1"/>
  <c r="O900" i="1"/>
  <c r="O884" i="1"/>
  <c r="O868" i="1"/>
  <c r="O852" i="1"/>
  <c r="O836" i="1"/>
  <c r="O820" i="1"/>
  <c r="O804" i="1"/>
  <c r="O788" i="1"/>
  <c r="O772" i="1"/>
  <c r="O756" i="1"/>
  <c r="O740" i="1"/>
  <c r="O724" i="1"/>
  <c r="O708" i="1"/>
  <c r="O692" i="1"/>
  <c r="O676" i="1"/>
  <c r="O660" i="1"/>
  <c r="O644" i="1"/>
  <c r="O628" i="1"/>
  <c r="O612" i="1"/>
  <c r="O596" i="1"/>
  <c r="O580" i="1"/>
  <c r="O564" i="1"/>
  <c r="O548" i="1"/>
  <c r="O532" i="1"/>
  <c r="O516" i="1"/>
  <c r="O500" i="1"/>
  <c r="O470" i="1"/>
  <c r="O406" i="1"/>
  <c r="O342" i="1"/>
  <c r="O278" i="1"/>
  <c r="O204" i="1"/>
  <c r="O497" i="1"/>
  <c r="O481" i="1"/>
  <c r="O465" i="1"/>
  <c r="O449" i="1"/>
  <c r="O433" i="1"/>
  <c r="O417" i="1"/>
  <c r="O401" i="1"/>
  <c r="O385" i="1"/>
  <c r="O369" i="1"/>
  <c r="O353" i="1"/>
  <c r="O337" i="1"/>
  <c r="O321" i="1"/>
  <c r="O305" i="1"/>
  <c r="O289" i="1"/>
  <c r="O273" i="1"/>
  <c r="O257" i="1"/>
  <c r="O241" i="1"/>
  <c r="O225" i="1"/>
  <c r="O193" i="1"/>
  <c r="O136" i="1"/>
  <c r="O72" i="1"/>
  <c r="O8" i="1"/>
  <c r="O484" i="1"/>
  <c r="O468" i="1"/>
  <c r="O452" i="1"/>
  <c r="O436" i="1"/>
  <c r="O420" i="1"/>
  <c r="O404" i="1"/>
  <c r="O388" i="1"/>
  <c r="O372" i="1"/>
  <c r="O356" i="1"/>
  <c r="O340" i="1"/>
  <c r="O324" i="1"/>
  <c r="O308" i="1"/>
  <c r="O292" i="1"/>
  <c r="O276" i="1"/>
  <c r="O260" i="1"/>
  <c r="O244" i="1"/>
  <c r="O228" i="1"/>
  <c r="O200" i="1"/>
  <c r="O148" i="1"/>
  <c r="O84" i="1"/>
  <c r="O20" i="1"/>
  <c r="O455" i="1"/>
  <c r="O439" i="1"/>
  <c r="O423" i="1"/>
  <c r="O407" i="1"/>
  <c r="O391" i="1"/>
  <c r="O375" i="1"/>
  <c r="O359" i="1"/>
  <c r="O343" i="1"/>
  <c r="O327" i="1"/>
  <c r="O311" i="1"/>
  <c r="O295" i="1"/>
  <c r="O279" i="1"/>
  <c r="O263" i="1"/>
  <c r="O247" i="1"/>
  <c r="O231" i="1"/>
  <c r="O205" i="1"/>
  <c r="O160" i="1"/>
  <c r="O96" i="1"/>
  <c r="O32" i="1"/>
  <c r="O215" i="1"/>
  <c r="O199" i="1"/>
  <c r="O183" i="1"/>
  <c r="O167" i="1"/>
  <c r="O151" i="1"/>
  <c r="O135" i="1"/>
  <c r="O119" i="1"/>
  <c r="O103" i="1"/>
  <c r="O87" i="1"/>
  <c r="O71" i="1"/>
  <c r="O55" i="1"/>
  <c r="O39" i="1"/>
  <c r="O23" i="1"/>
  <c r="O7" i="1"/>
  <c r="O210" i="1"/>
  <c r="O194" i="1"/>
  <c r="O178" i="1"/>
  <c r="O162" i="1"/>
  <c r="O146" i="1"/>
  <c r="O130" i="1"/>
  <c r="O114" i="1"/>
  <c r="O98" i="1"/>
  <c r="O82" i="1"/>
  <c r="O66" i="1"/>
  <c r="O50" i="1"/>
  <c r="O34" i="1"/>
  <c r="O18" i="1"/>
  <c r="O181" i="1"/>
  <c r="O165" i="1"/>
  <c r="O149" i="1"/>
  <c r="O133" i="1"/>
  <c r="O117" i="1"/>
  <c r="O101" i="1"/>
  <c r="O85" i="1"/>
  <c r="O69" i="1"/>
  <c r="O53" i="1"/>
  <c r="O37" i="1"/>
  <c r="O21" i="1"/>
  <c r="O1003" i="1"/>
  <c r="O811" i="1"/>
  <c r="O927" i="1"/>
  <c r="O967" i="1"/>
  <c r="O839" i="1"/>
  <c r="O711" i="1"/>
  <c r="O647" i="1"/>
  <c r="O639" i="1"/>
  <c r="O947" i="1"/>
  <c r="O883" i="1"/>
  <c r="O819" i="1"/>
  <c r="O755" i="1"/>
  <c r="O691" i="1"/>
  <c r="O627" i="1"/>
  <c r="O579" i="1"/>
  <c r="O539" i="1"/>
  <c r="O475" i="1"/>
  <c r="O322" i="1"/>
  <c r="O140" i="1"/>
  <c r="O994" i="1"/>
  <c r="O978" i="1"/>
  <c r="O962" i="1"/>
  <c r="O946" i="1"/>
  <c r="O930" i="1"/>
  <c r="O914" i="1"/>
  <c r="O898" i="1"/>
  <c r="O882" i="1"/>
  <c r="O866" i="1"/>
  <c r="O850" i="1"/>
  <c r="O834" i="1"/>
  <c r="O818" i="1"/>
  <c r="O802" i="1"/>
  <c r="O786" i="1"/>
  <c r="O770" i="1"/>
  <c r="O754" i="1"/>
  <c r="O738" i="1"/>
  <c r="O722" i="1"/>
  <c r="O706" i="1"/>
  <c r="O690" i="1"/>
  <c r="O674" i="1"/>
  <c r="O658" i="1"/>
  <c r="O642" i="1"/>
  <c r="O626" i="1"/>
  <c r="O610" i="1"/>
  <c r="O594" i="1"/>
  <c r="O578" i="1"/>
  <c r="O562" i="1"/>
  <c r="O546" i="1"/>
  <c r="O530" i="1"/>
  <c r="O514" i="1"/>
  <c r="O498" i="1"/>
  <c r="O462" i="1"/>
  <c r="O398" i="1"/>
  <c r="O334" i="1"/>
  <c r="O270" i="1"/>
  <c r="O188" i="1"/>
  <c r="O575" i="1"/>
  <c r="O523" i="1"/>
  <c r="O466" i="1"/>
  <c r="O306" i="1"/>
  <c r="O12" i="1"/>
  <c r="O993" i="1"/>
  <c r="O977" i="1"/>
  <c r="O961" i="1"/>
  <c r="O945" i="1"/>
  <c r="O929" i="1"/>
  <c r="O913" i="1"/>
  <c r="O897" i="1"/>
  <c r="O881" i="1"/>
  <c r="O865" i="1"/>
  <c r="O849" i="1"/>
  <c r="O833" i="1"/>
  <c r="O817" i="1"/>
  <c r="O801" i="1"/>
  <c r="O785" i="1"/>
  <c r="O769" i="1"/>
  <c r="O753" i="1"/>
  <c r="O737" i="1"/>
  <c r="O721" i="1"/>
  <c r="O705" i="1"/>
  <c r="O689" i="1"/>
  <c r="O673" i="1"/>
  <c r="O657" i="1"/>
  <c r="O641" i="1"/>
  <c r="O625" i="1"/>
  <c r="O609" i="1"/>
  <c r="O593" i="1"/>
  <c r="O577" i="1"/>
  <c r="O561" i="1"/>
  <c r="O545" i="1"/>
  <c r="O529" i="1"/>
  <c r="O513" i="1"/>
  <c r="O495" i="1"/>
  <c r="O458" i="1"/>
  <c r="O394" i="1"/>
  <c r="O330" i="1"/>
  <c r="O266" i="1"/>
  <c r="O172" i="1"/>
  <c r="O567" i="1"/>
  <c r="O519" i="1"/>
  <c r="O354" i="1"/>
  <c r="O992" i="1"/>
  <c r="O976" i="1"/>
  <c r="O960" i="1"/>
  <c r="O944" i="1"/>
  <c r="O928" i="1"/>
  <c r="O912" i="1"/>
  <c r="O896" i="1"/>
  <c r="O880" i="1"/>
  <c r="O864" i="1"/>
  <c r="O848" i="1"/>
  <c r="O832" i="1"/>
  <c r="O816" i="1"/>
  <c r="O800" i="1"/>
  <c r="O784" i="1"/>
  <c r="O768" i="1"/>
  <c r="O752" i="1"/>
  <c r="O736" i="1"/>
  <c r="O720" i="1"/>
  <c r="O704" i="1"/>
  <c r="O688" i="1"/>
  <c r="O672" i="1"/>
  <c r="O656" i="1"/>
  <c r="O640" i="1"/>
  <c r="O624" i="1"/>
  <c r="O608" i="1"/>
  <c r="O592" i="1"/>
  <c r="O576" i="1"/>
  <c r="O560" i="1"/>
  <c r="O544" i="1"/>
  <c r="O528" i="1"/>
  <c r="O512" i="1"/>
  <c r="O494" i="1"/>
  <c r="O454" i="1"/>
  <c r="O390" i="1"/>
  <c r="O326" i="1"/>
  <c r="O262" i="1"/>
  <c r="O156" i="1"/>
  <c r="O493" i="1"/>
  <c r="O477" i="1"/>
  <c r="O461" i="1"/>
  <c r="O445" i="1"/>
  <c r="O429" i="1"/>
  <c r="O413" i="1"/>
  <c r="O397" i="1"/>
  <c r="O381" i="1"/>
  <c r="O365" i="1"/>
  <c r="O349" i="1"/>
  <c r="O333" i="1"/>
  <c r="O317" i="1"/>
  <c r="O301" i="1"/>
  <c r="O285" i="1"/>
  <c r="O269" i="1"/>
  <c r="O253" i="1"/>
  <c r="O237" i="1"/>
  <c r="O217" i="1"/>
  <c r="O184" i="1"/>
  <c r="O120" i="1"/>
  <c r="O56" i="1"/>
  <c r="O496" i="1"/>
  <c r="O480" i="1"/>
  <c r="O464" i="1"/>
  <c r="O448" i="1"/>
  <c r="O432" i="1"/>
  <c r="O416" i="1"/>
  <c r="O400" i="1"/>
  <c r="O384" i="1"/>
  <c r="O368" i="1"/>
  <c r="O352" i="1"/>
  <c r="O336" i="1"/>
  <c r="O320" i="1"/>
  <c r="O304" i="1"/>
  <c r="O288" i="1"/>
  <c r="O272" i="1"/>
  <c r="O256" i="1"/>
  <c r="O240" i="1"/>
  <c r="O224" i="1"/>
  <c r="O192" i="1"/>
  <c r="O132" i="1"/>
  <c r="O68" i="1"/>
  <c r="O467" i="1"/>
  <c r="O451" i="1"/>
  <c r="O435" i="1"/>
  <c r="O419" i="1"/>
  <c r="O403" i="1"/>
  <c r="O387" i="1"/>
  <c r="O371" i="1"/>
  <c r="O355" i="1"/>
  <c r="O339" i="1"/>
  <c r="O323" i="1"/>
  <c r="O307" i="1"/>
  <c r="O291" i="1"/>
  <c r="O275" i="1"/>
  <c r="O259" i="1"/>
  <c r="O243" i="1"/>
  <c r="O227" i="1"/>
  <c r="O197" i="1"/>
  <c r="O144" i="1"/>
  <c r="O80" i="1"/>
  <c r="O16" i="1"/>
  <c r="O211" i="1"/>
  <c r="O195" i="1"/>
  <c r="O179" i="1"/>
  <c r="O163" i="1"/>
  <c r="O147" i="1"/>
  <c r="O131" i="1"/>
  <c r="O115" i="1"/>
  <c r="O99" i="1"/>
  <c r="O83" i="1"/>
  <c r="O67" i="1"/>
  <c r="O51" i="1"/>
  <c r="O35" i="1"/>
  <c r="O19" i="1"/>
  <c r="O222" i="1"/>
  <c r="O206" i="1"/>
  <c r="O190" i="1"/>
  <c r="O174" i="1"/>
  <c r="O158" i="1"/>
  <c r="O142" i="1"/>
  <c r="O126" i="1"/>
  <c r="O110" i="1"/>
  <c r="O94" i="1"/>
  <c r="O78" i="1"/>
  <c r="O62" i="1"/>
  <c r="O46" i="1"/>
  <c r="O30" i="1"/>
  <c r="O14" i="1"/>
  <c r="O177" i="1"/>
  <c r="O161" i="1"/>
  <c r="O145" i="1"/>
  <c r="O129" i="1"/>
  <c r="O113" i="1"/>
  <c r="O97" i="1"/>
  <c r="O81" i="1"/>
  <c r="O65" i="1"/>
  <c r="O49" i="1"/>
  <c r="O33" i="1"/>
  <c r="O17" i="1"/>
  <c r="O635" i="1"/>
  <c r="O975" i="1"/>
  <c r="O735" i="1"/>
  <c r="O875" i="1"/>
  <c r="O747" i="1"/>
  <c r="O619" i="1"/>
  <c r="O671" i="1"/>
  <c r="O903" i="1"/>
  <c r="O775" i="1"/>
  <c r="O943" i="1"/>
  <c r="O815" i="1"/>
  <c r="O703" i="1"/>
  <c r="O987" i="1"/>
  <c r="O923" i="1"/>
  <c r="O859" i="1"/>
  <c r="O795" i="1"/>
  <c r="O731" i="1"/>
  <c r="O667" i="1"/>
  <c r="O603" i="1"/>
  <c r="O895" i="1"/>
  <c r="O767" i="1"/>
  <c r="O623" i="1"/>
  <c r="O951" i="1"/>
  <c r="O887" i="1"/>
  <c r="O823" i="1"/>
  <c r="O759" i="1"/>
  <c r="O695" i="1"/>
  <c r="O631" i="1"/>
  <c r="O995" i="1"/>
  <c r="O931" i="1"/>
  <c r="O867" i="1"/>
  <c r="O803" i="1"/>
  <c r="O739" i="1"/>
  <c r="O675" i="1"/>
  <c r="O611" i="1"/>
  <c r="O571" i="1"/>
  <c r="O527" i="1"/>
  <c r="O450" i="1"/>
  <c r="O290" i="1"/>
  <c r="O76" i="1"/>
  <c r="O990" i="1"/>
  <c r="O974" i="1"/>
  <c r="O958" i="1"/>
  <c r="O942" i="1"/>
  <c r="O926" i="1"/>
  <c r="O910" i="1"/>
  <c r="O894" i="1"/>
  <c r="O878" i="1"/>
  <c r="O862" i="1"/>
  <c r="O846" i="1"/>
  <c r="O830" i="1"/>
  <c r="O814" i="1"/>
  <c r="O798" i="1"/>
  <c r="O782" i="1"/>
  <c r="O766" i="1"/>
  <c r="O750" i="1"/>
  <c r="O734" i="1"/>
  <c r="O718" i="1"/>
  <c r="O702" i="1"/>
  <c r="O686" i="1"/>
  <c r="O670" i="1"/>
  <c r="O654" i="1"/>
  <c r="O638" i="1"/>
  <c r="O622" i="1"/>
  <c r="O606" i="1"/>
  <c r="O590" i="1"/>
  <c r="O574" i="1"/>
  <c r="O558" i="1"/>
  <c r="O542" i="1"/>
  <c r="O526" i="1"/>
  <c r="O510" i="1"/>
  <c r="O490" i="1"/>
  <c r="O446" i="1"/>
  <c r="O382" i="1"/>
  <c r="O318" i="1"/>
  <c r="O254" i="1"/>
  <c r="O124" i="1"/>
  <c r="O563" i="1"/>
  <c r="O515" i="1"/>
  <c r="O418" i="1"/>
  <c r="O274" i="1"/>
  <c r="O6" i="1"/>
  <c r="O989" i="1"/>
  <c r="O973" i="1"/>
  <c r="O957" i="1"/>
  <c r="O941" i="1"/>
  <c r="O925" i="1"/>
  <c r="O909" i="1"/>
  <c r="O893" i="1"/>
  <c r="O877" i="1"/>
  <c r="O861" i="1"/>
  <c r="O845" i="1"/>
  <c r="O829" i="1"/>
  <c r="O813" i="1"/>
  <c r="O797" i="1"/>
  <c r="O781" i="1"/>
  <c r="O765" i="1"/>
  <c r="O749" i="1"/>
  <c r="O733" i="1"/>
  <c r="O717" i="1"/>
  <c r="O701" i="1"/>
  <c r="O685" i="1"/>
  <c r="O669" i="1"/>
  <c r="O653" i="1"/>
  <c r="O637" i="1"/>
  <c r="O621" i="1"/>
  <c r="O605" i="1"/>
  <c r="O589" i="1"/>
  <c r="O573" i="1"/>
  <c r="O557" i="1"/>
  <c r="O541" i="1"/>
  <c r="O525" i="1"/>
  <c r="O509" i="1"/>
  <c r="O487" i="1"/>
  <c r="O442" i="1"/>
  <c r="O378" i="1"/>
  <c r="O314" i="1"/>
  <c r="O250" i="1"/>
  <c r="O108" i="1"/>
  <c r="O555" i="1"/>
  <c r="O507" i="1"/>
  <c r="O1004" i="1"/>
  <c r="O988" i="1"/>
  <c r="O972" i="1"/>
  <c r="O956" i="1"/>
  <c r="O940" i="1"/>
  <c r="O924" i="1"/>
  <c r="O908" i="1"/>
  <c r="O892" i="1"/>
  <c r="O876" i="1"/>
  <c r="O860" i="1"/>
  <c r="O844" i="1"/>
  <c r="O828" i="1"/>
  <c r="O812" i="1"/>
  <c r="O796" i="1"/>
  <c r="O780" i="1"/>
  <c r="O764" i="1"/>
  <c r="O748" i="1"/>
  <c r="O732" i="1"/>
  <c r="O716" i="1"/>
  <c r="O700" i="1"/>
  <c r="O684" i="1"/>
  <c r="O668" i="1"/>
  <c r="O652" i="1"/>
  <c r="O636" i="1"/>
  <c r="O620" i="1"/>
  <c r="O604" i="1"/>
  <c r="O588" i="1"/>
  <c r="O572" i="1"/>
  <c r="O556" i="1"/>
  <c r="O540" i="1"/>
  <c r="O524" i="1"/>
  <c r="O508" i="1"/>
  <c r="O486" i="1"/>
  <c r="O438" i="1"/>
  <c r="O374" i="1"/>
  <c r="O310" i="1"/>
  <c r="O246" i="1"/>
  <c r="O92" i="1"/>
  <c r="O489" i="1"/>
  <c r="O473" i="1"/>
  <c r="O457" i="1"/>
  <c r="O441" i="1"/>
  <c r="O425" i="1"/>
  <c r="O409" i="1"/>
  <c r="O393" i="1"/>
  <c r="O377" i="1"/>
  <c r="O361" i="1"/>
  <c r="O345" i="1"/>
  <c r="O329" i="1"/>
  <c r="O313" i="1"/>
  <c r="O297" i="1"/>
  <c r="O281" i="1"/>
  <c r="O265" i="1"/>
  <c r="O249" i="1"/>
  <c r="O233" i="1"/>
  <c r="O209" i="1"/>
  <c r="O168" i="1"/>
  <c r="O104" i="1"/>
  <c r="O40" i="1"/>
  <c r="O492" i="1"/>
  <c r="O476" i="1"/>
  <c r="O460" i="1"/>
  <c r="O444" i="1"/>
  <c r="O428" i="1"/>
  <c r="O412" i="1"/>
  <c r="O396" i="1"/>
  <c r="O380" i="1"/>
  <c r="O364" i="1"/>
  <c r="O348" i="1"/>
  <c r="O332" i="1"/>
  <c r="O316" i="1"/>
  <c r="O300" i="1"/>
  <c r="O284" i="1"/>
  <c r="O268" i="1"/>
  <c r="O252" i="1"/>
  <c r="O236" i="1"/>
  <c r="O216" i="1"/>
  <c r="O180" i="1"/>
  <c r="O116" i="1"/>
  <c r="O52" i="1"/>
  <c r="O463" i="1"/>
  <c r="O447" i="1"/>
  <c r="O431" i="1"/>
  <c r="O415" i="1"/>
  <c r="O399" i="1"/>
  <c r="O383" i="1"/>
  <c r="O367" i="1"/>
  <c r="O351" i="1"/>
  <c r="O335" i="1"/>
  <c r="O319" i="1"/>
  <c r="O303" i="1"/>
  <c r="O287" i="1"/>
  <c r="O271" i="1"/>
  <c r="O255" i="1"/>
  <c r="O239" i="1"/>
  <c r="O221" i="1"/>
  <c r="O189" i="1"/>
  <c r="O128" i="1"/>
  <c r="O64" i="1"/>
  <c r="O223" i="1"/>
  <c r="O207" i="1"/>
  <c r="O191" i="1"/>
  <c r="O175" i="1"/>
  <c r="O159" i="1"/>
  <c r="O143" i="1"/>
  <c r="O127" i="1"/>
  <c r="O111" i="1"/>
  <c r="O95" i="1"/>
  <c r="O79" i="1"/>
  <c r="O63" i="1"/>
  <c r="O47" i="1"/>
  <c r="O31" i="1"/>
  <c r="O15" i="1"/>
  <c r="O218" i="1"/>
  <c r="O202" i="1"/>
  <c r="O186" i="1"/>
  <c r="O170" i="1"/>
  <c r="O154" i="1"/>
  <c r="O138" i="1"/>
  <c r="O122" i="1"/>
  <c r="O106" i="1"/>
  <c r="O90" i="1"/>
  <c r="O74" i="1"/>
  <c r="O58" i="1"/>
  <c r="O42" i="1"/>
  <c r="O26" i="1"/>
  <c r="O10" i="1"/>
  <c r="O173" i="1"/>
  <c r="O157" i="1"/>
  <c r="O141" i="1"/>
  <c r="O125" i="1"/>
  <c r="O109" i="1"/>
  <c r="O93" i="1"/>
  <c r="O77" i="1"/>
  <c r="O61" i="1"/>
  <c r="O45" i="1"/>
  <c r="O29" i="1"/>
  <c r="O13" i="1"/>
  <c r="O959" i="1"/>
  <c r="O847" i="1"/>
  <c r="O939" i="1"/>
  <c r="O683" i="1"/>
  <c r="O799" i="1"/>
  <c r="O911" i="1"/>
  <c r="O783" i="1"/>
  <c r="O655" i="1"/>
  <c r="O971" i="1"/>
  <c r="O907" i="1"/>
  <c r="O843" i="1"/>
  <c r="O779" i="1"/>
  <c r="O715" i="1"/>
  <c r="O651" i="1"/>
  <c r="O991" i="1"/>
  <c r="O863" i="1"/>
  <c r="O719" i="1"/>
  <c r="O999" i="1"/>
  <c r="O935" i="1"/>
  <c r="O871" i="1"/>
  <c r="O807" i="1"/>
  <c r="O743" i="1"/>
  <c r="O679" i="1"/>
  <c r="O615" i="1"/>
  <c r="O979" i="1"/>
  <c r="O915" i="1"/>
  <c r="O851" i="1"/>
  <c r="O787" i="1"/>
  <c r="O723" i="1"/>
  <c r="O659" i="1"/>
  <c r="O595" i="1"/>
  <c r="O559" i="1"/>
  <c r="O511" i="1"/>
  <c r="O402" i="1"/>
  <c r="O258" i="1"/>
  <c r="O1002" i="1"/>
  <c r="O986" i="1"/>
  <c r="O970" i="1"/>
  <c r="O954" i="1"/>
  <c r="O938" i="1"/>
  <c r="O922" i="1"/>
  <c r="O906" i="1"/>
  <c r="O890" i="1"/>
  <c r="O874" i="1"/>
  <c r="O858" i="1"/>
  <c r="O842" i="1"/>
  <c r="O826" i="1"/>
  <c r="O810" i="1"/>
  <c r="O794" i="1"/>
  <c r="O778" i="1"/>
  <c r="O762" i="1"/>
  <c r="O746" i="1"/>
  <c r="O730" i="1"/>
  <c r="O714" i="1"/>
  <c r="O698" i="1"/>
  <c r="O682" i="1"/>
  <c r="O666" i="1"/>
  <c r="O650" i="1"/>
  <c r="O634" i="1"/>
  <c r="O618" i="1"/>
  <c r="O602" i="1"/>
  <c r="O586" i="1"/>
  <c r="O570" i="1"/>
  <c r="O554" i="1"/>
  <c r="O538" i="1"/>
  <c r="O522" i="1"/>
  <c r="O506" i="1"/>
  <c r="O482" i="1"/>
  <c r="O430" i="1"/>
  <c r="O366" i="1"/>
  <c r="O302" i="1"/>
  <c r="O238" i="1"/>
  <c r="O60" i="1"/>
  <c r="O547" i="1"/>
  <c r="O503" i="1"/>
  <c r="O386" i="1"/>
  <c r="O242" i="1"/>
  <c r="O1001" i="1"/>
  <c r="O985" i="1"/>
  <c r="O969" i="1"/>
  <c r="O953" i="1"/>
  <c r="O937" i="1"/>
  <c r="O921" i="1"/>
  <c r="O905" i="1"/>
  <c r="O889" i="1"/>
  <c r="O873" i="1"/>
  <c r="O857" i="1"/>
  <c r="O841" i="1"/>
  <c r="O825" i="1"/>
  <c r="O809" i="1"/>
  <c r="O793" i="1"/>
  <c r="O777" i="1"/>
  <c r="O761" i="1"/>
  <c r="O745" i="1"/>
  <c r="O729" i="1"/>
  <c r="O713" i="1"/>
  <c r="O697" i="1"/>
  <c r="O681" i="1"/>
  <c r="O665" i="1"/>
  <c r="O649" i="1"/>
  <c r="O633" i="1"/>
  <c r="O617" i="1"/>
  <c r="O601" i="1"/>
  <c r="O585" i="1"/>
  <c r="O569" i="1"/>
  <c r="O553" i="1"/>
  <c r="O537" i="1"/>
  <c r="O521" i="1"/>
  <c r="O505" i="1"/>
  <c r="O479" i="1"/>
  <c r="O426" i="1"/>
  <c r="O362" i="1"/>
  <c r="O298" i="1"/>
  <c r="O234" i="1"/>
  <c r="O44" i="1"/>
  <c r="O543" i="1"/>
  <c r="O483" i="1"/>
  <c r="O1000" i="1"/>
  <c r="O984" i="1"/>
  <c r="O968" i="1"/>
  <c r="O952" i="1"/>
  <c r="O936" i="1"/>
  <c r="O920" i="1"/>
  <c r="O904" i="1"/>
  <c r="O888" i="1"/>
  <c r="O872" i="1"/>
  <c r="O856" i="1"/>
  <c r="O840" i="1"/>
  <c r="O824" i="1"/>
  <c r="O808" i="1"/>
  <c r="O792" i="1"/>
  <c r="O776" i="1"/>
  <c r="O760" i="1"/>
  <c r="O744" i="1"/>
  <c r="O728" i="1"/>
  <c r="O712" i="1"/>
  <c r="O696" i="1"/>
  <c r="O680" i="1"/>
  <c r="O664" i="1"/>
  <c r="O648" i="1"/>
  <c r="O632" i="1"/>
  <c r="O616" i="1"/>
  <c r="O600" i="1"/>
  <c r="O584" i="1"/>
  <c r="O568" i="1"/>
  <c r="O552" i="1"/>
  <c r="O536" i="1"/>
  <c r="O520" i="1"/>
  <c r="O504" i="1"/>
  <c r="O478" i="1"/>
  <c r="O422" i="1"/>
  <c r="O358" i="1"/>
  <c r="O294" i="1"/>
  <c r="O230" i="1"/>
  <c r="O28" i="1"/>
  <c r="O485" i="1"/>
  <c r="O469" i="1"/>
  <c r="O453" i="1"/>
  <c r="O437" i="1"/>
  <c r="O421" i="1"/>
  <c r="O405" i="1"/>
  <c r="O389" i="1"/>
  <c r="O373" i="1"/>
  <c r="O357" i="1"/>
  <c r="O341" i="1"/>
  <c r="O325" i="1"/>
  <c r="O309" i="1"/>
  <c r="O293" i="1"/>
  <c r="O277" i="1"/>
  <c r="O261" i="1"/>
  <c r="O245" i="1"/>
  <c r="O229" i="1"/>
  <c r="O201" i="1"/>
  <c r="O152" i="1"/>
  <c r="O88" i="1"/>
  <c r="O24" i="1"/>
  <c r="O488" i="1"/>
  <c r="O472" i="1"/>
  <c r="O456" i="1"/>
  <c r="O440" i="1"/>
  <c r="O424" i="1"/>
  <c r="O408" i="1"/>
  <c r="O392" i="1"/>
  <c r="O376" i="1"/>
  <c r="O360" i="1"/>
  <c r="O344" i="1"/>
  <c r="O328" i="1"/>
  <c r="O312" i="1"/>
  <c r="O296" i="1"/>
  <c r="O280" i="1"/>
  <c r="O264" i="1"/>
  <c r="O248" i="1"/>
  <c r="O232" i="1"/>
  <c r="O208" i="1"/>
  <c r="O164" i="1"/>
  <c r="O100" i="1"/>
  <c r="O36" i="1"/>
  <c r="O459" i="1"/>
  <c r="O443" i="1"/>
  <c r="O427" i="1"/>
  <c r="O411" i="1"/>
  <c r="O395" i="1"/>
  <c r="O379" i="1"/>
  <c r="O363" i="1"/>
  <c r="O347" i="1"/>
  <c r="O331" i="1"/>
  <c r="O315" i="1"/>
  <c r="O299" i="1"/>
  <c r="O283" i="1"/>
  <c r="O267" i="1"/>
  <c r="O251" i="1"/>
  <c r="O235" i="1"/>
  <c r="O213" i="1"/>
  <c r="O176" i="1"/>
  <c r="O112" i="1"/>
  <c r="O48" i="1"/>
  <c r="O219" i="1"/>
  <c r="O203" i="1"/>
  <c r="O187" i="1"/>
  <c r="O171" i="1"/>
  <c r="O155" i="1"/>
  <c r="O139" i="1"/>
  <c r="O123" i="1"/>
  <c r="O107" i="1"/>
  <c r="O91" i="1"/>
  <c r="O75" i="1"/>
  <c r="O59" i="1"/>
  <c r="O43" i="1"/>
  <c r="O27" i="1"/>
  <c r="O11" i="1"/>
  <c r="O214" i="1"/>
  <c r="O198" i="1"/>
  <c r="O182" i="1"/>
  <c r="O166" i="1"/>
  <c r="O150" i="1"/>
  <c r="O134" i="1"/>
  <c r="O118" i="1"/>
  <c r="O102" i="1"/>
  <c r="O86" i="1"/>
  <c r="O70" i="1"/>
  <c r="O54" i="1"/>
  <c r="O38" i="1"/>
  <c r="O22" i="1"/>
  <c r="O185" i="1"/>
  <c r="O169" i="1"/>
  <c r="O153" i="1"/>
  <c r="O137" i="1"/>
  <c r="O121" i="1"/>
  <c r="O105" i="1"/>
  <c r="O89" i="1"/>
  <c r="O73" i="1"/>
  <c r="O57" i="1"/>
  <c r="O41" i="1"/>
  <c r="O25" i="1"/>
  <c r="O9" i="1"/>
  <c r="N4" i="1"/>
  <c r="G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C3" authorId="0" shapeId="0" xr:uid="{6B221A38-C7AA-4E4A-A0ED-401191D1AF68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enter khewat area manually before taqseem.</t>
        </r>
      </text>
    </comment>
    <comment ref="G4" authorId="0" shapeId="0" xr:uid="{A0F328CB-3003-473C-BF05-20AF2146050C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This Must Remain "0" otherwise khewat is not Ok.</t>
        </r>
      </text>
    </comment>
    <comment ref="H4" authorId="0" shapeId="0" xr:uid="{CE8D1CBE-DE7B-4D60-9AAB-9502E6B3D411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Feet Here to Convert</t>
        </r>
      </text>
    </comment>
    <comment ref="L4" authorId="0" shapeId="0" xr:uid="{08F38724-BA68-4B8A-BEF1-DBAA09A41C43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Kanal Marla Feet here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<sst xmlns="http://schemas.openxmlformats.org/spreadsheetml/2006/main" count="50" uniqueCount="48">
  <si>
    <t>Kharsa NO</t>
  </si>
  <si>
    <t>Khasra Area</t>
  </si>
  <si>
    <t>Total Khasra</t>
  </si>
  <si>
    <t>2-1-0</t>
  </si>
  <si>
    <t>2-2-0</t>
  </si>
  <si>
    <t>Area in Feet</t>
  </si>
  <si>
    <t>Khewat Area
in Feet</t>
  </si>
  <si>
    <t xml:space="preserve">Khewat
Area </t>
  </si>
  <si>
    <t>Khewat No</t>
  </si>
  <si>
    <t>Owner
Tab</t>
  </si>
  <si>
    <t>Owner's
Name</t>
  </si>
  <si>
    <t>Area in
Feet</t>
  </si>
  <si>
    <t>Sardar Kamal</t>
  </si>
  <si>
    <t>Navid Khan</t>
  </si>
  <si>
    <t>Shair Khan</t>
  </si>
  <si>
    <t>Jamil Khan</t>
  </si>
  <si>
    <t>Noor Zaman</t>
  </si>
  <si>
    <t>Jawad Ahmad</t>
  </si>
  <si>
    <t>Edition</t>
  </si>
  <si>
    <t>Current</t>
  </si>
  <si>
    <t>Owner's
Area In Feet</t>
  </si>
  <si>
    <t>Owner's Area in K,M,F</t>
  </si>
  <si>
    <t>Difference in Owner's &amp; Khewat Area</t>
  </si>
  <si>
    <t>Area befor Taqseem</t>
  </si>
  <si>
    <t>Diff
After Taqseem</t>
  </si>
  <si>
    <t>Diff %
After Taqseem</t>
  </si>
  <si>
    <t>Owner's
Ship Type</t>
  </si>
  <si>
    <t>After 
Taqseem</t>
  </si>
  <si>
    <t>Feet to Kanal</t>
  </si>
  <si>
    <t>Kanal to Feet</t>
  </si>
  <si>
    <t>1-1-0</t>
  </si>
  <si>
    <t>Person Share Calculator
in terms of Khewat</t>
  </si>
  <si>
    <t>Person Share-1</t>
  </si>
  <si>
    <t>Person Share-2</t>
  </si>
  <si>
    <t>Mouaza</t>
  </si>
  <si>
    <t>Date</t>
  </si>
  <si>
    <t>Code
12345</t>
  </si>
  <si>
    <t>Mouza</t>
  </si>
  <si>
    <t>Khewat</t>
  </si>
  <si>
    <t>Sr.</t>
  </si>
  <si>
    <t>Khewat
Area</t>
  </si>
  <si>
    <t>Name of  Owner's</t>
  </si>
  <si>
    <t>Type</t>
  </si>
  <si>
    <t>In-Feet</t>
  </si>
  <si>
    <t>K</t>
  </si>
  <si>
    <t>M</t>
  </si>
  <si>
    <t>F</t>
  </si>
  <si>
    <t>Kisran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</si>
</sst>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Jameel Noori Nastaleeq"/>
      <family val="2"/>
    </font>
    <font>
      <sz val="12"/>
      <color theme="1"/>
      <name val="Jameel Noori Nastaleeq"/>
      <family val="2"/>
    </font>
    <font>
      <sz val="12"/>
      <color rgb="FFFF0000"/>
      <name val="Jameel Noori Nastaleeq"/>
      <family val="2"/>
    </font>
    <font>
      <b/>
      <sz val="12"/>
      <color theme="1"/>
      <name val="Jameel Noori Nastaleeq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u/>
      <sz val="12"/>
      <color rgb="FFFFC000"/>
      <name val="Jameel Noori Nastaleeq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gradientFill type="path">
        <stop position="0">
          <color theme="0"/>
        </stop>
        <stop position="1">
          <color theme="0" tint="-0.49803155613879818"/>
        </stop>
      </gradientFill>
    </fill>
    <fill>
      <gradientFill degree="90">
        <stop position="0">
          <color theme="0"/>
        </stop>
        <stop position="1">
          <color theme="0" tint="-0.49803155613879818"/>
        </stop>
      </gradientFill>
    </fill>
    <fill>
      <gradientFill degree="90"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theme="1" tint="5.0965910824915313E-2"/>
        </stop>
      </gradientFill>
    </fill>
    <fill>
      <gradientFill degree="90">
        <stop position="0">
          <color theme="0"/>
        </stop>
        <stop position="1">
          <color theme="1" tint="0.1490218817712943"/>
        </stop>
      </gradientFill>
    </fill>
    <fill>
      <gradientFill>
        <stop position="0">
          <color theme="0"/>
        </stop>
        <stop position="1">
          <color theme="0" tint="-0.34900967436750391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Continuous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3" fillId="3" borderId="0" xfId="0" applyNumberFormat="1" applyFont="1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/>
    </xf>
    <xf numFmtId="0" fontId="3" fillId="4" borderId="0" xfId="0" applyNumberFormat="1" applyFont="1" applyFill="1" applyAlignment="1">
      <alignment horizontal="centerContinuous" vertical="center"/>
    </xf>
    <xf numFmtId="0" fontId="3" fillId="4" borderId="0" xfId="0" applyNumberFormat="1" applyFont="1" applyFill="1" applyAlignment="1">
      <alignment horizontal="centerContinuous" vertical="center" wrapText="1"/>
    </xf>
    <xf numFmtId="0" fontId="0" fillId="5" borderId="0" xfId="1" applyNumberFormat="1" applyFont="1" applyFill="1" applyAlignment="1">
      <alignment horizontal="center" vertical="center" wrapText="1"/>
    </xf>
    <xf numFmtId="0" fontId="0" fillId="5" borderId="0" xfId="1" applyNumberFormat="1" applyFont="1" applyFill="1" applyAlignment="1">
      <alignment horizontal="centerContinuous" vertical="center" wrapText="1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6" borderId="0" xfId="0" applyFill="1" applyAlignment="1">
      <alignment horizontal="center"/>
    </xf>
    <xf numFmtId="0" fontId="0" fillId="6" borderId="0" xfId="1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/>
    <xf numFmtId="49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4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14" fontId="0" fillId="0" borderId="0" xfId="0" applyNumberFormat="1" applyAlignment="1">
      <alignment horizontal="center"/>
    </xf>
    <xf numFmtId="49" fontId="6" fillId="8" borderId="0" xfId="0" applyNumberFormat="1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mir%20hussain\AppData\Roaming\Microsoft\AddIns\K-M-FtoFeet.xlam" TargetMode="External"/><Relationship Id="rId1" Type="http://schemas.openxmlformats.org/officeDocument/2006/relationships/externalLinkPath" Target="/Users/aamir%20hussain/AppData/Roaming/Microsoft/AddIns/K-M-FtoFee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culateHyphenString"/>
      <definedName name="ConvertFee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B7BD-AA17-4223-8BA7-91F05E459322}">
  <dimension ref="A1:Q1005"/>
  <sheetViews>
    <sheetView topLeftCell="B3" workbookViewId="0">
      <selection activeCell="D8" sqref="D8"/>
    </sheetView>
  </sheetViews>
  <sheetFormatPr defaultRowHeight="24" x14ac:dyDescent="0.6"/>
  <cols>
    <col min="1" max="1" width="0" hidden="1" customWidth="1"/>
    <col min="2" max="2" width="11.7109375" style="8" bestFit="1" customWidth="1"/>
    <col min="3" max="3" width="10.5703125" style="8" bestFit="1" customWidth="1"/>
    <col min="4" max="4" width="11.7109375" style="2" customWidth="1"/>
    <col min="5" max="6" width="11.7109375" customWidth="1"/>
    <col min="7" max="7" width="10" bestFit="1" customWidth="1"/>
    <col min="9" max="9" width="30.7109375" style="19" customWidth="1"/>
    <col min="10" max="10" width="11.5703125" customWidth="1"/>
    <col min="11" max="12" width="9.140625" style="1"/>
  </cols>
  <sheetData>
    <row r="1" spans="1:17" ht="48" x14ac:dyDescent="0.6">
      <c r="A1" s="34">
        <v>1</v>
      </c>
      <c r="B1" s="29" t="s">
        <v>34</v>
      </c>
      <c r="C1" s="27" t="s">
        <v>47</v>
      </c>
      <c r="D1" s="7"/>
      <c r="E1" s="28"/>
      <c r="F1" s="29" t="s">
        <v>35</v>
      </c>
      <c r="G1" s="32">
        <f ca="1">TODAY()</f>
        <v>45679</v>
      </c>
      <c r="H1" s="33" t="s">
        <v>36</v>
      </c>
      <c r="I1" s="29" t="s">
        <v>32</v>
      </c>
      <c r="J1" s="2">
        <v>1</v>
      </c>
      <c r="K1" s="2">
        <v>9</v>
      </c>
      <c r="L1" s="2">
        <v>1360</v>
      </c>
      <c r="M1" s="2">
        <f>(J1*L1)/K1</f>
        <v>151.11111111111111</v>
      </c>
      <c r="N1" s="29"/>
      <c r="O1" s="29"/>
      <c r="P1" s="29"/>
      <c r="Q1" s="29"/>
    </row>
    <row r="2" spans="1:17" x14ac:dyDescent="0.6">
      <c r="A2" s="35">
        <v>2</v>
      </c>
      <c r="B2" s="29"/>
      <c r="C2" s="29"/>
      <c r="D2" s="30"/>
      <c r="E2" s="31"/>
      <c r="F2" s="31"/>
      <c r="G2" s="31"/>
      <c r="H2" s="31"/>
      <c r="I2" s="29" t="s">
        <v>33</v>
      </c>
      <c r="J2" s="2">
        <v>1</v>
      </c>
      <c r="K2" s="2">
        <v>2</v>
      </c>
      <c r="L2" s="2">
        <v>1360</v>
      </c>
      <c r="M2" s="2">
        <f>(J2*L2)/K2</f>
        <v>680</v>
      </c>
      <c r="N2" s="29"/>
      <c r="O2" s="29"/>
      <c r="P2" s="29"/>
      <c r="Q2" s="29"/>
    </row>
    <row r="3" spans="1:17" s="12" customFormat="1" ht="72" x14ac:dyDescent="0.6">
      <c r="A3" s="34">
        <v>3</v>
      </c>
      <c r="B3" s="16" t="s">
        <v>23</v>
      </c>
      <c r="C3" s="11">
        <v>28288</v>
      </c>
      <c r="D3" s="16" t="s">
        <v>24</v>
      </c>
      <c r="E3" s="17">
        <f>C3-C6</f>
        <v>0</v>
      </c>
      <c r="F3" s="16" t="s">
        <v>25</v>
      </c>
      <c r="G3" s="17">
        <f>(E3*100)/C3</f>
        <v>0</v>
      </c>
      <c r="H3" s="16" t="s">
        <v>28</v>
      </c>
      <c r="I3" s="16"/>
      <c r="J3" s="16"/>
      <c r="K3" s="16"/>
      <c r="L3" s="16" t="s">
        <v>29</v>
      </c>
      <c r="M3" s="16"/>
      <c r="N3" s="16" t="s">
        <v>20</v>
      </c>
      <c r="O3" s="16" t="s">
        <v>31</v>
      </c>
      <c r="P3" s="16"/>
      <c r="Q3" s="16"/>
    </row>
    <row r="4" spans="1:17" s="2" customFormat="1" ht="48" x14ac:dyDescent="0.6">
      <c r="A4" s="35">
        <v>4</v>
      </c>
      <c r="B4" s="16" t="s">
        <v>8</v>
      </c>
      <c r="C4" s="17">
        <v>2</v>
      </c>
      <c r="D4" s="16" t="s">
        <v>22</v>
      </c>
      <c r="E4" s="16"/>
      <c r="F4" s="16"/>
      <c r="G4" s="17">
        <f>C6-N4</f>
        <v>0</v>
      </c>
      <c r="H4" s="2">
        <v>2720</v>
      </c>
      <c r="I4" s="17" cm="1">
        <f t="array" ref="I4:K4">[1]!ConvertFeet(H4)</f>
        <v>0</v>
      </c>
      <c r="J4" s="17">
        <v>10</v>
      </c>
      <c r="K4" s="17">
        <v>0</v>
      </c>
      <c r="L4" s="8" t="s">
        <v>30</v>
      </c>
      <c r="M4" s="17" cm="1">
        <f t="array" ref="M4">[1]!CalculateHyphenString(L4)</f>
        <v>5712</v>
      </c>
      <c r="N4" s="17">
        <f>SUM(N6:N1004)</f>
        <v>28288</v>
      </c>
      <c r="O4" s="2">
        <v>1</v>
      </c>
      <c r="P4" s="2">
        <v>9</v>
      </c>
      <c r="Q4" s="17">
        <f>(O4*C3)/P4</f>
        <v>3143.1111111111113</v>
      </c>
    </row>
    <row r="5" spans="1:17" s="2" customFormat="1" ht="72" x14ac:dyDescent="0.6">
      <c r="A5" s="34">
        <v>5</v>
      </c>
      <c r="B5" s="16" t="s">
        <v>2</v>
      </c>
      <c r="C5" s="16" t="s">
        <v>6</v>
      </c>
      <c r="D5" s="15" t="s">
        <v>7</v>
      </c>
      <c r="E5" s="15"/>
      <c r="F5" s="16"/>
      <c r="G5" s="24"/>
      <c r="H5" s="16" t="s">
        <v>9</v>
      </c>
      <c r="I5" s="16" t="s">
        <v>10</v>
      </c>
      <c r="J5" s="16" t="s">
        <v>26</v>
      </c>
      <c r="K5" s="16" t="s">
        <v>11</v>
      </c>
      <c r="L5" s="17" t="s">
        <v>27</v>
      </c>
      <c r="M5" s="17" t="s">
        <v>18</v>
      </c>
      <c r="N5" s="17" t="s">
        <v>19</v>
      </c>
      <c r="O5" s="18" t="s">
        <v>21</v>
      </c>
      <c r="P5" s="18"/>
      <c r="Q5" s="18"/>
    </row>
    <row r="6" spans="1:17" s="1" customFormat="1" x14ac:dyDescent="0.6">
      <c r="A6" s="35">
        <v>6</v>
      </c>
      <c r="B6" s="17">
        <f>COUNT(B8:B1048576)</f>
        <v>3</v>
      </c>
      <c r="C6" s="17">
        <f>SUM(D8:D1004)</f>
        <v>28288</v>
      </c>
      <c r="D6" s="17" cm="1">
        <f t="array" ref="D6:F6">[1]!ConvertFeet(C6)</f>
        <v>5</v>
      </c>
      <c r="E6" s="17">
        <v>4</v>
      </c>
      <c r="F6" s="17">
        <v>0</v>
      </c>
      <c r="G6" s="25"/>
      <c r="H6" s="2">
        <v>1</v>
      </c>
      <c r="I6" s="19" t="s">
        <v>12</v>
      </c>
      <c r="K6" s="1">
        <v>3367.6190476190477</v>
      </c>
      <c r="L6" s="21">
        <f>(K6*$G$3)/100</f>
        <v>0</v>
      </c>
      <c r="N6" s="21">
        <f>K6-(L6+M6)</f>
        <v>3367.6190476190477</v>
      </c>
      <c r="O6" s="2" cm="1">
        <f t="array" ref="O6:Q6">[1]!ConvertFeet(N6)</f>
        <v>0</v>
      </c>
      <c r="P6" s="2">
        <v>12</v>
      </c>
      <c r="Q6" s="2">
        <v>104</v>
      </c>
    </row>
    <row r="7" spans="1:17" ht="48" x14ac:dyDescent="0.6">
      <c r="A7" s="34">
        <v>7</v>
      </c>
      <c r="B7" s="13" t="s">
        <v>0</v>
      </c>
      <c r="C7" s="13" t="s">
        <v>1</v>
      </c>
      <c r="D7" s="22" t="s">
        <v>5</v>
      </c>
      <c r="G7" s="26"/>
      <c r="H7" s="2">
        <v>2</v>
      </c>
      <c r="I7" s="19" t="s">
        <v>13</v>
      </c>
      <c r="K7" s="1">
        <v>1683.8095238095239</v>
      </c>
      <c r="L7" s="21">
        <f t="shared" ref="L7:L70" si="0">(K7*$G$3)/100</f>
        <v>0</v>
      </c>
      <c r="N7" s="21">
        <f t="shared" ref="N7:N70" si="1">K7-(L7+M7)</f>
        <v>1683.8095238095239</v>
      </c>
      <c r="O7" s="2" cm="1">
        <f t="array" ref="O7:Q7">[1]!ConvertFeet(N7)</f>
        <v>0</v>
      </c>
      <c r="P7" s="2">
        <v>6</v>
      </c>
      <c r="Q7" s="2">
        <v>52</v>
      </c>
    </row>
    <row r="8" spans="1:17" x14ac:dyDescent="0.6">
      <c r="A8" s="35">
        <v>8</v>
      </c>
      <c r="B8" s="8">
        <v>1234</v>
      </c>
      <c r="C8" s="8" t="s">
        <v>3</v>
      </c>
      <c r="D8" s="22" cm="1">
        <f t="array" ref="D8">IFERROR([1]!CalculateHyphenString(C8),"")</f>
        <v>11152</v>
      </c>
      <c r="G8" s="26"/>
      <c r="H8" s="2">
        <v>3</v>
      </c>
      <c r="I8" s="19" t="s">
        <v>14</v>
      </c>
      <c r="K8" s="1">
        <v>6735.2380952380954</v>
      </c>
      <c r="L8" s="21">
        <f t="shared" si="0"/>
        <v>0</v>
      </c>
      <c r="N8" s="21">
        <f t="shared" si="1"/>
        <v>6735.2380952380954</v>
      </c>
      <c r="O8" s="2" cm="1">
        <f t="array" ref="O8:Q8">[1]!ConvertFeet(N8)</f>
        <v>1</v>
      </c>
      <c r="P8" s="2">
        <v>4</v>
      </c>
      <c r="Q8" s="2">
        <v>207</v>
      </c>
    </row>
    <row r="9" spans="1:17" x14ac:dyDescent="0.6">
      <c r="A9" s="34">
        <v>9</v>
      </c>
      <c r="B9" s="8">
        <v>1235</v>
      </c>
      <c r="C9" s="8" t="s">
        <v>4</v>
      </c>
      <c r="D9" s="22" cm="1">
        <f t="array" ref="D9">IFERROR([1]!CalculateHyphenString(C9),"")</f>
        <v>11424</v>
      </c>
      <c r="G9" s="26"/>
      <c r="H9" s="2">
        <v>4</v>
      </c>
      <c r="I9" s="19" t="s">
        <v>15</v>
      </c>
      <c r="K9" s="1">
        <v>1683.8095238095239</v>
      </c>
      <c r="L9" s="21">
        <f t="shared" si="0"/>
        <v>0</v>
      </c>
      <c r="N9" s="21">
        <f t="shared" si="1"/>
        <v>1683.8095238095239</v>
      </c>
      <c r="O9" s="2" cm="1">
        <f t="array" ref="O9:Q9">[1]!ConvertFeet(N9)</f>
        <v>0</v>
      </c>
      <c r="P9" s="2">
        <v>6</v>
      </c>
      <c r="Q9" s="2">
        <v>52</v>
      </c>
    </row>
    <row r="10" spans="1:17" x14ac:dyDescent="0.6">
      <c r="A10" s="35">
        <v>10</v>
      </c>
      <c r="B10" s="8">
        <v>1260</v>
      </c>
      <c r="C10" s="8" t="s">
        <v>30</v>
      </c>
      <c r="D10" s="23" cm="1">
        <f t="array" ref="D10">IFERROR([1]!CalculateHyphenString(C10),"")</f>
        <v>5712</v>
      </c>
      <c r="G10" s="26"/>
      <c r="H10" s="2">
        <v>5</v>
      </c>
      <c r="I10" s="19" t="s">
        <v>16</v>
      </c>
      <c r="K10" s="1">
        <v>673.52380952380952</v>
      </c>
      <c r="L10" s="21">
        <f t="shared" si="0"/>
        <v>0</v>
      </c>
      <c r="N10" s="21">
        <f t="shared" si="1"/>
        <v>673.52380952380952</v>
      </c>
      <c r="O10" s="2" cm="1">
        <f t="array" ref="O10:Q10">[1]!ConvertFeet(N10)</f>
        <v>0</v>
      </c>
      <c r="P10" s="2">
        <v>2</v>
      </c>
      <c r="Q10" s="2">
        <v>130</v>
      </c>
    </row>
    <row r="11" spans="1:17" x14ac:dyDescent="0.6">
      <c r="A11" s="34">
        <v>11</v>
      </c>
      <c r="D11" s="23" t="str" cm="1">
        <f t="array" ref="D11">IFERROR([1]!CalculateHyphenString(C11),"")</f>
        <v/>
      </c>
      <c r="G11" s="26"/>
      <c r="H11" s="2">
        <v>6</v>
      </c>
      <c r="I11" s="19" t="s">
        <v>17</v>
      </c>
      <c r="K11" s="1">
        <v>14144</v>
      </c>
      <c r="L11" s="21">
        <f t="shared" si="0"/>
        <v>0</v>
      </c>
      <c r="N11" s="21">
        <f t="shared" si="1"/>
        <v>14144</v>
      </c>
      <c r="O11" s="2" cm="1">
        <f t="array" ref="O11:Q11">[1]!ConvertFeet(N11)</f>
        <v>2</v>
      </c>
      <c r="P11" s="2">
        <v>12</v>
      </c>
      <c r="Q11" s="2">
        <v>0</v>
      </c>
    </row>
    <row r="12" spans="1:17" x14ac:dyDescent="0.6">
      <c r="A12" s="35">
        <v>12</v>
      </c>
      <c r="D12" s="23" t="str" cm="1">
        <f t="array" ref="D12">IFERROR([1]!CalculateHyphenString(C12),"")</f>
        <v/>
      </c>
      <c r="G12" s="26"/>
      <c r="H12" s="2"/>
      <c r="L12" s="21">
        <f t="shared" si="0"/>
        <v>0</v>
      </c>
      <c r="N12" s="21">
        <f t="shared" si="1"/>
        <v>0</v>
      </c>
      <c r="O12" s="2" cm="1">
        <f t="array" ref="O12:Q12">[1]!ConvertFeet(N12)</f>
        <v>0</v>
      </c>
      <c r="P12" s="2">
        <v>0</v>
      </c>
      <c r="Q12" s="2">
        <v>0</v>
      </c>
    </row>
    <row r="13" spans="1:17" x14ac:dyDescent="0.6">
      <c r="A13" s="34">
        <v>13</v>
      </c>
      <c r="D13" s="23" t="str" cm="1">
        <f t="array" ref="D13">IFERROR([1]!CalculateHyphenString(C13),"")</f>
        <v/>
      </c>
      <c r="G13" s="26"/>
      <c r="H13" s="2"/>
      <c r="L13" s="21">
        <f t="shared" si="0"/>
        <v>0</v>
      </c>
      <c r="N13" s="21">
        <f t="shared" si="1"/>
        <v>0</v>
      </c>
      <c r="O13" s="2" cm="1">
        <f t="array" ref="O13:Q13">[1]!ConvertFeet(N13)</f>
        <v>0</v>
      </c>
      <c r="P13" s="2">
        <v>0</v>
      </c>
      <c r="Q13" s="2">
        <v>0</v>
      </c>
    </row>
    <row r="14" spans="1:17" x14ac:dyDescent="0.6">
      <c r="A14" s="35">
        <v>14</v>
      </c>
      <c r="D14" s="23" t="str" cm="1">
        <f t="array" ref="D14">IFERROR([1]!CalculateHyphenString(C14),"")</f>
        <v/>
      </c>
      <c r="G14" s="26"/>
      <c r="H14" s="2"/>
      <c r="L14" s="21">
        <f t="shared" si="0"/>
        <v>0</v>
      </c>
      <c r="N14" s="21">
        <f t="shared" si="1"/>
        <v>0</v>
      </c>
      <c r="O14" s="2" cm="1">
        <f t="array" ref="O14:Q14">[1]!ConvertFeet(N14)</f>
        <v>0</v>
      </c>
      <c r="P14" s="2">
        <v>0</v>
      </c>
      <c r="Q14" s="2">
        <v>0</v>
      </c>
    </row>
    <row r="15" spans="1:17" x14ac:dyDescent="0.6">
      <c r="A15" s="34">
        <v>15</v>
      </c>
      <c r="D15" s="23" t="str" cm="1">
        <f t="array" ref="D15">IFERROR([1]!CalculateHyphenString(C15),"")</f>
        <v/>
      </c>
      <c r="G15" s="26"/>
      <c r="H15" s="2"/>
      <c r="L15" s="21">
        <f t="shared" si="0"/>
        <v>0</v>
      </c>
      <c r="N15" s="21">
        <f t="shared" si="1"/>
        <v>0</v>
      </c>
      <c r="O15" s="2" cm="1">
        <f t="array" ref="O15:Q15">[1]!ConvertFeet(N15)</f>
        <v>0</v>
      </c>
      <c r="P15" s="2">
        <v>0</v>
      </c>
      <c r="Q15" s="2">
        <v>0</v>
      </c>
    </row>
    <row r="16" spans="1:17" x14ac:dyDescent="0.6">
      <c r="A16" s="35">
        <v>16</v>
      </c>
      <c r="D16" s="23" t="str" cm="1">
        <f t="array" ref="D16">IFERROR([1]!CalculateHyphenString(C16),"")</f>
        <v/>
      </c>
      <c r="G16" s="26"/>
      <c r="H16" s="2"/>
      <c r="L16" s="21">
        <f t="shared" si="0"/>
        <v>0</v>
      </c>
      <c r="N16" s="21">
        <f t="shared" si="1"/>
        <v>0</v>
      </c>
      <c r="O16" s="2" cm="1">
        <f t="array" ref="O16:Q16">[1]!ConvertFeet(N16)</f>
        <v>0</v>
      </c>
      <c r="P16" s="2">
        <v>0</v>
      </c>
      <c r="Q16" s="2">
        <v>0</v>
      </c>
    </row>
    <row r="17" spans="1:17" x14ac:dyDescent="0.6">
      <c r="A17" s="34">
        <v>17</v>
      </c>
      <c r="D17" s="23" t="str" cm="1">
        <f t="array" ref="D17">IFERROR([1]!CalculateHyphenString(C17),"")</f>
        <v/>
      </c>
      <c r="G17" s="26"/>
      <c r="H17" s="2"/>
      <c r="L17" s="21">
        <f t="shared" si="0"/>
        <v>0</v>
      </c>
      <c r="N17" s="21">
        <f t="shared" si="1"/>
        <v>0</v>
      </c>
      <c r="O17" s="2" cm="1">
        <f t="array" ref="O17:Q17">[1]!ConvertFeet(N17)</f>
        <v>0</v>
      </c>
      <c r="P17" s="2">
        <v>0</v>
      </c>
      <c r="Q17" s="2">
        <v>0</v>
      </c>
    </row>
    <row r="18" spans="1:17" x14ac:dyDescent="0.6">
      <c r="A18" s="35">
        <v>18</v>
      </c>
      <c r="D18" s="23" t="str" cm="1">
        <f t="array" ref="D18">IFERROR([1]!CalculateHyphenString(C18),"")</f>
        <v/>
      </c>
      <c r="G18" s="26"/>
      <c r="H18" s="2"/>
      <c r="L18" s="21">
        <f t="shared" si="0"/>
        <v>0</v>
      </c>
      <c r="N18" s="21">
        <f t="shared" si="1"/>
        <v>0</v>
      </c>
      <c r="O18" s="2" cm="1">
        <f t="array" ref="O18:Q18">[1]!ConvertFeet(N18)</f>
        <v>0</v>
      </c>
      <c r="P18" s="2">
        <v>0</v>
      </c>
      <c r="Q18" s="2">
        <v>0</v>
      </c>
    </row>
    <row r="19" spans="1:17" x14ac:dyDescent="0.6">
      <c r="A19" s="34">
        <v>19</v>
      </c>
      <c r="D19" s="23" t="str" cm="1">
        <f t="array" ref="D19">IFERROR([1]!CalculateHyphenString(C19),"")</f>
        <v/>
      </c>
      <c r="G19" s="26"/>
      <c r="H19" s="2"/>
      <c r="L19" s="21">
        <f t="shared" si="0"/>
        <v>0</v>
      </c>
      <c r="N19" s="21">
        <f t="shared" si="1"/>
        <v>0</v>
      </c>
      <c r="O19" s="2" cm="1">
        <f t="array" ref="O19:Q19">[1]!ConvertFeet(N19)</f>
        <v>0</v>
      </c>
      <c r="P19" s="2">
        <v>0</v>
      </c>
      <c r="Q19" s="2">
        <v>0</v>
      </c>
    </row>
    <row r="20" spans="1:17" x14ac:dyDescent="0.6">
      <c r="A20" s="35">
        <v>20</v>
      </c>
      <c r="D20" s="23" t="str" cm="1">
        <f t="array" ref="D20">IFERROR([1]!CalculateHyphenString(C20),"")</f>
        <v/>
      </c>
      <c r="G20" s="26"/>
      <c r="H20" s="2"/>
      <c r="L20" s="21">
        <f t="shared" si="0"/>
        <v>0</v>
      </c>
      <c r="N20" s="21">
        <f t="shared" si="1"/>
        <v>0</v>
      </c>
      <c r="O20" s="2" cm="1">
        <f t="array" ref="O20:Q20">[1]!ConvertFeet(N20)</f>
        <v>0</v>
      </c>
      <c r="P20" s="2">
        <v>0</v>
      </c>
      <c r="Q20" s="2">
        <v>0</v>
      </c>
    </row>
    <row r="21" spans="1:17" x14ac:dyDescent="0.6">
      <c r="A21" s="34">
        <v>21</v>
      </c>
      <c r="D21" s="23" t="str" cm="1">
        <f t="array" ref="D21">IFERROR([1]!CalculateHyphenString(C21),"")</f>
        <v/>
      </c>
      <c r="G21" s="26"/>
      <c r="H21" s="2"/>
      <c r="L21" s="21">
        <f t="shared" si="0"/>
        <v>0</v>
      </c>
      <c r="N21" s="21">
        <f t="shared" si="1"/>
        <v>0</v>
      </c>
      <c r="O21" s="2" cm="1">
        <f t="array" ref="O21:Q21">[1]!ConvertFeet(N21)</f>
        <v>0</v>
      </c>
      <c r="P21" s="2">
        <v>0</v>
      </c>
      <c r="Q21" s="2">
        <v>0</v>
      </c>
    </row>
    <row r="22" spans="1:17" x14ac:dyDescent="0.6">
      <c r="A22" s="35">
        <v>22</v>
      </c>
      <c r="D22" s="23" t="str" cm="1">
        <f t="array" ref="D22">IFERROR([1]!CalculateHyphenString(C22),"")</f>
        <v/>
      </c>
      <c r="G22" s="26"/>
      <c r="H22" s="2"/>
      <c r="L22" s="21">
        <f t="shared" si="0"/>
        <v>0</v>
      </c>
      <c r="N22" s="21">
        <f t="shared" si="1"/>
        <v>0</v>
      </c>
      <c r="O22" s="2" cm="1">
        <f t="array" ref="O22:Q22">[1]!ConvertFeet(N22)</f>
        <v>0</v>
      </c>
      <c r="P22" s="2">
        <v>0</v>
      </c>
      <c r="Q22" s="2">
        <v>0</v>
      </c>
    </row>
    <row r="23" spans="1:17" x14ac:dyDescent="0.6">
      <c r="A23" s="34">
        <v>23</v>
      </c>
      <c r="D23" s="23" t="str" cm="1">
        <f t="array" ref="D23">IFERROR([1]!CalculateHyphenString(C23),"")</f>
        <v/>
      </c>
      <c r="G23" s="26"/>
      <c r="H23" s="2"/>
      <c r="L23" s="21">
        <f t="shared" si="0"/>
        <v>0</v>
      </c>
      <c r="N23" s="21">
        <f t="shared" si="1"/>
        <v>0</v>
      </c>
      <c r="O23" s="2" cm="1">
        <f t="array" ref="O23:Q23">[1]!ConvertFeet(N23)</f>
        <v>0</v>
      </c>
      <c r="P23" s="2">
        <v>0</v>
      </c>
      <c r="Q23" s="2">
        <v>0</v>
      </c>
    </row>
    <row r="24" spans="1:17" x14ac:dyDescent="0.6">
      <c r="A24" s="35">
        <v>24</v>
      </c>
      <c r="D24" s="23" t="str" cm="1">
        <f t="array" ref="D24">IFERROR([1]!CalculateHyphenString(C24),"")</f>
        <v/>
      </c>
      <c r="G24" s="26"/>
      <c r="H24" s="2"/>
      <c r="L24" s="21">
        <f t="shared" si="0"/>
        <v>0</v>
      </c>
      <c r="N24" s="21">
        <f t="shared" si="1"/>
        <v>0</v>
      </c>
      <c r="O24" s="2" cm="1">
        <f t="array" ref="O24:Q24">[1]!ConvertFeet(N24)</f>
        <v>0</v>
      </c>
      <c r="P24" s="2">
        <v>0</v>
      </c>
      <c r="Q24" s="2">
        <v>0</v>
      </c>
    </row>
    <row r="25" spans="1:17" x14ac:dyDescent="0.6">
      <c r="A25" s="34">
        <v>25</v>
      </c>
      <c r="D25" s="23" t="str" cm="1">
        <f t="array" ref="D25">IFERROR([1]!CalculateHyphenString(C25),"")</f>
        <v/>
      </c>
      <c r="G25" s="26"/>
      <c r="H25" s="2"/>
      <c r="L25" s="21">
        <f t="shared" si="0"/>
        <v>0</v>
      </c>
      <c r="N25" s="21">
        <f t="shared" si="1"/>
        <v>0</v>
      </c>
      <c r="O25" s="2" cm="1">
        <f t="array" ref="O25:Q25">[1]!ConvertFeet(N25)</f>
        <v>0</v>
      </c>
      <c r="P25" s="2">
        <v>0</v>
      </c>
      <c r="Q25" s="2">
        <v>0</v>
      </c>
    </row>
    <row r="26" spans="1:17" x14ac:dyDescent="0.6">
      <c r="A26" s="35">
        <v>26</v>
      </c>
      <c r="D26" s="23" t="str" cm="1">
        <f t="array" ref="D26">IFERROR([1]!CalculateHyphenString(C26),"")</f>
        <v/>
      </c>
      <c r="G26" s="26"/>
      <c r="H26" s="2"/>
      <c r="L26" s="21">
        <f t="shared" si="0"/>
        <v>0</v>
      </c>
      <c r="N26" s="21">
        <f t="shared" si="1"/>
        <v>0</v>
      </c>
      <c r="O26" s="2" cm="1">
        <f t="array" ref="O26:Q26">[1]!ConvertFeet(N26)</f>
        <v>0</v>
      </c>
      <c r="P26" s="2">
        <v>0</v>
      </c>
      <c r="Q26" s="2">
        <v>0</v>
      </c>
    </row>
    <row r="27" spans="1:17" x14ac:dyDescent="0.6">
      <c r="A27" s="34">
        <v>27</v>
      </c>
      <c r="D27" s="23" t="str" cm="1">
        <f t="array" ref="D27">IFERROR([1]!CalculateHyphenString(C27),"")</f>
        <v/>
      </c>
      <c r="G27" s="26"/>
      <c r="H27" s="2"/>
      <c r="L27" s="21">
        <f t="shared" si="0"/>
        <v>0</v>
      </c>
      <c r="N27" s="21">
        <f t="shared" si="1"/>
        <v>0</v>
      </c>
      <c r="O27" s="2" cm="1">
        <f t="array" ref="O27:Q27">[1]!ConvertFeet(N27)</f>
        <v>0</v>
      </c>
      <c r="P27" s="2">
        <v>0</v>
      </c>
      <c r="Q27" s="2">
        <v>0</v>
      </c>
    </row>
    <row r="28" spans="1:17" x14ac:dyDescent="0.6">
      <c r="A28" s="35">
        <v>28</v>
      </c>
      <c r="D28" s="23" t="str" cm="1">
        <f t="array" ref="D28">IFERROR([1]!CalculateHyphenString(C28),"")</f>
        <v/>
      </c>
      <c r="G28" s="26"/>
      <c r="H28" s="2"/>
      <c r="L28" s="21">
        <f t="shared" si="0"/>
        <v>0</v>
      </c>
      <c r="N28" s="21">
        <f t="shared" si="1"/>
        <v>0</v>
      </c>
      <c r="O28" s="2" cm="1">
        <f t="array" ref="O28:Q28">[1]!ConvertFeet(N28)</f>
        <v>0</v>
      </c>
      <c r="P28" s="2">
        <v>0</v>
      </c>
      <c r="Q28" s="2">
        <v>0</v>
      </c>
    </row>
    <row r="29" spans="1:17" x14ac:dyDescent="0.6">
      <c r="A29" s="34">
        <v>29</v>
      </c>
      <c r="D29" s="23" t="str" cm="1">
        <f t="array" ref="D29">IFERROR([1]!CalculateHyphenString(C29),"")</f>
        <v/>
      </c>
      <c r="G29" s="26"/>
      <c r="H29" s="2"/>
      <c r="L29" s="21">
        <f t="shared" si="0"/>
        <v>0</v>
      </c>
      <c r="N29" s="21">
        <f t="shared" si="1"/>
        <v>0</v>
      </c>
      <c r="O29" s="2" cm="1">
        <f t="array" ref="O29:Q29">[1]!ConvertFeet(N29)</f>
        <v>0</v>
      </c>
      <c r="P29" s="2">
        <v>0</v>
      </c>
      <c r="Q29" s="2">
        <v>0</v>
      </c>
    </row>
    <row r="30" spans="1:17" x14ac:dyDescent="0.6">
      <c r="A30" s="35">
        <v>30</v>
      </c>
      <c r="D30" s="23" t="str" cm="1">
        <f t="array" ref="D30">IFERROR([1]!CalculateHyphenString(C30),"")</f>
        <v/>
      </c>
      <c r="G30" s="26"/>
      <c r="H30" s="2"/>
      <c r="L30" s="21">
        <f t="shared" si="0"/>
        <v>0</v>
      </c>
      <c r="N30" s="21">
        <f t="shared" si="1"/>
        <v>0</v>
      </c>
      <c r="O30" s="2" cm="1">
        <f t="array" ref="O30:Q30">[1]!ConvertFeet(N30)</f>
        <v>0</v>
      </c>
      <c r="P30" s="2">
        <v>0</v>
      </c>
      <c r="Q30" s="2">
        <v>0</v>
      </c>
    </row>
    <row r="31" spans="1:17" x14ac:dyDescent="0.6">
      <c r="A31" s="34">
        <v>31</v>
      </c>
      <c r="D31" s="23" t="str" cm="1">
        <f t="array" ref="D31">IFERROR([1]!CalculateHyphenString(C31),"")</f>
        <v/>
      </c>
      <c r="G31" s="26"/>
      <c r="H31" s="2"/>
      <c r="L31" s="21">
        <f t="shared" si="0"/>
        <v>0</v>
      </c>
      <c r="N31" s="21">
        <f t="shared" si="1"/>
        <v>0</v>
      </c>
      <c r="O31" s="2" cm="1">
        <f t="array" ref="O31:Q31">[1]!ConvertFeet(N31)</f>
        <v>0</v>
      </c>
      <c r="P31" s="2">
        <v>0</v>
      </c>
      <c r="Q31" s="2">
        <v>0</v>
      </c>
    </row>
    <row r="32" spans="1:17" x14ac:dyDescent="0.6">
      <c r="A32" s="35">
        <v>32</v>
      </c>
      <c r="D32" s="23" t="str" cm="1">
        <f t="array" ref="D32">IFERROR([1]!CalculateHyphenString(C32),"")</f>
        <v/>
      </c>
      <c r="G32" s="26"/>
      <c r="H32" s="2"/>
      <c r="L32" s="21">
        <f t="shared" si="0"/>
        <v>0</v>
      </c>
      <c r="N32" s="21">
        <f t="shared" si="1"/>
        <v>0</v>
      </c>
      <c r="O32" s="2" cm="1">
        <f t="array" ref="O32:Q32">[1]!ConvertFeet(N32)</f>
        <v>0</v>
      </c>
      <c r="P32" s="2">
        <v>0</v>
      </c>
      <c r="Q32" s="2">
        <v>0</v>
      </c>
    </row>
    <row r="33" spans="1:17" x14ac:dyDescent="0.6">
      <c r="A33" s="34">
        <v>33</v>
      </c>
      <c r="D33" s="23" t="str" cm="1">
        <f t="array" ref="D33">IFERROR([1]!CalculateHyphenString(C33),"")</f>
        <v/>
      </c>
      <c r="G33" s="26"/>
      <c r="H33" s="2"/>
      <c r="L33" s="21">
        <f t="shared" si="0"/>
        <v>0</v>
      </c>
      <c r="N33" s="21">
        <f t="shared" si="1"/>
        <v>0</v>
      </c>
      <c r="O33" s="2" cm="1">
        <f t="array" ref="O33:Q33">[1]!ConvertFeet(N33)</f>
        <v>0</v>
      </c>
      <c r="P33" s="2">
        <v>0</v>
      </c>
      <c r="Q33" s="2">
        <v>0</v>
      </c>
    </row>
    <row r="34" spans="1:17" x14ac:dyDescent="0.6">
      <c r="A34" s="35">
        <v>34</v>
      </c>
      <c r="D34" s="23" t="str" cm="1">
        <f t="array" ref="D34">IFERROR([1]!CalculateHyphenString(C34),"")</f>
        <v/>
      </c>
      <c r="G34" s="26"/>
      <c r="H34" s="2"/>
      <c r="L34" s="21">
        <f t="shared" si="0"/>
        <v>0</v>
      </c>
      <c r="N34" s="21">
        <f t="shared" si="1"/>
        <v>0</v>
      </c>
      <c r="O34" s="2" cm="1">
        <f t="array" ref="O34:Q34">[1]!ConvertFeet(N34)</f>
        <v>0</v>
      </c>
      <c r="P34" s="2">
        <v>0</v>
      </c>
      <c r="Q34" s="2">
        <v>0</v>
      </c>
    </row>
    <row r="35" spans="1:17" x14ac:dyDescent="0.6">
      <c r="A35" s="34">
        <v>35</v>
      </c>
      <c r="D35" s="23" t="str" cm="1">
        <f t="array" ref="D35">IFERROR([1]!CalculateHyphenString(C35),"")</f>
        <v/>
      </c>
      <c r="G35" s="26"/>
      <c r="H35" s="2"/>
      <c r="L35" s="21">
        <f t="shared" si="0"/>
        <v>0</v>
      </c>
      <c r="N35" s="21">
        <f t="shared" si="1"/>
        <v>0</v>
      </c>
      <c r="O35" s="2" cm="1">
        <f t="array" ref="O35:Q35">[1]!ConvertFeet(N35)</f>
        <v>0</v>
      </c>
      <c r="P35" s="2">
        <v>0</v>
      </c>
      <c r="Q35" s="2">
        <v>0</v>
      </c>
    </row>
    <row r="36" spans="1:17" x14ac:dyDescent="0.6">
      <c r="A36" s="35">
        <v>36</v>
      </c>
      <c r="D36" s="23" t="str" cm="1">
        <f t="array" ref="D36">IFERROR([1]!CalculateHyphenString(C36),"")</f>
        <v/>
      </c>
      <c r="G36" s="26"/>
      <c r="H36" s="2"/>
      <c r="L36" s="21">
        <f t="shared" si="0"/>
        <v>0</v>
      </c>
      <c r="N36" s="21">
        <f t="shared" si="1"/>
        <v>0</v>
      </c>
      <c r="O36" s="2" cm="1">
        <f t="array" ref="O36:Q36">[1]!ConvertFeet(N36)</f>
        <v>0</v>
      </c>
      <c r="P36" s="2">
        <v>0</v>
      </c>
      <c r="Q36" s="2">
        <v>0</v>
      </c>
    </row>
    <row r="37" spans="1:17" x14ac:dyDescent="0.6">
      <c r="A37" s="34">
        <v>37</v>
      </c>
      <c r="D37" s="23" t="str" cm="1">
        <f t="array" ref="D37">IFERROR([1]!CalculateHyphenString(C37),"")</f>
        <v/>
      </c>
      <c r="G37" s="26"/>
      <c r="H37" s="2"/>
      <c r="L37" s="21">
        <f t="shared" si="0"/>
        <v>0</v>
      </c>
      <c r="N37" s="21">
        <f t="shared" si="1"/>
        <v>0</v>
      </c>
      <c r="O37" s="2" cm="1">
        <f t="array" ref="O37:Q37">[1]!ConvertFeet(N37)</f>
        <v>0</v>
      </c>
      <c r="P37" s="2">
        <v>0</v>
      </c>
      <c r="Q37" s="2">
        <v>0</v>
      </c>
    </row>
    <row r="38" spans="1:17" x14ac:dyDescent="0.6">
      <c r="A38" s="35">
        <v>38</v>
      </c>
      <c r="D38" s="23" t="str" cm="1">
        <f t="array" ref="D38">IFERROR([1]!CalculateHyphenString(C38),"")</f>
        <v/>
      </c>
      <c r="G38" s="26"/>
      <c r="H38" s="2"/>
      <c r="L38" s="21">
        <f t="shared" si="0"/>
        <v>0</v>
      </c>
      <c r="N38" s="21">
        <f t="shared" si="1"/>
        <v>0</v>
      </c>
      <c r="O38" s="2" cm="1">
        <f t="array" ref="O38:Q38">[1]!ConvertFeet(N38)</f>
        <v>0</v>
      </c>
      <c r="P38" s="2">
        <v>0</v>
      </c>
      <c r="Q38" s="2">
        <v>0</v>
      </c>
    </row>
    <row r="39" spans="1:17" x14ac:dyDescent="0.6">
      <c r="A39" s="34">
        <v>39</v>
      </c>
      <c r="D39" s="23" t="str" cm="1">
        <f t="array" ref="D39">IFERROR([1]!CalculateHyphenString(C39),"")</f>
        <v/>
      </c>
      <c r="G39" s="26"/>
      <c r="H39" s="2"/>
      <c r="L39" s="21">
        <f t="shared" si="0"/>
        <v>0</v>
      </c>
      <c r="N39" s="21">
        <f t="shared" si="1"/>
        <v>0</v>
      </c>
      <c r="O39" s="2" cm="1">
        <f t="array" ref="O39:Q39">[1]!ConvertFeet(N39)</f>
        <v>0</v>
      </c>
      <c r="P39" s="2">
        <v>0</v>
      </c>
      <c r="Q39" s="2">
        <v>0</v>
      </c>
    </row>
    <row r="40" spans="1:17" x14ac:dyDescent="0.6">
      <c r="A40" s="35">
        <v>40</v>
      </c>
      <c r="D40" s="23" t="str" cm="1">
        <f t="array" ref="D40">IFERROR([1]!CalculateHyphenString(C40),"")</f>
        <v/>
      </c>
      <c r="G40" s="26"/>
      <c r="H40" s="2"/>
      <c r="L40" s="21">
        <f t="shared" si="0"/>
        <v>0</v>
      </c>
      <c r="N40" s="21">
        <f t="shared" si="1"/>
        <v>0</v>
      </c>
      <c r="O40" s="2" cm="1">
        <f t="array" ref="O40:Q40">[1]!ConvertFeet(N40)</f>
        <v>0</v>
      </c>
      <c r="P40" s="2">
        <v>0</v>
      </c>
      <c r="Q40" s="2">
        <v>0</v>
      </c>
    </row>
    <row r="41" spans="1:17" x14ac:dyDescent="0.6">
      <c r="A41" s="34">
        <v>41</v>
      </c>
      <c r="D41" s="23" t="str" cm="1">
        <f t="array" ref="D41">IFERROR([1]!CalculateHyphenString(C41),"")</f>
        <v/>
      </c>
      <c r="G41" s="26"/>
      <c r="H41" s="2"/>
      <c r="L41" s="21">
        <f t="shared" si="0"/>
        <v>0</v>
      </c>
      <c r="N41" s="21">
        <f t="shared" si="1"/>
        <v>0</v>
      </c>
      <c r="O41" s="2" cm="1">
        <f t="array" ref="O41:Q41">[1]!ConvertFeet(N41)</f>
        <v>0</v>
      </c>
      <c r="P41" s="2">
        <v>0</v>
      </c>
      <c r="Q41" s="2">
        <v>0</v>
      </c>
    </row>
    <row r="42" spans="1:17" x14ac:dyDescent="0.6">
      <c r="A42" s="35">
        <v>42</v>
      </c>
      <c r="D42" s="23" t="str" cm="1">
        <f t="array" ref="D42">IFERROR([1]!CalculateHyphenString(C42),"")</f>
        <v/>
      </c>
      <c r="G42" s="26"/>
      <c r="H42" s="2"/>
      <c r="L42" s="21">
        <f t="shared" si="0"/>
        <v>0</v>
      </c>
      <c r="N42" s="21">
        <f t="shared" si="1"/>
        <v>0</v>
      </c>
      <c r="O42" s="2" cm="1">
        <f t="array" ref="O42:Q42">[1]!ConvertFeet(N42)</f>
        <v>0</v>
      </c>
      <c r="P42" s="2">
        <v>0</v>
      </c>
      <c r="Q42" s="2">
        <v>0</v>
      </c>
    </row>
    <row r="43" spans="1:17" x14ac:dyDescent="0.6">
      <c r="A43" s="34">
        <v>43</v>
      </c>
      <c r="D43" s="23" t="str" cm="1">
        <f t="array" ref="D43">IFERROR([1]!CalculateHyphenString(C43),"")</f>
        <v/>
      </c>
      <c r="G43" s="26"/>
      <c r="H43" s="2"/>
      <c r="L43" s="21">
        <f t="shared" si="0"/>
        <v>0</v>
      </c>
      <c r="N43" s="21">
        <f t="shared" si="1"/>
        <v>0</v>
      </c>
      <c r="O43" s="2" cm="1">
        <f t="array" ref="O43:Q43">[1]!ConvertFeet(N43)</f>
        <v>0</v>
      </c>
      <c r="P43" s="2">
        <v>0</v>
      </c>
      <c r="Q43" s="2">
        <v>0</v>
      </c>
    </row>
    <row r="44" spans="1:17" x14ac:dyDescent="0.6">
      <c r="A44" s="35">
        <v>44</v>
      </c>
      <c r="D44" s="23" t="str" cm="1">
        <f t="array" ref="D44">IFERROR([1]!CalculateHyphenString(C44),"")</f>
        <v/>
      </c>
      <c r="G44" s="26"/>
      <c r="H44" s="2"/>
      <c r="L44" s="21">
        <f t="shared" si="0"/>
        <v>0</v>
      </c>
      <c r="N44" s="21">
        <f t="shared" si="1"/>
        <v>0</v>
      </c>
      <c r="O44" s="2" cm="1">
        <f t="array" ref="O44:Q44">[1]!ConvertFeet(N44)</f>
        <v>0</v>
      </c>
      <c r="P44" s="2">
        <v>0</v>
      </c>
      <c r="Q44" s="2">
        <v>0</v>
      </c>
    </row>
    <row r="45" spans="1:17" x14ac:dyDescent="0.6">
      <c r="A45" s="34">
        <v>45</v>
      </c>
      <c r="D45" s="23" t="str" cm="1">
        <f t="array" ref="D45">IFERROR([1]!CalculateHyphenString(C45),"")</f>
        <v/>
      </c>
      <c r="G45" s="26"/>
      <c r="H45" s="2"/>
      <c r="L45" s="21">
        <f t="shared" si="0"/>
        <v>0</v>
      </c>
      <c r="N45" s="21">
        <f t="shared" si="1"/>
        <v>0</v>
      </c>
      <c r="O45" s="2" cm="1">
        <f t="array" ref="O45:Q45">[1]!ConvertFeet(N45)</f>
        <v>0</v>
      </c>
      <c r="P45" s="2">
        <v>0</v>
      </c>
      <c r="Q45" s="2">
        <v>0</v>
      </c>
    </row>
    <row r="46" spans="1:17" x14ac:dyDescent="0.6">
      <c r="A46" s="35">
        <v>46</v>
      </c>
      <c r="D46" s="23" t="str" cm="1">
        <f t="array" ref="D46">IFERROR([1]!CalculateHyphenString(C46),"")</f>
        <v/>
      </c>
      <c r="G46" s="26"/>
      <c r="H46" s="2"/>
      <c r="L46" s="21">
        <f t="shared" si="0"/>
        <v>0</v>
      </c>
      <c r="N46" s="21">
        <f t="shared" si="1"/>
        <v>0</v>
      </c>
      <c r="O46" s="2" cm="1">
        <f t="array" ref="O46:Q46">[1]!ConvertFeet(N46)</f>
        <v>0</v>
      </c>
      <c r="P46" s="2">
        <v>0</v>
      </c>
      <c r="Q46" s="2">
        <v>0</v>
      </c>
    </row>
    <row r="47" spans="1:17" x14ac:dyDescent="0.6">
      <c r="A47" s="34">
        <v>47</v>
      </c>
      <c r="D47" s="23" t="str" cm="1">
        <f t="array" ref="D47">IFERROR([1]!CalculateHyphenString(C47),"")</f>
        <v/>
      </c>
      <c r="G47" s="26"/>
      <c r="H47" s="2"/>
      <c r="L47" s="21">
        <f t="shared" si="0"/>
        <v>0</v>
      </c>
      <c r="N47" s="21">
        <f t="shared" si="1"/>
        <v>0</v>
      </c>
      <c r="O47" s="2" cm="1">
        <f t="array" ref="O47:Q47">[1]!ConvertFeet(N47)</f>
        <v>0</v>
      </c>
      <c r="P47" s="2">
        <v>0</v>
      </c>
      <c r="Q47" s="2">
        <v>0</v>
      </c>
    </row>
    <row r="48" spans="1:17" x14ac:dyDescent="0.6">
      <c r="A48" s="35">
        <v>48</v>
      </c>
      <c r="D48" s="23" t="str" cm="1">
        <f t="array" ref="D48">IFERROR([1]!CalculateHyphenString(C48),"")</f>
        <v/>
      </c>
      <c r="G48" s="26"/>
      <c r="H48" s="2"/>
      <c r="L48" s="21">
        <f t="shared" si="0"/>
        <v>0</v>
      </c>
      <c r="N48" s="21">
        <f t="shared" si="1"/>
        <v>0</v>
      </c>
      <c r="O48" s="2" cm="1">
        <f t="array" ref="O48:Q48">[1]!ConvertFeet(N48)</f>
        <v>0</v>
      </c>
      <c r="P48" s="2">
        <v>0</v>
      </c>
      <c r="Q48" s="2">
        <v>0</v>
      </c>
    </row>
    <row r="49" spans="1:17" x14ac:dyDescent="0.6">
      <c r="A49" s="34">
        <v>49</v>
      </c>
      <c r="D49" s="23" t="str" cm="1">
        <f t="array" ref="D49">IFERROR([1]!CalculateHyphenString(C49),"")</f>
        <v/>
      </c>
      <c r="G49" s="26"/>
      <c r="H49" s="2"/>
      <c r="L49" s="21">
        <f t="shared" si="0"/>
        <v>0</v>
      </c>
      <c r="N49" s="21">
        <f t="shared" si="1"/>
        <v>0</v>
      </c>
      <c r="O49" s="2" cm="1">
        <f t="array" ref="O49:Q49">[1]!ConvertFeet(N49)</f>
        <v>0</v>
      </c>
      <c r="P49" s="2">
        <v>0</v>
      </c>
      <c r="Q49" s="2">
        <v>0</v>
      </c>
    </row>
    <row r="50" spans="1:17" x14ac:dyDescent="0.6">
      <c r="A50" s="35">
        <v>50</v>
      </c>
      <c r="D50" s="23" t="str" cm="1">
        <f t="array" ref="D50">IFERROR([1]!CalculateHyphenString(C50),"")</f>
        <v/>
      </c>
      <c r="G50" s="26"/>
      <c r="H50" s="2"/>
      <c r="L50" s="21">
        <f t="shared" si="0"/>
        <v>0</v>
      </c>
      <c r="N50" s="21">
        <f t="shared" si="1"/>
        <v>0</v>
      </c>
      <c r="O50" s="2" cm="1">
        <f t="array" ref="O50:Q50">[1]!ConvertFeet(N50)</f>
        <v>0</v>
      </c>
      <c r="P50" s="2">
        <v>0</v>
      </c>
      <c r="Q50" s="2">
        <v>0</v>
      </c>
    </row>
    <row r="51" spans="1:17" x14ac:dyDescent="0.6">
      <c r="A51" s="34">
        <v>51</v>
      </c>
      <c r="D51" s="23" t="str" cm="1">
        <f t="array" ref="D51">IFERROR([1]!CalculateHyphenString(C51),"")</f>
        <v/>
      </c>
      <c r="G51" s="26"/>
      <c r="H51" s="2"/>
      <c r="L51" s="21">
        <f t="shared" si="0"/>
        <v>0</v>
      </c>
      <c r="N51" s="21">
        <f t="shared" si="1"/>
        <v>0</v>
      </c>
      <c r="O51" s="2" cm="1">
        <f t="array" ref="O51:Q51">[1]!ConvertFeet(N51)</f>
        <v>0</v>
      </c>
      <c r="P51" s="2">
        <v>0</v>
      </c>
      <c r="Q51" s="2">
        <v>0</v>
      </c>
    </row>
    <row r="52" spans="1:17" x14ac:dyDescent="0.6">
      <c r="A52" s="35">
        <v>52</v>
      </c>
      <c r="D52" s="23" t="str" cm="1">
        <f t="array" ref="D52">IFERROR([1]!CalculateHyphenString(C52),"")</f>
        <v/>
      </c>
      <c r="G52" s="26"/>
      <c r="H52" s="2"/>
      <c r="L52" s="21">
        <f t="shared" si="0"/>
        <v>0</v>
      </c>
      <c r="N52" s="21">
        <f t="shared" si="1"/>
        <v>0</v>
      </c>
      <c r="O52" s="2" cm="1">
        <f t="array" ref="O52:Q52">[1]!ConvertFeet(N52)</f>
        <v>0</v>
      </c>
      <c r="P52" s="2">
        <v>0</v>
      </c>
      <c r="Q52" s="2">
        <v>0</v>
      </c>
    </row>
    <row r="53" spans="1:17" x14ac:dyDescent="0.6">
      <c r="A53" s="34">
        <v>53</v>
      </c>
      <c r="D53" s="23" t="str" cm="1">
        <f t="array" ref="D53">IFERROR([1]!CalculateHyphenString(C53),"")</f>
        <v/>
      </c>
      <c r="G53" s="26"/>
      <c r="H53" s="2"/>
      <c r="L53" s="21">
        <f t="shared" si="0"/>
        <v>0</v>
      </c>
      <c r="N53" s="21">
        <f t="shared" si="1"/>
        <v>0</v>
      </c>
      <c r="O53" s="2" cm="1">
        <f t="array" ref="O53:Q53">[1]!ConvertFeet(N53)</f>
        <v>0</v>
      </c>
      <c r="P53" s="2">
        <v>0</v>
      </c>
      <c r="Q53" s="2">
        <v>0</v>
      </c>
    </row>
    <row r="54" spans="1:17" x14ac:dyDescent="0.6">
      <c r="A54" s="35">
        <v>54</v>
      </c>
      <c r="D54" s="23" t="str" cm="1">
        <f t="array" ref="D54">IFERROR([1]!CalculateHyphenString(C54),"")</f>
        <v/>
      </c>
      <c r="G54" s="26"/>
      <c r="H54" s="2"/>
      <c r="L54" s="21">
        <f t="shared" si="0"/>
        <v>0</v>
      </c>
      <c r="N54" s="21">
        <f t="shared" si="1"/>
        <v>0</v>
      </c>
      <c r="O54" s="2" cm="1">
        <f t="array" ref="O54:Q54">[1]!ConvertFeet(N54)</f>
        <v>0</v>
      </c>
      <c r="P54" s="2">
        <v>0</v>
      </c>
      <c r="Q54" s="2">
        <v>0</v>
      </c>
    </row>
    <row r="55" spans="1:17" x14ac:dyDescent="0.6">
      <c r="A55" s="34">
        <v>55</v>
      </c>
      <c r="D55" s="23" t="str" cm="1">
        <f t="array" ref="D55">IFERROR([1]!CalculateHyphenString(C55),"")</f>
        <v/>
      </c>
      <c r="G55" s="26"/>
      <c r="H55" s="2"/>
      <c r="L55" s="21">
        <f t="shared" si="0"/>
        <v>0</v>
      </c>
      <c r="N55" s="21">
        <f t="shared" si="1"/>
        <v>0</v>
      </c>
      <c r="O55" s="2" cm="1">
        <f t="array" ref="O55:Q55">[1]!ConvertFeet(N55)</f>
        <v>0</v>
      </c>
      <c r="P55" s="2">
        <v>0</v>
      </c>
      <c r="Q55" s="2">
        <v>0</v>
      </c>
    </row>
    <row r="56" spans="1:17" x14ac:dyDescent="0.6">
      <c r="A56" s="35">
        <v>56</v>
      </c>
      <c r="D56" s="23" t="str" cm="1">
        <f t="array" ref="D56">IFERROR([1]!CalculateHyphenString(C56),"")</f>
        <v/>
      </c>
      <c r="G56" s="26"/>
      <c r="H56" s="2"/>
      <c r="L56" s="21">
        <f t="shared" si="0"/>
        <v>0</v>
      </c>
      <c r="N56" s="21">
        <f t="shared" si="1"/>
        <v>0</v>
      </c>
      <c r="O56" s="2" cm="1">
        <f t="array" ref="O56:Q56">[1]!ConvertFeet(N56)</f>
        <v>0</v>
      </c>
      <c r="P56" s="2">
        <v>0</v>
      </c>
      <c r="Q56" s="2">
        <v>0</v>
      </c>
    </row>
    <row r="57" spans="1:17" x14ac:dyDescent="0.6">
      <c r="A57" s="34">
        <v>57</v>
      </c>
      <c r="D57" s="23" t="str" cm="1">
        <f t="array" ref="D57">IFERROR([1]!CalculateHyphenString(C57),"")</f>
        <v/>
      </c>
      <c r="G57" s="26"/>
      <c r="H57" s="2"/>
      <c r="L57" s="21">
        <f t="shared" si="0"/>
        <v>0</v>
      </c>
      <c r="N57" s="21">
        <f t="shared" si="1"/>
        <v>0</v>
      </c>
      <c r="O57" s="2" cm="1">
        <f t="array" ref="O57:Q57">[1]!ConvertFeet(N57)</f>
        <v>0</v>
      </c>
      <c r="P57" s="2">
        <v>0</v>
      </c>
      <c r="Q57" s="2">
        <v>0</v>
      </c>
    </row>
    <row r="58" spans="1:17" x14ac:dyDescent="0.6">
      <c r="A58" s="35">
        <v>58</v>
      </c>
      <c r="D58" s="23" t="str" cm="1">
        <f t="array" ref="D58">IFERROR([1]!CalculateHyphenString(C58),"")</f>
        <v/>
      </c>
      <c r="G58" s="26"/>
      <c r="H58" s="2"/>
      <c r="L58" s="21">
        <f t="shared" si="0"/>
        <v>0</v>
      </c>
      <c r="N58" s="21">
        <f t="shared" si="1"/>
        <v>0</v>
      </c>
      <c r="O58" s="2" cm="1">
        <f t="array" ref="O58:Q58">[1]!ConvertFeet(N58)</f>
        <v>0</v>
      </c>
      <c r="P58" s="2">
        <v>0</v>
      </c>
      <c r="Q58" s="2">
        <v>0</v>
      </c>
    </row>
    <row r="59" spans="1:17" x14ac:dyDescent="0.6">
      <c r="A59" s="34">
        <v>59</v>
      </c>
      <c r="D59" s="23" t="str" cm="1">
        <f t="array" ref="D59">IFERROR([1]!CalculateHyphenString(C59),"")</f>
        <v/>
      </c>
      <c r="G59" s="26"/>
      <c r="H59" s="2"/>
      <c r="L59" s="21">
        <f t="shared" si="0"/>
        <v>0</v>
      </c>
      <c r="N59" s="21">
        <f t="shared" si="1"/>
        <v>0</v>
      </c>
      <c r="O59" s="2" cm="1">
        <f t="array" ref="O59:Q59">[1]!ConvertFeet(N59)</f>
        <v>0</v>
      </c>
      <c r="P59" s="2">
        <v>0</v>
      </c>
      <c r="Q59" s="2">
        <v>0</v>
      </c>
    </row>
    <row r="60" spans="1:17" x14ac:dyDescent="0.6">
      <c r="A60" s="35">
        <v>60</v>
      </c>
      <c r="D60" s="23" t="str" cm="1">
        <f t="array" ref="D60">IFERROR([1]!CalculateHyphenString(C60),"")</f>
        <v/>
      </c>
      <c r="G60" s="26"/>
      <c r="H60" s="2"/>
      <c r="L60" s="21">
        <f t="shared" si="0"/>
        <v>0</v>
      </c>
      <c r="N60" s="21">
        <f t="shared" si="1"/>
        <v>0</v>
      </c>
      <c r="O60" s="2" cm="1">
        <f t="array" ref="O60:Q60">[1]!ConvertFeet(N60)</f>
        <v>0</v>
      </c>
      <c r="P60" s="2">
        <v>0</v>
      </c>
      <c r="Q60" s="2">
        <v>0</v>
      </c>
    </row>
    <row r="61" spans="1:17" x14ac:dyDescent="0.6">
      <c r="A61" s="34">
        <v>61</v>
      </c>
      <c r="D61" s="23" t="str" cm="1">
        <f t="array" ref="D61">IFERROR([1]!CalculateHyphenString(C61),"")</f>
        <v/>
      </c>
      <c r="G61" s="26"/>
      <c r="H61" s="2"/>
      <c r="L61" s="21">
        <f t="shared" si="0"/>
        <v>0</v>
      </c>
      <c r="N61" s="21">
        <f t="shared" si="1"/>
        <v>0</v>
      </c>
      <c r="O61" s="2" cm="1">
        <f t="array" ref="O61:Q61">[1]!ConvertFeet(N61)</f>
        <v>0</v>
      </c>
      <c r="P61" s="2">
        <v>0</v>
      </c>
      <c r="Q61" s="2">
        <v>0</v>
      </c>
    </row>
    <row r="62" spans="1:17" x14ac:dyDescent="0.6">
      <c r="A62" s="35">
        <v>62</v>
      </c>
      <c r="D62" s="23" t="str" cm="1">
        <f t="array" ref="D62">IFERROR([1]!CalculateHyphenString(C62),"")</f>
        <v/>
      </c>
      <c r="G62" s="26"/>
      <c r="H62" s="2"/>
      <c r="L62" s="21">
        <f t="shared" si="0"/>
        <v>0</v>
      </c>
      <c r="N62" s="21">
        <f t="shared" si="1"/>
        <v>0</v>
      </c>
      <c r="O62" s="2" cm="1">
        <f t="array" ref="O62:Q62">[1]!ConvertFeet(N62)</f>
        <v>0</v>
      </c>
      <c r="P62" s="2">
        <v>0</v>
      </c>
      <c r="Q62" s="2">
        <v>0</v>
      </c>
    </row>
    <row r="63" spans="1:17" x14ac:dyDescent="0.6">
      <c r="A63" s="34">
        <v>63</v>
      </c>
      <c r="D63" s="23" t="str" cm="1">
        <f t="array" ref="D63">IFERROR([1]!CalculateHyphenString(C63),"")</f>
        <v/>
      </c>
      <c r="G63" s="26"/>
      <c r="H63" s="2"/>
      <c r="L63" s="21">
        <f t="shared" si="0"/>
        <v>0</v>
      </c>
      <c r="N63" s="21">
        <f t="shared" si="1"/>
        <v>0</v>
      </c>
      <c r="O63" s="2" cm="1">
        <f t="array" ref="O63:Q63">[1]!ConvertFeet(N63)</f>
        <v>0</v>
      </c>
      <c r="P63" s="2">
        <v>0</v>
      </c>
      <c r="Q63" s="2">
        <v>0</v>
      </c>
    </row>
    <row r="64" spans="1:17" x14ac:dyDescent="0.6">
      <c r="A64" s="35">
        <v>64</v>
      </c>
      <c r="D64" s="23" t="str" cm="1">
        <f t="array" ref="D64">IFERROR([1]!CalculateHyphenString(C64),"")</f>
        <v/>
      </c>
      <c r="G64" s="26"/>
      <c r="H64" s="2"/>
      <c r="L64" s="21">
        <f t="shared" si="0"/>
        <v>0</v>
      </c>
      <c r="N64" s="21">
        <f t="shared" si="1"/>
        <v>0</v>
      </c>
      <c r="O64" s="2" cm="1">
        <f t="array" ref="O64:Q64">[1]!ConvertFeet(N64)</f>
        <v>0</v>
      </c>
      <c r="P64" s="2">
        <v>0</v>
      </c>
      <c r="Q64" s="2">
        <v>0</v>
      </c>
    </row>
    <row r="65" spans="1:17" x14ac:dyDescent="0.6">
      <c r="A65" s="34">
        <v>65</v>
      </c>
      <c r="D65" s="23" t="str" cm="1">
        <f t="array" ref="D65">IFERROR([1]!CalculateHyphenString(C65),"")</f>
        <v/>
      </c>
      <c r="G65" s="26"/>
      <c r="H65" s="2"/>
      <c r="L65" s="21">
        <f t="shared" si="0"/>
        <v>0</v>
      </c>
      <c r="N65" s="21">
        <f t="shared" si="1"/>
        <v>0</v>
      </c>
      <c r="O65" s="2" cm="1">
        <f t="array" ref="O65:Q65">[1]!ConvertFeet(N65)</f>
        <v>0</v>
      </c>
      <c r="P65" s="2">
        <v>0</v>
      </c>
      <c r="Q65" s="2">
        <v>0</v>
      </c>
    </row>
    <row r="66" spans="1:17" x14ac:dyDescent="0.6">
      <c r="A66" s="35">
        <v>66</v>
      </c>
      <c r="D66" s="23" t="str" cm="1">
        <f t="array" ref="D66">IFERROR([1]!CalculateHyphenString(C66),"")</f>
        <v/>
      </c>
      <c r="G66" s="26"/>
      <c r="H66" s="2"/>
      <c r="L66" s="21">
        <f t="shared" si="0"/>
        <v>0</v>
      </c>
      <c r="N66" s="21">
        <f t="shared" si="1"/>
        <v>0</v>
      </c>
      <c r="O66" s="2" cm="1">
        <f t="array" ref="O66:Q66">[1]!ConvertFeet(N66)</f>
        <v>0</v>
      </c>
      <c r="P66" s="2">
        <v>0</v>
      </c>
      <c r="Q66" s="2">
        <v>0</v>
      </c>
    </row>
    <row r="67" spans="1:17" x14ac:dyDescent="0.6">
      <c r="A67" s="34">
        <v>67</v>
      </c>
      <c r="D67" s="23" t="str" cm="1">
        <f t="array" ref="D67">IFERROR([1]!CalculateHyphenString(C67),"")</f>
        <v/>
      </c>
      <c r="G67" s="26"/>
      <c r="H67" s="2"/>
      <c r="L67" s="21">
        <f t="shared" si="0"/>
        <v>0</v>
      </c>
      <c r="N67" s="21">
        <f t="shared" si="1"/>
        <v>0</v>
      </c>
      <c r="O67" s="2" cm="1">
        <f t="array" ref="O67:Q67">[1]!ConvertFeet(N67)</f>
        <v>0</v>
      </c>
      <c r="P67" s="2">
        <v>0</v>
      </c>
      <c r="Q67" s="2">
        <v>0</v>
      </c>
    </row>
    <row r="68" spans="1:17" x14ac:dyDescent="0.6">
      <c r="A68" s="35">
        <v>68</v>
      </c>
      <c r="D68" s="23" t="str" cm="1">
        <f t="array" ref="D68">IFERROR([1]!CalculateHyphenString(C68),"")</f>
        <v/>
      </c>
      <c r="G68" s="26"/>
      <c r="H68" s="2"/>
      <c r="L68" s="21">
        <f t="shared" si="0"/>
        <v>0</v>
      </c>
      <c r="N68" s="21">
        <f t="shared" si="1"/>
        <v>0</v>
      </c>
      <c r="O68" s="2" cm="1">
        <f t="array" ref="O68:Q68">[1]!ConvertFeet(N68)</f>
        <v>0</v>
      </c>
      <c r="P68" s="2">
        <v>0</v>
      </c>
      <c r="Q68" s="2">
        <v>0</v>
      </c>
    </row>
    <row r="69" spans="1:17" x14ac:dyDescent="0.6">
      <c r="A69" s="34">
        <v>69</v>
      </c>
      <c r="D69" s="23" t="str" cm="1">
        <f t="array" ref="D69">IFERROR([1]!CalculateHyphenString(C69),"")</f>
        <v/>
      </c>
      <c r="G69" s="26"/>
      <c r="H69" s="2"/>
      <c r="L69" s="21">
        <f t="shared" si="0"/>
        <v>0</v>
      </c>
      <c r="N69" s="21">
        <f t="shared" si="1"/>
        <v>0</v>
      </c>
      <c r="O69" s="2" cm="1">
        <f t="array" ref="O69:Q69">[1]!ConvertFeet(N69)</f>
        <v>0</v>
      </c>
      <c r="P69" s="2">
        <v>0</v>
      </c>
      <c r="Q69" s="2">
        <v>0</v>
      </c>
    </row>
    <row r="70" spans="1:17" x14ac:dyDescent="0.6">
      <c r="A70" s="35">
        <v>70</v>
      </c>
      <c r="D70" s="23" t="str" cm="1">
        <f t="array" ref="D70">IFERROR([1]!CalculateHyphenString(C70),"")</f>
        <v/>
      </c>
      <c r="G70" s="26"/>
      <c r="H70" s="2"/>
      <c r="L70" s="21">
        <f t="shared" si="0"/>
        <v>0</v>
      </c>
      <c r="N70" s="21">
        <f t="shared" si="1"/>
        <v>0</v>
      </c>
      <c r="O70" s="2" cm="1">
        <f t="array" ref="O70:Q70">[1]!ConvertFeet(N70)</f>
        <v>0</v>
      </c>
      <c r="P70" s="2">
        <v>0</v>
      </c>
      <c r="Q70" s="2">
        <v>0</v>
      </c>
    </row>
    <row r="71" spans="1:17" x14ac:dyDescent="0.6">
      <c r="A71" s="34">
        <v>71</v>
      </c>
      <c r="D71" s="23" t="str" cm="1">
        <f t="array" ref="D71">IFERROR([1]!CalculateHyphenString(C71),"")</f>
        <v/>
      </c>
      <c r="G71" s="26"/>
      <c r="H71" s="2"/>
      <c r="L71" s="21">
        <f t="shared" ref="L71:L134" si="2">(K71*$G$3)/100</f>
        <v>0</v>
      </c>
      <c r="N71" s="21">
        <f t="shared" ref="N71:N134" si="3">K71-(L71+M71)</f>
        <v>0</v>
      </c>
      <c r="O71" s="2" cm="1">
        <f t="array" ref="O71:Q71">[1]!ConvertFeet(N71)</f>
        <v>0</v>
      </c>
      <c r="P71" s="2">
        <v>0</v>
      </c>
      <c r="Q71" s="2">
        <v>0</v>
      </c>
    </row>
    <row r="72" spans="1:17" x14ac:dyDescent="0.6">
      <c r="A72" s="35">
        <v>72</v>
      </c>
      <c r="D72" s="23" t="str" cm="1">
        <f t="array" ref="D72">IFERROR([1]!CalculateHyphenString(C72),"")</f>
        <v/>
      </c>
      <c r="G72" s="26"/>
      <c r="H72" s="2"/>
      <c r="L72" s="21">
        <f t="shared" si="2"/>
        <v>0</v>
      </c>
      <c r="N72" s="21">
        <f t="shared" si="3"/>
        <v>0</v>
      </c>
      <c r="O72" s="2" cm="1">
        <f t="array" ref="O72:Q72">[1]!ConvertFeet(N72)</f>
        <v>0</v>
      </c>
      <c r="P72" s="2">
        <v>0</v>
      </c>
      <c r="Q72" s="2">
        <v>0</v>
      </c>
    </row>
    <row r="73" spans="1:17" x14ac:dyDescent="0.6">
      <c r="A73" s="34">
        <v>73</v>
      </c>
      <c r="D73" s="23" t="str" cm="1">
        <f t="array" ref="D73">IFERROR([1]!CalculateHyphenString(C73),"")</f>
        <v/>
      </c>
      <c r="G73" s="26"/>
      <c r="H73" s="2"/>
      <c r="L73" s="21">
        <f t="shared" si="2"/>
        <v>0</v>
      </c>
      <c r="N73" s="21">
        <f t="shared" si="3"/>
        <v>0</v>
      </c>
      <c r="O73" s="2" cm="1">
        <f t="array" ref="O73:Q73">[1]!ConvertFeet(N73)</f>
        <v>0</v>
      </c>
      <c r="P73" s="2">
        <v>0</v>
      </c>
      <c r="Q73" s="2">
        <v>0</v>
      </c>
    </row>
    <row r="74" spans="1:17" x14ac:dyDescent="0.6">
      <c r="A74" s="35">
        <v>74</v>
      </c>
      <c r="D74" s="23" t="str" cm="1">
        <f t="array" ref="D74">IFERROR([1]!CalculateHyphenString(C74),"")</f>
        <v/>
      </c>
      <c r="G74" s="26"/>
      <c r="H74" s="2"/>
      <c r="L74" s="21">
        <f t="shared" si="2"/>
        <v>0</v>
      </c>
      <c r="N74" s="21">
        <f t="shared" si="3"/>
        <v>0</v>
      </c>
      <c r="O74" s="2" cm="1">
        <f t="array" ref="O74:Q74">[1]!ConvertFeet(N74)</f>
        <v>0</v>
      </c>
      <c r="P74" s="2">
        <v>0</v>
      </c>
      <c r="Q74" s="2">
        <v>0</v>
      </c>
    </row>
    <row r="75" spans="1:17" x14ac:dyDescent="0.6">
      <c r="A75" s="34">
        <v>75</v>
      </c>
      <c r="D75" s="23" t="str" cm="1">
        <f t="array" ref="D75">IFERROR([1]!CalculateHyphenString(C75),"")</f>
        <v/>
      </c>
      <c r="G75" s="26"/>
      <c r="H75" s="2"/>
      <c r="L75" s="21">
        <f t="shared" si="2"/>
        <v>0</v>
      </c>
      <c r="N75" s="21">
        <f t="shared" si="3"/>
        <v>0</v>
      </c>
      <c r="O75" s="2" cm="1">
        <f t="array" ref="O75:Q75">[1]!ConvertFeet(N75)</f>
        <v>0</v>
      </c>
      <c r="P75" s="2">
        <v>0</v>
      </c>
      <c r="Q75" s="2">
        <v>0</v>
      </c>
    </row>
    <row r="76" spans="1:17" x14ac:dyDescent="0.6">
      <c r="A76" s="35">
        <v>76</v>
      </c>
      <c r="D76" s="23" t="str" cm="1">
        <f t="array" ref="D76">IFERROR([1]!CalculateHyphenString(C76),"")</f>
        <v/>
      </c>
      <c r="G76" s="26"/>
      <c r="H76" s="2"/>
      <c r="L76" s="21">
        <f t="shared" si="2"/>
        <v>0</v>
      </c>
      <c r="N76" s="21">
        <f t="shared" si="3"/>
        <v>0</v>
      </c>
      <c r="O76" s="2" cm="1">
        <f t="array" ref="O76:Q76">[1]!ConvertFeet(N76)</f>
        <v>0</v>
      </c>
      <c r="P76" s="2">
        <v>0</v>
      </c>
      <c r="Q76" s="2">
        <v>0</v>
      </c>
    </row>
    <row r="77" spans="1:17" x14ac:dyDescent="0.6">
      <c r="A77" s="34">
        <v>77</v>
      </c>
      <c r="D77" s="23" t="str" cm="1">
        <f t="array" ref="D77">IFERROR([1]!CalculateHyphenString(C77),"")</f>
        <v/>
      </c>
      <c r="G77" s="26"/>
      <c r="H77" s="2"/>
      <c r="L77" s="21">
        <f t="shared" si="2"/>
        <v>0</v>
      </c>
      <c r="N77" s="21">
        <f t="shared" si="3"/>
        <v>0</v>
      </c>
      <c r="O77" s="2" cm="1">
        <f t="array" ref="O77:Q77">[1]!ConvertFeet(N77)</f>
        <v>0</v>
      </c>
      <c r="P77" s="2">
        <v>0</v>
      </c>
      <c r="Q77" s="2">
        <v>0</v>
      </c>
    </row>
    <row r="78" spans="1:17" x14ac:dyDescent="0.6">
      <c r="A78" s="35">
        <v>78</v>
      </c>
      <c r="D78" s="23" t="str" cm="1">
        <f t="array" ref="D78">IFERROR([1]!CalculateHyphenString(C78),"")</f>
        <v/>
      </c>
      <c r="G78" s="26"/>
      <c r="H78" s="2"/>
      <c r="L78" s="21">
        <f t="shared" si="2"/>
        <v>0</v>
      </c>
      <c r="N78" s="21">
        <f t="shared" si="3"/>
        <v>0</v>
      </c>
      <c r="O78" s="2" cm="1">
        <f t="array" ref="O78:Q78">[1]!ConvertFeet(N78)</f>
        <v>0</v>
      </c>
      <c r="P78" s="2">
        <v>0</v>
      </c>
      <c r="Q78" s="2">
        <v>0</v>
      </c>
    </row>
    <row r="79" spans="1:17" x14ac:dyDescent="0.6">
      <c r="A79" s="34">
        <v>79</v>
      </c>
      <c r="D79" s="23" t="str" cm="1">
        <f t="array" ref="D79">IFERROR([1]!CalculateHyphenString(C79),"")</f>
        <v/>
      </c>
      <c r="G79" s="26"/>
      <c r="H79" s="2"/>
      <c r="L79" s="21">
        <f t="shared" si="2"/>
        <v>0</v>
      </c>
      <c r="N79" s="21">
        <f t="shared" si="3"/>
        <v>0</v>
      </c>
      <c r="O79" s="2" cm="1">
        <f t="array" ref="O79:Q79">[1]!ConvertFeet(N79)</f>
        <v>0</v>
      </c>
      <c r="P79" s="2">
        <v>0</v>
      </c>
      <c r="Q79" s="2">
        <v>0</v>
      </c>
    </row>
    <row r="80" spans="1:17" x14ac:dyDescent="0.6">
      <c r="A80" s="35">
        <v>80</v>
      </c>
      <c r="D80" s="23" t="str" cm="1">
        <f t="array" ref="D80">IFERROR([1]!CalculateHyphenString(C80),"")</f>
        <v/>
      </c>
      <c r="G80" s="26"/>
      <c r="H80" s="2"/>
      <c r="L80" s="21">
        <f t="shared" si="2"/>
        <v>0</v>
      </c>
      <c r="N80" s="21">
        <f t="shared" si="3"/>
        <v>0</v>
      </c>
      <c r="O80" s="2" cm="1">
        <f t="array" ref="O80:Q80">[1]!ConvertFeet(N80)</f>
        <v>0</v>
      </c>
      <c r="P80" s="2">
        <v>0</v>
      </c>
      <c r="Q80" s="2">
        <v>0</v>
      </c>
    </row>
    <row r="81" spans="1:17" x14ac:dyDescent="0.6">
      <c r="A81" s="34">
        <v>81</v>
      </c>
      <c r="D81" s="23" t="str" cm="1">
        <f t="array" ref="D81">IFERROR([1]!CalculateHyphenString(C81),"")</f>
        <v/>
      </c>
      <c r="G81" s="26"/>
      <c r="H81" s="2"/>
      <c r="L81" s="21">
        <f t="shared" si="2"/>
        <v>0</v>
      </c>
      <c r="N81" s="21">
        <f t="shared" si="3"/>
        <v>0</v>
      </c>
      <c r="O81" s="2" cm="1">
        <f t="array" ref="O81:Q81">[1]!ConvertFeet(N81)</f>
        <v>0</v>
      </c>
      <c r="P81" s="2">
        <v>0</v>
      </c>
      <c r="Q81" s="2">
        <v>0</v>
      </c>
    </row>
    <row r="82" spans="1:17" x14ac:dyDescent="0.6">
      <c r="A82" s="35">
        <v>82</v>
      </c>
      <c r="D82" s="23" t="str" cm="1">
        <f t="array" ref="D82">IFERROR([1]!CalculateHyphenString(C82),"")</f>
        <v/>
      </c>
      <c r="G82" s="26"/>
      <c r="H82" s="2"/>
      <c r="L82" s="21">
        <f t="shared" si="2"/>
        <v>0</v>
      </c>
      <c r="N82" s="21">
        <f t="shared" si="3"/>
        <v>0</v>
      </c>
      <c r="O82" s="2" cm="1">
        <f t="array" ref="O82:Q82">[1]!ConvertFeet(N82)</f>
        <v>0</v>
      </c>
      <c r="P82" s="2">
        <v>0</v>
      </c>
      <c r="Q82" s="2">
        <v>0</v>
      </c>
    </row>
    <row r="83" spans="1:17" x14ac:dyDescent="0.6">
      <c r="A83" s="34">
        <v>83</v>
      </c>
      <c r="D83" s="23" t="str" cm="1">
        <f t="array" ref="D83">IFERROR([1]!CalculateHyphenString(C83),"")</f>
        <v/>
      </c>
      <c r="G83" s="26"/>
      <c r="H83" s="2"/>
      <c r="L83" s="21">
        <f t="shared" si="2"/>
        <v>0</v>
      </c>
      <c r="N83" s="21">
        <f t="shared" si="3"/>
        <v>0</v>
      </c>
      <c r="O83" s="2" cm="1">
        <f t="array" ref="O83:Q83">[1]!ConvertFeet(N83)</f>
        <v>0</v>
      </c>
      <c r="P83" s="2">
        <v>0</v>
      </c>
      <c r="Q83" s="2">
        <v>0</v>
      </c>
    </row>
    <row r="84" spans="1:17" x14ac:dyDescent="0.6">
      <c r="A84" s="35">
        <v>84</v>
      </c>
      <c r="D84" s="23" t="str" cm="1">
        <f t="array" ref="D84">IFERROR([1]!CalculateHyphenString(C84),"")</f>
        <v/>
      </c>
      <c r="G84" s="26"/>
      <c r="H84" s="2"/>
      <c r="L84" s="21">
        <f t="shared" si="2"/>
        <v>0</v>
      </c>
      <c r="N84" s="21">
        <f t="shared" si="3"/>
        <v>0</v>
      </c>
      <c r="O84" s="2" cm="1">
        <f t="array" ref="O84:Q84">[1]!ConvertFeet(N84)</f>
        <v>0</v>
      </c>
      <c r="P84" s="2">
        <v>0</v>
      </c>
      <c r="Q84" s="2">
        <v>0</v>
      </c>
    </row>
    <row r="85" spans="1:17" x14ac:dyDescent="0.6">
      <c r="A85" s="34">
        <v>85</v>
      </c>
      <c r="D85" s="23" t="str" cm="1">
        <f t="array" ref="D85">IFERROR([1]!CalculateHyphenString(C85),"")</f>
        <v/>
      </c>
      <c r="G85" s="26"/>
      <c r="H85" s="2"/>
      <c r="L85" s="21">
        <f t="shared" si="2"/>
        <v>0</v>
      </c>
      <c r="N85" s="21">
        <f t="shared" si="3"/>
        <v>0</v>
      </c>
      <c r="O85" s="2" cm="1">
        <f t="array" ref="O85:Q85">[1]!ConvertFeet(N85)</f>
        <v>0</v>
      </c>
      <c r="P85" s="2">
        <v>0</v>
      </c>
      <c r="Q85" s="2">
        <v>0</v>
      </c>
    </row>
    <row r="86" spans="1:17" x14ac:dyDescent="0.6">
      <c r="A86" s="35">
        <v>86</v>
      </c>
      <c r="D86" s="23" t="str" cm="1">
        <f t="array" ref="D86">IFERROR([1]!CalculateHyphenString(C86),"")</f>
        <v/>
      </c>
      <c r="G86" s="26"/>
      <c r="H86" s="2"/>
      <c r="L86" s="21">
        <f t="shared" si="2"/>
        <v>0</v>
      </c>
      <c r="N86" s="21">
        <f t="shared" si="3"/>
        <v>0</v>
      </c>
      <c r="O86" s="2" cm="1">
        <f t="array" ref="O86:Q86">[1]!ConvertFeet(N86)</f>
        <v>0</v>
      </c>
      <c r="P86" s="2">
        <v>0</v>
      </c>
      <c r="Q86" s="2">
        <v>0</v>
      </c>
    </row>
    <row r="87" spans="1:17" x14ac:dyDescent="0.6">
      <c r="A87" s="34">
        <v>87</v>
      </c>
      <c r="D87" s="23" t="str" cm="1">
        <f t="array" ref="D87">IFERROR([1]!CalculateHyphenString(C87),"")</f>
        <v/>
      </c>
      <c r="G87" s="26"/>
      <c r="H87" s="2"/>
      <c r="L87" s="21">
        <f t="shared" si="2"/>
        <v>0</v>
      </c>
      <c r="N87" s="21">
        <f t="shared" si="3"/>
        <v>0</v>
      </c>
      <c r="O87" s="2" cm="1">
        <f t="array" ref="O87:Q87">[1]!ConvertFeet(N87)</f>
        <v>0</v>
      </c>
      <c r="P87" s="2">
        <v>0</v>
      </c>
      <c r="Q87" s="2">
        <v>0</v>
      </c>
    </row>
    <row r="88" spans="1:17" x14ac:dyDescent="0.6">
      <c r="A88" s="35">
        <v>88</v>
      </c>
      <c r="D88" s="23" t="str" cm="1">
        <f t="array" ref="D88">IFERROR([1]!CalculateHyphenString(C88),"")</f>
        <v/>
      </c>
      <c r="G88" s="26"/>
      <c r="H88" s="2"/>
      <c r="L88" s="21">
        <f t="shared" si="2"/>
        <v>0</v>
      </c>
      <c r="N88" s="21">
        <f t="shared" si="3"/>
        <v>0</v>
      </c>
      <c r="O88" s="2" cm="1">
        <f t="array" ref="O88:Q88">[1]!ConvertFeet(N88)</f>
        <v>0</v>
      </c>
      <c r="P88" s="2">
        <v>0</v>
      </c>
      <c r="Q88" s="2">
        <v>0</v>
      </c>
    </row>
    <row r="89" spans="1:17" x14ac:dyDescent="0.6">
      <c r="A89" s="34">
        <v>89</v>
      </c>
      <c r="D89" s="23" t="str" cm="1">
        <f t="array" ref="D89">IFERROR([1]!CalculateHyphenString(C89),"")</f>
        <v/>
      </c>
      <c r="G89" s="26"/>
      <c r="H89" s="2"/>
      <c r="L89" s="21">
        <f t="shared" si="2"/>
        <v>0</v>
      </c>
      <c r="N89" s="21">
        <f t="shared" si="3"/>
        <v>0</v>
      </c>
      <c r="O89" s="2" cm="1">
        <f t="array" ref="O89:Q89">[1]!ConvertFeet(N89)</f>
        <v>0</v>
      </c>
      <c r="P89" s="2">
        <v>0</v>
      </c>
      <c r="Q89" s="2">
        <v>0</v>
      </c>
    </row>
    <row r="90" spans="1:17" x14ac:dyDescent="0.6">
      <c r="A90" s="35">
        <v>90</v>
      </c>
      <c r="D90" s="23" t="str" cm="1">
        <f t="array" ref="D90">IFERROR([1]!CalculateHyphenString(C90),"")</f>
        <v/>
      </c>
      <c r="G90" s="26"/>
      <c r="H90" s="2"/>
      <c r="L90" s="21">
        <f t="shared" si="2"/>
        <v>0</v>
      </c>
      <c r="N90" s="21">
        <f t="shared" si="3"/>
        <v>0</v>
      </c>
      <c r="O90" s="2" cm="1">
        <f t="array" ref="O90:Q90">[1]!ConvertFeet(N90)</f>
        <v>0</v>
      </c>
      <c r="P90" s="2">
        <v>0</v>
      </c>
      <c r="Q90" s="2">
        <v>0</v>
      </c>
    </row>
    <row r="91" spans="1:17" x14ac:dyDescent="0.6">
      <c r="A91" s="34">
        <v>91</v>
      </c>
      <c r="D91" s="23" t="str" cm="1">
        <f t="array" ref="D91">IFERROR([1]!CalculateHyphenString(C91),"")</f>
        <v/>
      </c>
      <c r="G91" s="26"/>
      <c r="H91" s="2"/>
      <c r="L91" s="21">
        <f t="shared" si="2"/>
        <v>0</v>
      </c>
      <c r="N91" s="21">
        <f t="shared" si="3"/>
        <v>0</v>
      </c>
      <c r="O91" s="2" cm="1">
        <f t="array" ref="O91:Q91">[1]!ConvertFeet(N91)</f>
        <v>0</v>
      </c>
      <c r="P91" s="2">
        <v>0</v>
      </c>
      <c r="Q91" s="2">
        <v>0</v>
      </c>
    </row>
    <row r="92" spans="1:17" x14ac:dyDescent="0.6">
      <c r="A92" s="35">
        <v>92</v>
      </c>
      <c r="D92" s="23" t="str" cm="1">
        <f t="array" ref="D92">IFERROR([1]!CalculateHyphenString(C92),"")</f>
        <v/>
      </c>
      <c r="G92" s="26"/>
      <c r="H92" s="2"/>
      <c r="L92" s="21">
        <f t="shared" si="2"/>
        <v>0</v>
      </c>
      <c r="N92" s="21">
        <f t="shared" si="3"/>
        <v>0</v>
      </c>
      <c r="O92" s="2" cm="1">
        <f t="array" ref="O92:Q92">[1]!ConvertFeet(N92)</f>
        <v>0</v>
      </c>
      <c r="P92" s="2">
        <v>0</v>
      </c>
      <c r="Q92" s="2">
        <v>0</v>
      </c>
    </row>
    <row r="93" spans="1:17" x14ac:dyDescent="0.6">
      <c r="A93" s="34">
        <v>93</v>
      </c>
      <c r="D93" s="23" t="str" cm="1">
        <f t="array" ref="D93">IFERROR([1]!CalculateHyphenString(C93),"")</f>
        <v/>
      </c>
      <c r="G93" s="26"/>
      <c r="H93" s="2"/>
      <c r="L93" s="21">
        <f t="shared" si="2"/>
        <v>0</v>
      </c>
      <c r="N93" s="21">
        <f t="shared" si="3"/>
        <v>0</v>
      </c>
      <c r="O93" s="2" cm="1">
        <f t="array" ref="O93:Q93">[1]!ConvertFeet(N93)</f>
        <v>0</v>
      </c>
      <c r="P93" s="2">
        <v>0</v>
      </c>
      <c r="Q93" s="2">
        <v>0</v>
      </c>
    </row>
    <row r="94" spans="1:17" x14ac:dyDescent="0.6">
      <c r="A94" s="35">
        <v>94</v>
      </c>
      <c r="D94" s="23" t="str" cm="1">
        <f t="array" ref="D94">IFERROR([1]!CalculateHyphenString(C94),"")</f>
        <v/>
      </c>
      <c r="G94" s="26"/>
      <c r="H94" s="2"/>
      <c r="L94" s="21">
        <f t="shared" si="2"/>
        <v>0</v>
      </c>
      <c r="N94" s="21">
        <f t="shared" si="3"/>
        <v>0</v>
      </c>
      <c r="O94" s="2" cm="1">
        <f t="array" ref="O94:Q94">[1]!ConvertFeet(N94)</f>
        <v>0</v>
      </c>
      <c r="P94" s="2">
        <v>0</v>
      </c>
      <c r="Q94" s="2">
        <v>0</v>
      </c>
    </row>
    <row r="95" spans="1:17" x14ac:dyDescent="0.6">
      <c r="A95" s="34">
        <v>95</v>
      </c>
      <c r="D95" s="23" t="str" cm="1">
        <f t="array" ref="D95">IFERROR([1]!CalculateHyphenString(C95),"")</f>
        <v/>
      </c>
      <c r="G95" s="26"/>
      <c r="H95" s="2"/>
      <c r="L95" s="21">
        <f t="shared" si="2"/>
        <v>0</v>
      </c>
      <c r="N95" s="21">
        <f t="shared" si="3"/>
        <v>0</v>
      </c>
      <c r="O95" s="2" cm="1">
        <f t="array" ref="O95:Q95">[1]!ConvertFeet(N95)</f>
        <v>0</v>
      </c>
      <c r="P95" s="2">
        <v>0</v>
      </c>
      <c r="Q95" s="2">
        <v>0</v>
      </c>
    </row>
    <row r="96" spans="1:17" x14ac:dyDescent="0.6">
      <c r="A96" s="35">
        <v>96</v>
      </c>
      <c r="D96" s="23" t="str" cm="1">
        <f t="array" ref="D96">IFERROR([1]!CalculateHyphenString(C96),"")</f>
        <v/>
      </c>
      <c r="G96" s="26"/>
      <c r="H96" s="2"/>
      <c r="L96" s="21">
        <f t="shared" si="2"/>
        <v>0</v>
      </c>
      <c r="N96" s="21">
        <f t="shared" si="3"/>
        <v>0</v>
      </c>
      <c r="O96" s="2" cm="1">
        <f t="array" ref="O96:Q96">[1]!ConvertFeet(N96)</f>
        <v>0</v>
      </c>
      <c r="P96" s="2">
        <v>0</v>
      </c>
      <c r="Q96" s="2">
        <v>0</v>
      </c>
    </row>
    <row r="97" spans="1:17" x14ac:dyDescent="0.6">
      <c r="A97" s="34">
        <v>97</v>
      </c>
      <c r="D97" s="23" t="str" cm="1">
        <f t="array" ref="D97">IFERROR([1]!CalculateHyphenString(C97),"")</f>
        <v/>
      </c>
      <c r="G97" s="26"/>
      <c r="H97" s="2"/>
      <c r="L97" s="21">
        <f t="shared" si="2"/>
        <v>0</v>
      </c>
      <c r="N97" s="21">
        <f t="shared" si="3"/>
        <v>0</v>
      </c>
      <c r="O97" s="2" cm="1">
        <f t="array" ref="O97:Q97">[1]!ConvertFeet(N97)</f>
        <v>0</v>
      </c>
      <c r="P97" s="2">
        <v>0</v>
      </c>
      <c r="Q97" s="2">
        <v>0</v>
      </c>
    </row>
    <row r="98" spans="1:17" x14ac:dyDescent="0.6">
      <c r="A98" s="35">
        <v>98</v>
      </c>
      <c r="D98" s="23" t="str" cm="1">
        <f t="array" ref="D98">IFERROR([1]!CalculateHyphenString(C98),"")</f>
        <v/>
      </c>
      <c r="G98" s="26"/>
      <c r="H98" s="2"/>
      <c r="L98" s="21">
        <f t="shared" si="2"/>
        <v>0</v>
      </c>
      <c r="N98" s="21">
        <f t="shared" si="3"/>
        <v>0</v>
      </c>
      <c r="O98" s="2" cm="1">
        <f t="array" ref="O98:Q98">[1]!ConvertFeet(N98)</f>
        <v>0</v>
      </c>
      <c r="P98" s="2">
        <v>0</v>
      </c>
      <c r="Q98" s="2">
        <v>0</v>
      </c>
    </row>
    <row r="99" spans="1:17" x14ac:dyDescent="0.6">
      <c r="A99" s="34">
        <v>99</v>
      </c>
      <c r="D99" s="23" t="str" cm="1">
        <f t="array" ref="D99">IFERROR([1]!CalculateHyphenString(C99),"")</f>
        <v/>
      </c>
      <c r="G99" s="26"/>
      <c r="H99" s="2"/>
      <c r="L99" s="21">
        <f t="shared" si="2"/>
        <v>0</v>
      </c>
      <c r="N99" s="21">
        <f t="shared" si="3"/>
        <v>0</v>
      </c>
      <c r="O99" s="2" cm="1">
        <f t="array" ref="O99:Q99">[1]!ConvertFeet(N99)</f>
        <v>0</v>
      </c>
      <c r="P99" s="2">
        <v>0</v>
      </c>
      <c r="Q99" s="2">
        <v>0</v>
      </c>
    </row>
    <row r="100" spans="1:17" x14ac:dyDescent="0.6">
      <c r="A100" s="35">
        <v>100</v>
      </c>
      <c r="D100" s="23" t="str" cm="1">
        <f t="array" ref="D100">IFERROR([1]!CalculateHyphenString(C100),"")</f>
        <v/>
      </c>
      <c r="G100" s="26"/>
      <c r="H100" s="2"/>
      <c r="L100" s="21">
        <f t="shared" si="2"/>
        <v>0</v>
      </c>
      <c r="N100" s="21">
        <f t="shared" si="3"/>
        <v>0</v>
      </c>
      <c r="O100" s="2" cm="1">
        <f t="array" ref="O100:Q100">[1]!ConvertFeet(N100)</f>
        <v>0</v>
      </c>
      <c r="P100" s="2">
        <v>0</v>
      </c>
      <c r="Q100" s="2">
        <v>0</v>
      </c>
    </row>
    <row r="101" spans="1:17" x14ac:dyDescent="0.6">
      <c r="A101" s="34">
        <v>101</v>
      </c>
      <c r="D101" s="23" t="str" cm="1">
        <f t="array" ref="D101">IFERROR([1]!CalculateHyphenString(C101),"")</f>
        <v/>
      </c>
      <c r="G101" s="26"/>
      <c r="H101" s="2"/>
      <c r="L101" s="21">
        <f t="shared" si="2"/>
        <v>0</v>
      </c>
      <c r="N101" s="21">
        <f t="shared" si="3"/>
        <v>0</v>
      </c>
      <c r="O101" s="2" cm="1">
        <f t="array" ref="O101:Q101">[1]!ConvertFeet(N101)</f>
        <v>0</v>
      </c>
      <c r="P101" s="2">
        <v>0</v>
      </c>
      <c r="Q101" s="2">
        <v>0</v>
      </c>
    </row>
    <row r="102" spans="1:17" x14ac:dyDescent="0.6">
      <c r="A102" s="35">
        <v>102</v>
      </c>
      <c r="D102" s="23" t="str" cm="1">
        <f t="array" ref="D102">IFERROR([1]!CalculateHyphenString(C102),"")</f>
        <v/>
      </c>
      <c r="G102" s="26"/>
      <c r="H102" s="2"/>
      <c r="L102" s="21">
        <f t="shared" si="2"/>
        <v>0</v>
      </c>
      <c r="N102" s="21">
        <f t="shared" si="3"/>
        <v>0</v>
      </c>
      <c r="O102" s="2" cm="1">
        <f t="array" ref="O102:Q102">[1]!ConvertFeet(N102)</f>
        <v>0</v>
      </c>
      <c r="P102" s="2">
        <v>0</v>
      </c>
      <c r="Q102" s="2">
        <v>0</v>
      </c>
    </row>
    <row r="103" spans="1:17" x14ac:dyDescent="0.6">
      <c r="A103" s="34">
        <v>103</v>
      </c>
      <c r="D103" s="23" t="str" cm="1">
        <f t="array" ref="D103">IFERROR([1]!CalculateHyphenString(C103),"")</f>
        <v/>
      </c>
      <c r="G103" s="26"/>
      <c r="H103" s="2"/>
      <c r="L103" s="21">
        <f t="shared" si="2"/>
        <v>0</v>
      </c>
      <c r="N103" s="21">
        <f t="shared" si="3"/>
        <v>0</v>
      </c>
      <c r="O103" s="2" cm="1">
        <f t="array" ref="O103:Q103">[1]!ConvertFeet(N103)</f>
        <v>0</v>
      </c>
      <c r="P103" s="2">
        <v>0</v>
      </c>
      <c r="Q103" s="2">
        <v>0</v>
      </c>
    </row>
    <row r="104" spans="1:17" x14ac:dyDescent="0.6">
      <c r="A104" s="35">
        <v>104</v>
      </c>
      <c r="D104" s="23" t="str" cm="1">
        <f t="array" ref="D104">IFERROR([1]!CalculateHyphenString(C104),"")</f>
        <v/>
      </c>
      <c r="G104" s="26"/>
      <c r="H104" s="2"/>
      <c r="L104" s="21">
        <f t="shared" si="2"/>
        <v>0</v>
      </c>
      <c r="N104" s="21">
        <f t="shared" si="3"/>
        <v>0</v>
      </c>
      <c r="O104" s="2" cm="1">
        <f t="array" ref="O104:Q104">[1]!ConvertFeet(N104)</f>
        <v>0</v>
      </c>
      <c r="P104" s="2">
        <v>0</v>
      </c>
      <c r="Q104" s="2">
        <v>0</v>
      </c>
    </row>
    <row r="105" spans="1:17" x14ac:dyDescent="0.6">
      <c r="A105" s="34">
        <v>105</v>
      </c>
      <c r="D105" s="23" t="str" cm="1">
        <f t="array" ref="D105">IFERROR([1]!CalculateHyphenString(C105),"")</f>
        <v/>
      </c>
      <c r="G105" s="26"/>
      <c r="H105" s="2"/>
      <c r="L105" s="21">
        <f t="shared" si="2"/>
        <v>0</v>
      </c>
      <c r="N105" s="21">
        <f t="shared" si="3"/>
        <v>0</v>
      </c>
      <c r="O105" s="2" cm="1">
        <f t="array" ref="O105:Q105">[1]!ConvertFeet(N105)</f>
        <v>0</v>
      </c>
      <c r="P105" s="2">
        <v>0</v>
      </c>
      <c r="Q105" s="2">
        <v>0</v>
      </c>
    </row>
    <row r="106" spans="1:17" x14ac:dyDescent="0.6">
      <c r="A106" s="35">
        <v>106</v>
      </c>
      <c r="D106" s="23" t="str" cm="1">
        <f t="array" ref="D106">IFERROR([1]!CalculateHyphenString(C106),"")</f>
        <v/>
      </c>
      <c r="G106" s="26"/>
      <c r="H106" s="2"/>
      <c r="L106" s="21">
        <f t="shared" si="2"/>
        <v>0</v>
      </c>
      <c r="N106" s="21">
        <f t="shared" si="3"/>
        <v>0</v>
      </c>
      <c r="O106" s="2" cm="1">
        <f t="array" ref="O106:Q106">[1]!ConvertFeet(N106)</f>
        <v>0</v>
      </c>
      <c r="P106" s="2">
        <v>0</v>
      </c>
      <c r="Q106" s="2">
        <v>0</v>
      </c>
    </row>
    <row r="107" spans="1:17" x14ac:dyDescent="0.6">
      <c r="A107" s="34">
        <v>107</v>
      </c>
      <c r="D107" s="23" t="str" cm="1">
        <f t="array" ref="D107">IFERROR([1]!CalculateHyphenString(C107),"")</f>
        <v/>
      </c>
      <c r="G107" s="26"/>
      <c r="H107" s="2"/>
      <c r="L107" s="21">
        <f t="shared" si="2"/>
        <v>0</v>
      </c>
      <c r="N107" s="21">
        <f t="shared" si="3"/>
        <v>0</v>
      </c>
      <c r="O107" s="2" cm="1">
        <f t="array" ref="O107:Q107">[1]!ConvertFeet(N107)</f>
        <v>0</v>
      </c>
      <c r="P107" s="2">
        <v>0</v>
      </c>
      <c r="Q107" s="2">
        <v>0</v>
      </c>
    </row>
    <row r="108" spans="1:17" x14ac:dyDescent="0.6">
      <c r="A108" s="35">
        <v>108</v>
      </c>
      <c r="D108" s="23" t="str" cm="1">
        <f t="array" ref="D108">IFERROR([1]!CalculateHyphenString(C108),"")</f>
        <v/>
      </c>
      <c r="G108" s="26"/>
      <c r="H108" s="2"/>
      <c r="L108" s="21">
        <f t="shared" si="2"/>
        <v>0</v>
      </c>
      <c r="N108" s="21">
        <f t="shared" si="3"/>
        <v>0</v>
      </c>
      <c r="O108" s="2" cm="1">
        <f t="array" ref="O108:Q108">[1]!ConvertFeet(N108)</f>
        <v>0</v>
      </c>
      <c r="P108" s="2">
        <v>0</v>
      </c>
      <c r="Q108" s="2">
        <v>0</v>
      </c>
    </row>
    <row r="109" spans="1:17" x14ac:dyDescent="0.6">
      <c r="A109" s="34">
        <v>109</v>
      </c>
      <c r="D109" s="23" t="str" cm="1">
        <f t="array" ref="D109">IFERROR([1]!CalculateHyphenString(C109),"")</f>
        <v/>
      </c>
      <c r="G109" s="26"/>
      <c r="H109" s="2"/>
      <c r="L109" s="21">
        <f t="shared" si="2"/>
        <v>0</v>
      </c>
      <c r="N109" s="21">
        <f t="shared" si="3"/>
        <v>0</v>
      </c>
      <c r="O109" s="2" cm="1">
        <f t="array" ref="O109:Q109">[1]!ConvertFeet(N109)</f>
        <v>0</v>
      </c>
      <c r="P109" s="2">
        <v>0</v>
      </c>
      <c r="Q109" s="2">
        <v>0</v>
      </c>
    </row>
    <row r="110" spans="1:17" x14ac:dyDescent="0.6">
      <c r="A110" s="35">
        <v>110</v>
      </c>
      <c r="D110" s="23" t="str" cm="1">
        <f t="array" ref="D110">IFERROR([1]!CalculateHyphenString(C110),"")</f>
        <v/>
      </c>
      <c r="G110" s="26"/>
      <c r="H110" s="2"/>
      <c r="L110" s="21">
        <f t="shared" si="2"/>
        <v>0</v>
      </c>
      <c r="N110" s="21">
        <f t="shared" si="3"/>
        <v>0</v>
      </c>
      <c r="O110" s="2" cm="1">
        <f t="array" ref="O110:Q110">[1]!ConvertFeet(N110)</f>
        <v>0</v>
      </c>
      <c r="P110" s="2">
        <v>0</v>
      </c>
      <c r="Q110" s="2">
        <v>0</v>
      </c>
    </row>
    <row r="111" spans="1:17" x14ac:dyDescent="0.6">
      <c r="A111" s="34">
        <v>111</v>
      </c>
      <c r="D111" s="23" t="str" cm="1">
        <f t="array" ref="D111">IFERROR([1]!CalculateHyphenString(C111),"")</f>
        <v/>
      </c>
      <c r="G111" s="26"/>
      <c r="H111" s="2"/>
      <c r="L111" s="21">
        <f t="shared" si="2"/>
        <v>0</v>
      </c>
      <c r="N111" s="21">
        <f t="shared" si="3"/>
        <v>0</v>
      </c>
      <c r="O111" s="2" cm="1">
        <f t="array" ref="O111:Q111">[1]!ConvertFeet(N111)</f>
        <v>0</v>
      </c>
      <c r="P111" s="2">
        <v>0</v>
      </c>
      <c r="Q111" s="2">
        <v>0</v>
      </c>
    </row>
    <row r="112" spans="1:17" x14ac:dyDescent="0.6">
      <c r="A112" s="35">
        <v>112</v>
      </c>
      <c r="D112" s="23" t="str" cm="1">
        <f t="array" ref="D112">IFERROR([1]!CalculateHyphenString(C112),"")</f>
        <v/>
      </c>
      <c r="G112" s="26"/>
      <c r="H112" s="2"/>
      <c r="L112" s="21">
        <f t="shared" si="2"/>
        <v>0</v>
      </c>
      <c r="N112" s="21">
        <f t="shared" si="3"/>
        <v>0</v>
      </c>
      <c r="O112" s="2" cm="1">
        <f t="array" ref="O112:Q112">[1]!ConvertFeet(N112)</f>
        <v>0</v>
      </c>
      <c r="P112" s="2">
        <v>0</v>
      </c>
      <c r="Q112" s="2">
        <v>0</v>
      </c>
    </row>
    <row r="113" spans="1:17" x14ac:dyDescent="0.6">
      <c r="A113" s="34">
        <v>113</v>
      </c>
      <c r="D113" s="23" t="str" cm="1">
        <f t="array" ref="D113">IFERROR([1]!CalculateHyphenString(C113),"")</f>
        <v/>
      </c>
      <c r="G113" s="26"/>
      <c r="H113" s="2"/>
      <c r="L113" s="21">
        <f t="shared" si="2"/>
        <v>0</v>
      </c>
      <c r="N113" s="21">
        <f t="shared" si="3"/>
        <v>0</v>
      </c>
      <c r="O113" s="2" cm="1">
        <f t="array" ref="O113:Q113">[1]!ConvertFeet(N113)</f>
        <v>0</v>
      </c>
      <c r="P113" s="2">
        <v>0</v>
      </c>
      <c r="Q113" s="2">
        <v>0</v>
      </c>
    </row>
    <row r="114" spans="1:17" x14ac:dyDescent="0.6">
      <c r="A114" s="35">
        <v>114</v>
      </c>
      <c r="D114" s="23" t="str" cm="1">
        <f t="array" ref="D114">IFERROR([1]!CalculateHyphenString(C114),"")</f>
        <v/>
      </c>
      <c r="G114" s="26"/>
      <c r="H114" s="2"/>
      <c r="L114" s="21">
        <f t="shared" si="2"/>
        <v>0</v>
      </c>
      <c r="N114" s="21">
        <f t="shared" si="3"/>
        <v>0</v>
      </c>
      <c r="O114" s="2" cm="1">
        <f t="array" ref="O114:Q114">[1]!ConvertFeet(N114)</f>
        <v>0</v>
      </c>
      <c r="P114" s="2">
        <v>0</v>
      </c>
      <c r="Q114" s="2">
        <v>0</v>
      </c>
    </row>
    <row r="115" spans="1:17" x14ac:dyDescent="0.6">
      <c r="A115" s="34">
        <v>115</v>
      </c>
      <c r="D115" s="23" t="str" cm="1">
        <f t="array" ref="D115">IFERROR([1]!CalculateHyphenString(C115),"")</f>
        <v/>
      </c>
      <c r="G115" s="26"/>
      <c r="H115" s="2"/>
      <c r="L115" s="21">
        <f t="shared" si="2"/>
        <v>0</v>
      </c>
      <c r="N115" s="21">
        <f t="shared" si="3"/>
        <v>0</v>
      </c>
      <c r="O115" s="2" cm="1">
        <f t="array" ref="O115:Q115">[1]!ConvertFeet(N115)</f>
        <v>0</v>
      </c>
      <c r="P115" s="2">
        <v>0</v>
      </c>
      <c r="Q115" s="2">
        <v>0</v>
      </c>
    </row>
    <row r="116" spans="1:17" x14ac:dyDescent="0.6">
      <c r="A116" s="35">
        <v>116</v>
      </c>
      <c r="D116" s="23" t="str" cm="1">
        <f t="array" ref="D116">IFERROR([1]!CalculateHyphenString(C116),"")</f>
        <v/>
      </c>
      <c r="G116" s="26"/>
      <c r="H116" s="2"/>
      <c r="L116" s="21">
        <f t="shared" si="2"/>
        <v>0</v>
      </c>
      <c r="N116" s="21">
        <f t="shared" si="3"/>
        <v>0</v>
      </c>
      <c r="O116" s="2" cm="1">
        <f t="array" ref="O116:Q116">[1]!ConvertFeet(N116)</f>
        <v>0</v>
      </c>
      <c r="P116" s="2">
        <v>0</v>
      </c>
      <c r="Q116" s="2">
        <v>0</v>
      </c>
    </row>
    <row r="117" spans="1:17" x14ac:dyDescent="0.6">
      <c r="A117" s="34">
        <v>117</v>
      </c>
      <c r="D117" s="23" t="str" cm="1">
        <f t="array" ref="D117">IFERROR([1]!CalculateHyphenString(C117),"")</f>
        <v/>
      </c>
      <c r="G117" s="26"/>
      <c r="H117" s="2"/>
      <c r="L117" s="21">
        <f t="shared" si="2"/>
        <v>0</v>
      </c>
      <c r="N117" s="21">
        <f t="shared" si="3"/>
        <v>0</v>
      </c>
      <c r="O117" s="2" cm="1">
        <f t="array" ref="O117:Q117">[1]!ConvertFeet(N117)</f>
        <v>0</v>
      </c>
      <c r="P117" s="2">
        <v>0</v>
      </c>
      <c r="Q117" s="2">
        <v>0</v>
      </c>
    </row>
    <row r="118" spans="1:17" x14ac:dyDescent="0.6">
      <c r="A118" s="35">
        <v>118</v>
      </c>
      <c r="D118" s="23" t="str" cm="1">
        <f t="array" ref="D118">IFERROR([1]!CalculateHyphenString(C118),"")</f>
        <v/>
      </c>
      <c r="G118" s="26"/>
      <c r="H118" s="2"/>
      <c r="L118" s="21">
        <f t="shared" si="2"/>
        <v>0</v>
      </c>
      <c r="N118" s="21">
        <f t="shared" si="3"/>
        <v>0</v>
      </c>
      <c r="O118" s="2" cm="1">
        <f t="array" ref="O118:Q118">[1]!ConvertFeet(N118)</f>
        <v>0</v>
      </c>
      <c r="P118" s="2">
        <v>0</v>
      </c>
      <c r="Q118" s="2">
        <v>0</v>
      </c>
    </row>
    <row r="119" spans="1:17" x14ac:dyDescent="0.6">
      <c r="A119" s="34">
        <v>119</v>
      </c>
      <c r="D119" s="23" t="str" cm="1">
        <f t="array" ref="D119">IFERROR([1]!CalculateHyphenString(C119),"")</f>
        <v/>
      </c>
      <c r="G119" s="26"/>
      <c r="H119" s="2"/>
      <c r="L119" s="21">
        <f t="shared" si="2"/>
        <v>0</v>
      </c>
      <c r="N119" s="21">
        <f t="shared" si="3"/>
        <v>0</v>
      </c>
      <c r="O119" s="2" cm="1">
        <f t="array" ref="O119:Q119">[1]!ConvertFeet(N119)</f>
        <v>0</v>
      </c>
      <c r="P119" s="2">
        <v>0</v>
      </c>
      <c r="Q119" s="2">
        <v>0</v>
      </c>
    </row>
    <row r="120" spans="1:17" x14ac:dyDescent="0.6">
      <c r="A120" s="35">
        <v>120</v>
      </c>
      <c r="D120" s="23" t="str" cm="1">
        <f t="array" ref="D120">IFERROR([1]!CalculateHyphenString(C120),"")</f>
        <v/>
      </c>
      <c r="G120" s="26"/>
      <c r="H120" s="2"/>
      <c r="L120" s="21">
        <f t="shared" si="2"/>
        <v>0</v>
      </c>
      <c r="N120" s="21">
        <f t="shared" si="3"/>
        <v>0</v>
      </c>
      <c r="O120" s="2" cm="1">
        <f t="array" ref="O120:Q120">[1]!ConvertFeet(N120)</f>
        <v>0</v>
      </c>
      <c r="P120" s="2">
        <v>0</v>
      </c>
      <c r="Q120" s="2">
        <v>0</v>
      </c>
    </row>
    <row r="121" spans="1:17" x14ac:dyDescent="0.6">
      <c r="A121" s="34">
        <v>121</v>
      </c>
      <c r="D121" s="23" t="str" cm="1">
        <f t="array" ref="D121">IFERROR([1]!CalculateHyphenString(C121),"")</f>
        <v/>
      </c>
      <c r="G121" s="26"/>
      <c r="H121" s="2"/>
      <c r="L121" s="21">
        <f t="shared" si="2"/>
        <v>0</v>
      </c>
      <c r="N121" s="21">
        <f t="shared" si="3"/>
        <v>0</v>
      </c>
      <c r="O121" s="2" cm="1">
        <f t="array" ref="O121:Q121">[1]!ConvertFeet(N121)</f>
        <v>0</v>
      </c>
      <c r="P121" s="2">
        <v>0</v>
      </c>
      <c r="Q121" s="2">
        <v>0</v>
      </c>
    </row>
    <row r="122" spans="1:17" x14ac:dyDescent="0.6">
      <c r="A122" s="35">
        <v>122</v>
      </c>
      <c r="D122" s="23" t="str" cm="1">
        <f t="array" ref="D122">IFERROR([1]!CalculateHyphenString(C122),"")</f>
        <v/>
      </c>
      <c r="G122" s="26"/>
      <c r="H122" s="2"/>
      <c r="L122" s="21">
        <f t="shared" si="2"/>
        <v>0</v>
      </c>
      <c r="N122" s="21">
        <f t="shared" si="3"/>
        <v>0</v>
      </c>
      <c r="O122" s="2" cm="1">
        <f t="array" ref="O122:Q122">[1]!ConvertFeet(N122)</f>
        <v>0</v>
      </c>
      <c r="P122" s="2">
        <v>0</v>
      </c>
      <c r="Q122" s="2">
        <v>0</v>
      </c>
    </row>
    <row r="123" spans="1:17" x14ac:dyDescent="0.6">
      <c r="A123" s="34">
        <v>123</v>
      </c>
      <c r="D123" s="23" t="str" cm="1">
        <f t="array" ref="D123">IFERROR([1]!CalculateHyphenString(C123),"")</f>
        <v/>
      </c>
      <c r="G123" s="26"/>
      <c r="H123" s="2"/>
      <c r="L123" s="21">
        <f t="shared" si="2"/>
        <v>0</v>
      </c>
      <c r="N123" s="21">
        <f t="shared" si="3"/>
        <v>0</v>
      </c>
      <c r="O123" s="2" cm="1">
        <f t="array" ref="O123:Q123">[1]!ConvertFeet(N123)</f>
        <v>0</v>
      </c>
      <c r="P123" s="2">
        <v>0</v>
      </c>
      <c r="Q123" s="2">
        <v>0</v>
      </c>
    </row>
    <row r="124" spans="1:17" x14ac:dyDescent="0.6">
      <c r="A124" s="35">
        <v>124</v>
      </c>
      <c r="D124" s="23" t="str" cm="1">
        <f t="array" ref="D124">IFERROR([1]!CalculateHyphenString(C124),"")</f>
        <v/>
      </c>
      <c r="G124" s="26"/>
      <c r="H124" s="2"/>
      <c r="L124" s="21">
        <f t="shared" si="2"/>
        <v>0</v>
      </c>
      <c r="N124" s="21">
        <f t="shared" si="3"/>
        <v>0</v>
      </c>
      <c r="O124" s="2" cm="1">
        <f t="array" ref="O124:Q124">[1]!ConvertFeet(N124)</f>
        <v>0</v>
      </c>
      <c r="P124" s="2">
        <v>0</v>
      </c>
      <c r="Q124" s="2">
        <v>0</v>
      </c>
    </row>
    <row r="125" spans="1:17" x14ac:dyDescent="0.6">
      <c r="A125" s="34">
        <v>125</v>
      </c>
      <c r="D125" s="23" t="str" cm="1">
        <f t="array" ref="D125">IFERROR([1]!CalculateHyphenString(C125),"")</f>
        <v/>
      </c>
      <c r="G125" s="26"/>
      <c r="H125" s="2"/>
      <c r="L125" s="21">
        <f t="shared" si="2"/>
        <v>0</v>
      </c>
      <c r="N125" s="21">
        <f t="shared" si="3"/>
        <v>0</v>
      </c>
      <c r="O125" s="2" cm="1">
        <f t="array" ref="O125:Q125">[1]!ConvertFeet(N125)</f>
        <v>0</v>
      </c>
      <c r="P125" s="2">
        <v>0</v>
      </c>
      <c r="Q125" s="2">
        <v>0</v>
      </c>
    </row>
    <row r="126" spans="1:17" x14ac:dyDescent="0.6">
      <c r="A126" s="35">
        <v>126</v>
      </c>
      <c r="D126" s="23" t="str" cm="1">
        <f t="array" ref="D126">IFERROR([1]!CalculateHyphenString(C126),"")</f>
        <v/>
      </c>
      <c r="G126" s="26"/>
      <c r="H126" s="2"/>
      <c r="L126" s="21">
        <f t="shared" si="2"/>
        <v>0</v>
      </c>
      <c r="N126" s="21">
        <f t="shared" si="3"/>
        <v>0</v>
      </c>
      <c r="O126" s="2" cm="1">
        <f t="array" ref="O126:Q126">[1]!ConvertFeet(N126)</f>
        <v>0</v>
      </c>
      <c r="P126" s="2">
        <v>0</v>
      </c>
      <c r="Q126" s="2">
        <v>0</v>
      </c>
    </row>
    <row r="127" spans="1:17" x14ac:dyDescent="0.6">
      <c r="A127" s="34">
        <v>127</v>
      </c>
      <c r="D127" s="23" t="str" cm="1">
        <f t="array" ref="D127">IFERROR([1]!CalculateHyphenString(C127),"")</f>
        <v/>
      </c>
      <c r="G127" s="26"/>
      <c r="H127" s="2"/>
      <c r="L127" s="21">
        <f t="shared" si="2"/>
        <v>0</v>
      </c>
      <c r="N127" s="21">
        <f t="shared" si="3"/>
        <v>0</v>
      </c>
      <c r="O127" s="2" cm="1">
        <f t="array" ref="O127:Q127">[1]!ConvertFeet(N127)</f>
        <v>0</v>
      </c>
      <c r="P127" s="2">
        <v>0</v>
      </c>
      <c r="Q127" s="2">
        <v>0</v>
      </c>
    </row>
    <row r="128" spans="1:17" x14ac:dyDescent="0.6">
      <c r="A128" s="35">
        <v>128</v>
      </c>
      <c r="D128" s="23" t="str" cm="1">
        <f t="array" ref="D128">IFERROR([1]!CalculateHyphenString(C128),"")</f>
        <v/>
      </c>
      <c r="G128" s="26"/>
      <c r="H128" s="2"/>
      <c r="L128" s="21">
        <f t="shared" si="2"/>
        <v>0</v>
      </c>
      <c r="N128" s="21">
        <f t="shared" si="3"/>
        <v>0</v>
      </c>
      <c r="O128" s="2" cm="1">
        <f t="array" ref="O128:Q128">[1]!ConvertFeet(N128)</f>
        <v>0</v>
      </c>
      <c r="P128" s="2">
        <v>0</v>
      </c>
      <c r="Q128" s="2">
        <v>0</v>
      </c>
    </row>
    <row r="129" spans="1:17" x14ac:dyDescent="0.6">
      <c r="A129" s="34">
        <v>129</v>
      </c>
      <c r="D129" s="23" t="str" cm="1">
        <f t="array" ref="D129">IFERROR([1]!CalculateHyphenString(C129),"")</f>
        <v/>
      </c>
      <c r="G129" s="26"/>
      <c r="H129" s="2"/>
      <c r="L129" s="21">
        <f t="shared" si="2"/>
        <v>0</v>
      </c>
      <c r="N129" s="21">
        <f t="shared" si="3"/>
        <v>0</v>
      </c>
      <c r="O129" s="2" cm="1">
        <f t="array" ref="O129:Q129">[1]!ConvertFeet(N129)</f>
        <v>0</v>
      </c>
      <c r="P129" s="2">
        <v>0</v>
      </c>
      <c r="Q129" s="2">
        <v>0</v>
      </c>
    </row>
    <row r="130" spans="1:17" x14ac:dyDescent="0.6">
      <c r="A130" s="35">
        <v>130</v>
      </c>
      <c r="D130" s="23" t="str" cm="1">
        <f t="array" ref="D130">IFERROR([1]!CalculateHyphenString(C130),"")</f>
        <v/>
      </c>
      <c r="G130" s="26"/>
      <c r="H130" s="2"/>
      <c r="L130" s="21">
        <f t="shared" si="2"/>
        <v>0</v>
      </c>
      <c r="N130" s="21">
        <f t="shared" si="3"/>
        <v>0</v>
      </c>
      <c r="O130" s="2" cm="1">
        <f t="array" ref="O130:Q130">[1]!ConvertFeet(N130)</f>
        <v>0</v>
      </c>
      <c r="P130" s="2">
        <v>0</v>
      </c>
      <c r="Q130" s="2">
        <v>0</v>
      </c>
    </row>
    <row r="131" spans="1:17" x14ac:dyDescent="0.6">
      <c r="A131" s="34">
        <v>131</v>
      </c>
      <c r="D131" s="23" t="str" cm="1">
        <f t="array" ref="D131">IFERROR([1]!CalculateHyphenString(C131),"")</f>
        <v/>
      </c>
      <c r="G131" s="26"/>
      <c r="H131" s="2"/>
      <c r="L131" s="21">
        <f t="shared" si="2"/>
        <v>0</v>
      </c>
      <c r="N131" s="21">
        <f t="shared" si="3"/>
        <v>0</v>
      </c>
      <c r="O131" s="2" cm="1">
        <f t="array" ref="O131:Q131">[1]!ConvertFeet(N131)</f>
        <v>0</v>
      </c>
      <c r="P131" s="2">
        <v>0</v>
      </c>
      <c r="Q131" s="2">
        <v>0</v>
      </c>
    </row>
    <row r="132" spans="1:17" x14ac:dyDescent="0.6">
      <c r="A132" s="35">
        <v>132</v>
      </c>
      <c r="D132" s="23" t="str" cm="1">
        <f t="array" ref="D132">IFERROR([1]!CalculateHyphenString(C132),"")</f>
        <v/>
      </c>
      <c r="G132" s="26"/>
      <c r="H132" s="2"/>
      <c r="L132" s="21">
        <f t="shared" si="2"/>
        <v>0</v>
      </c>
      <c r="N132" s="21">
        <f t="shared" si="3"/>
        <v>0</v>
      </c>
      <c r="O132" s="2" cm="1">
        <f t="array" ref="O132:Q132">[1]!ConvertFeet(N132)</f>
        <v>0</v>
      </c>
      <c r="P132" s="2">
        <v>0</v>
      </c>
      <c r="Q132" s="2">
        <v>0</v>
      </c>
    </row>
    <row r="133" spans="1:17" x14ac:dyDescent="0.6">
      <c r="A133" s="34">
        <v>133</v>
      </c>
      <c r="D133" s="23" t="str" cm="1">
        <f t="array" ref="D133">IFERROR([1]!CalculateHyphenString(C133),"")</f>
        <v/>
      </c>
      <c r="G133" s="26"/>
      <c r="H133" s="2"/>
      <c r="L133" s="21">
        <f t="shared" si="2"/>
        <v>0</v>
      </c>
      <c r="N133" s="21">
        <f t="shared" si="3"/>
        <v>0</v>
      </c>
      <c r="O133" s="2" cm="1">
        <f t="array" ref="O133:Q133">[1]!ConvertFeet(N133)</f>
        <v>0</v>
      </c>
      <c r="P133" s="2">
        <v>0</v>
      </c>
      <c r="Q133" s="2">
        <v>0</v>
      </c>
    </row>
    <row r="134" spans="1:17" x14ac:dyDescent="0.6">
      <c r="A134" s="35">
        <v>134</v>
      </c>
      <c r="D134" s="23" t="str" cm="1">
        <f t="array" ref="D134">IFERROR([1]!CalculateHyphenString(C134),"")</f>
        <v/>
      </c>
      <c r="G134" s="26"/>
      <c r="H134" s="2"/>
      <c r="L134" s="21">
        <f t="shared" si="2"/>
        <v>0</v>
      </c>
      <c r="N134" s="21">
        <f t="shared" si="3"/>
        <v>0</v>
      </c>
      <c r="O134" s="2" cm="1">
        <f t="array" ref="O134:Q134">[1]!ConvertFeet(N134)</f>
        <v>0</v>
      </c>
      <c r="P134" s="2">
        <v>0</v>
      </c>
      <c r="Q134" s="2">
        <v>0</v>
      </c>
    </row>
    <row r="135" spans="1:17" x14ac:dyDescent="0.6">
      <c r="A135" s="34">
        <v>135</v>
      </c>
      <c r="D135" s="23" t="str" cm="1">
        <f t="array" ref="D135">IFERROR([1]!CalculateHyphenString(C135),"")</f>
        <v/>
      </c>
      <c r="G135" s="26"/>
      <c r="H135" s="2"/>
      <c r="L135" s="21">
        <f t="shared" ref="L135:L198" si="4">(K135*$G$3)/100</f>
        <v>0</v>
      </c>
      <c r="N135" s="21">
        <f t="shared" ref="N135:N198" si="5">K135-(L135+M135)</f>
        <v>0</v>
      </c>
      <c r="O135" s="2" cm="1">
        <f t="array" ref="O135:Q135">[1]!ConvertFeet(N135)</f>
        <v>0</v>
      </c>
      <c r="P135" s="2">
        <v>0</v>
      </c>
      <c r="Q135" s="2">
        <v>0</v>
      </c>
    </row>
    <row r="136" spans="1:17" x14ac:dyDescent="0.6">
      <c r="A136" s="35">
        <v>136</v>
      </c>
      <c r="D136" s="23" t="str" cm="1">
        <f t="array" ref="D136">IFERROR([1]!CalculateHyphenString(C136),"")</f>
        <v/>
      </c>
      <c r="G136" s="26"/>
      <c r="H136" s="2"/>
      <c r="L136" s="21">
        <f t="shared" si="4"/>
        <v>0</v>
      </c>
      <c r="N136" s="21">
        <f t="shared" si="5"/>
        <v>0</v>
      </c>
      <c r="O136" s="2" cm="1">
        <f t="array" ref="O136:Q136">[1]!ConvertFeet(N136)</f>
        <v>0</v>
      </c>
      <c r="P136" s="2">
        <v>0</v>
      </c>
      <c r="Q136" s="2">
        <v>0</v>
      </c>
    </row>
    <row r="137" spans="1:17" x14ac:dyDescent="0.6">
      <c r="A137" s="34">
        <v>137</v>
      </c>
      <c r="D137" s="23" t="str" cm="1">
        <f t="array" ref="D137">IFERROR([1]!CalculateHyphenString(C137),"")</f>
        <v/>
      </c>
      <c r="G137" s="26"/>
      <c r="H137" s="2"/>
      <c r="L137" s="21">
        <f t="shared" si="4"/>
        <v>0</v>
      </c>
      <c r="N137" s="21">
        <f t="shared" si="5"/>
        <v>0</v>
      </c>
      <c r="O137" s="2" cm="1">
        <f t="array" ref="O137:Q137">[1]!ConvertFeet(N137)</f>
        <v>0</v>
      </c>
      <c r="P137" s="2">
        <v>0</v>
      </c>
      <c r="Q137" s="2">
        <v>0</v>
      </c>
    </row>
    <row r="138" spans="1:17" x14ac:dyDescent="0.6">
      <c r="A138" s="35">
        <v>138</v>
      </c>
      <c r="D138" s="23" t="str" cm="1">
        <f t="array" ref="D138">IFERROR([1]!CalculateHyphenString(C138),"")</f>
        <v/>
      </c>
      <c r="G138" s="26"/>
      <c r="H138" s="2"/>
      <c r="L138" s="21">
        <f t="shared" si="4"/>
        <v>0</v>
      </c>
      <c r="N138" s="21">
        <f t="shared" si="5"/>
        <v>0</v>
      </c>
      <c r="O138" s="2" cm="1">
        <f t="array" ref="O138:Q138">[1]!ConvertFeet(N138)</f>
        <v>0</v>
      </c>
      <c r="P138" s="2">
        <v>0</v>
      </c>
      <c r="Q138" s="2">
        <v>0</v>
      </c>
    </row>
    <row r="139" spans="1:17" x14ac:dyDescent="0.6">
      <c r="A139" s="34">
        <v>139</v>
      </c>
      <c r="D139" s="23" t="str" cm="1">
        <f t="array" ref="D139">IFERROR([1]!CalculateHyphenString(C139),"")</f>
        <v/>
      </c>
      <c r="G139" s="26"/>
      <c r="H139" s="2"/>
      <c r="L139" s="21">
        <f t="shared" si="4"/>
        <v>0</v>
      </c>
      <c r="N139" s="21">
        <f t="shared" si="5"/>
        <v>0</v>
      </c>
      <c r="O139" s="2" cm="1">
        <f t="array" ref="O139:Q139">[1]!ConvertFeet(N139)</f>
        <v>0</v>
      </c>
      <c r="P139" s="2">
        <v>0</v>
      </c>
      <c r="Q139" s="2">
        <v>0</v>
      </c>
    </row>
    <row r="140" spans="1:17" x14ac:dyDescent="0.6">
      <c r="A140" s="35">
        <v>140</v>
      </c>
      <c r="D140" s="23" t="str" cm="1">
        <f t="array" ref="D140">IFERROR([1]!CalculateHyphenString(C140),"")</f>
        <v/>
      </c>
      <c r="G140" s="26"/>
      <c r="H140" s="2"/>
      <c r="L140" s="21">
        <f t="shared" si="4"/>
        <v>0</v>
      </c>
      <c r="N140" s="21">
        <f t="shared" si="5"/>
        <v>0</v>
      </c>
      <c r="O140" s="2" cm="1">
        <f t="array" ref="O140:Q140">[1]!ConvertFeet(N140)</f>
        <v>0</v>
      </c>
      <c r="P140" s="2">
        <v>0</v>
      </c>
      <c r="Q140" s="2">
        <v>0</v>
      </c>
    </row>
    <row r="141" spans="1:17" x14ac:dyDescent="0.6">
      <c r="A141" s="34">
        <v>141</v>
      </c>
      <c r="D141" s="23" t="str" cm="1">
        <f t="array" ref="D141">IFERROR([1]!CalculateHyphenString(C141),"")</f>
        <v/>
      </c>
      <c r="G141" s="26"/>
      <c r="H141" s="2"/>
      <c r="L141" s="21">
        <f t="shared" si="4"/>
        <v>0</v>
      </c>
      <c r="N141" s="21">
        <f t="shared" si="5"/>
        <v>0</v>
      </c>
      <c r="O141" s="2" cm="1">
        <f t="array" ref="O141:Q141">[1]!ConvertFeet(N141)</f>
        <v>0</v>
      </c>
      <c r="P141" s="2">
        <v>0</v>
      </c>
      <c r="Q141" s="2">
        <v>0</v>
      </c>
    </row>
    <row r="142" spans="1:17" x14ac:dyDescent="0.6">
      <c r="A142" s="35">
        <v>142</v>
      </c>
      <c r="D142" s="23" t="str" cm="1">
        <f t="array" ref="D142">IFERROR([1]!CalculateHyphenString(C142),"")</f>
        <v/>
      </c>
      <c r="G142" s="26"/>
      <c r="H142" s="2"/>
      <c r="L142" s="21">
        <f t="shared" si="4"/>
        <v>0</v>
      </c>
      <c r="N142" s="21">
        <f t="shared" si="5"/>
        <v>0</v>
      </c>
      <c r="O142" s="2" cm="1">
        <f t="array" ref="O142:Q142">[1]!ConvertFeet(N142)</f>
        <v>0</v>
      </c>
      <c r="P142" s="2">
        <v>0</v>
      </c>
      <c r="Q142" s="2">
        <v>0</v>
      </c>
    </row>
    <row r="143" spans="1:17" x14ac:dyDescent="0.6">
      <c r="A143" s="34">
        <v>143</v>
      </c>
      <c r="D143" s="23" t="str" cm="1">
        <f t="array" ref="D143">IFERROR([1]!CalculateHyphenString(C143),"")</f>
        <v/>
      </c>
      <c r="G143" s="26"/>
      <c r="H143" s="2"/>
      <c r="L143" s="21">
        <f t="shared" si="4"/>
        <v>0</v>
      </c>
      <c r="N143" s="21">
        <f t="shared" si="5"/>
        <v>0</v>
      </c>
      <c r="O143" s="2" cm="1">
        <f t="array" ref="O143:Q143">[1]!ConvertFeet(N143)</f>
        <v>0</v>
      </c>
      <c r="P143" s="2">
        <v>0</v>
      </c>
      <c r="Q143" s="2">
        <v>0</v>
      </c>
    </row>
    <row r="144" spans="1:17" x14ac:dyDescent="0.6">
      <c r="A144" s="35">
        <v>144</v>
      </c>
      <c r="D144" s="23" t="str" cm="1">
        <f t="array" ref="D144">IFERROR([1]!CalculateHyphenString(C144),"")</f>
        <v/>
      </c>
      <c r="G144" s="26"/>
      <c r="H144" s="2"/>
      <c r="L144" s="21">
        <f t="shared" si="4"/>
        <v>0</v>
      </c>
      <c r="N144" s="21">
        <f t="shared" si="5"/>
        <v>0</v>
      </c>
      <c r="O144" s="2" cm="1">
        <f t="array" ref="O144:Q144">[1]!ConvertFeet(N144)</f>
        <v>0</v>
      </c>
      <c r="P144" s="2">
        <v>0</v>
      </c>
      <c r="Q144" s="2">
        <v>0</v>
      </c>
    </row>
    <row r="145" spans="1:17" x14ac:dyDescent="0.6">
      <c r="A145" s="34">
        <v>145</v>
      </c>
      <c r="D145" s="23" t="str" cm="1">
        <f t="array" ref="D145">IFERROR([1]!CalculateHyphenString(C145),"")</f>
        <v/>
      </c>
      <c r="G145" s="26"/>
      <c r="H145" s="2"/>
      <c r="L145" s="21">
        <f t="shared" si="4"/>
        <v>0</v>
      </c>
      <c r="N145" s="21">
        <f t="shared" si="5"/>
        <v>0</v>
      </c>
      <c r="O145" s="2" cm="1">
        <f t="array" ref="O145:Q145">[1]!ConvertFeet(N145)</f>
        <v>0</v>
      </c>
      <c r="P145" s="2">
        <v>0</v>
      </c>
      <c r="Q145" s="2">
        <v>0</v>
      </c>
    </row>
    <row r="146" spans="1:17" x14ac:dyDescent="0.6">
      <c r="A146" s="35">
        <v>146</v>
      </c>
      <c r="D146" s="23" t="str" cm="1">
        <f t="array" ref="D146">IFERROR([1]!CalculateHyphenString(C146),"")</f>
        <v/>
      </c>
      <c r="G146" s="26"/>
      <c r="H146" s="2"/>
      <c r="L146" s="21">
        <f t="shared" si="4"/>
        <v>0</v>
      </c>
      <c r="N146" s="21">
        <f t="shared" si="5"/>
        <v>0</v>
      </c>
      <c r="O146" s="2" cm="1">
        <f t="array" ref="O146:Q146">[1]!ConvertFeet(N146)</f>
        <v>0</v>
      </c>
      <c r="P146" s="2">
        <v>0</v>
      </c>
      <c r="Q146" s="2">
        <v>0</v>
      </c>
    </row>
    <row r="147" spans="1:17" x14ac:dyDescent="0.6">
      <c r="A147" s="34">
        <v>147</v>
      </c>
      <c r="D147" s="23" t="str" cm="1">
        <f t="array" ref="D147">IFERROR([1]!CalculateHyphenString(C147),"")</f>
        <v/>
      </c>
      <c r="G147" s="26"/>
      <c r="H147" s="2"/>
      <c r="L147" s="21">
        <f t="shared" si="4"/>
        <v>0</v>
      </c>
      <c r="N147" s="21">
        <f t="shared" si="5"/>
        <v>0</v>
      </c>
      <c r="O147" s="2" cm="1">
        <f t="array" ref="O147:Q147">[1]!ConvertFeet(N147)</f>
        <v>0</v>
      </c>
      <c r="P147" s="2">
        <v>0</v>
      </c>
      <c r="Q147" s="2">
        <v>0</v>
      </c>
    </row>
    <row r="148" spans="1:17" x14ac:dyDescent="0.6">
      <c r="A148" s="35">
        <v>148</v>
      </c>
      <c r="D148" s="23" t="str" cm="1">
        <f t="array" ref="D148">IFERROR([1]!CalculateHyphenString(C148),"")</f>
        <v/>
      </c>
      <c r="G148" s="26"/>
      <c r="H148" s="2"/>
      <c r="L148" s="21">
        <f t="shared" si="4"/>
        <v>0</v>
      </c>
      <c r="N148" s="21">
        <f t="shared" si="5"/>
        <v>0</v>
      </c>
      <c r="O148" s="2" cm="1">
        <f t="array" ref="O148:Q148">[1]!ConvertFeet(N148)</f>
        <v>0</v>
      </c>
      <c r="P148" s="2">
        <v>0</v>
      </c>
      <c r="Q148" s="2">
        <v>0</v>
      </c>
    </row>
    <row r="149" spans="1:17" x14ac:dyDescent="0.6">
      <c r="A149" s="34">
        <v>149</v>
      </c>
      <c r="D149" s="23" t="str" cm="1">
        <f t="array" ref="D149">IFERROR([1]!CalculateHyphenString(C149),"")</f>
        <v/>
      </c>
      <c r="G149" s="26"/>
      <c r="H149" s="2"/>
      <c r="L149" s="21">
        <f t="shared" si="4"/>
        <v>0</v>
      </c>
      <c r="N149" s="21">
        <f t="shared" si="5"/>
        <v>0</v>
      </c>
      <c r="O149" s="2" cm="1">
        <f t="array" ref="O149:Q149">[1]!ConvertFeet(N149)</f>
        <v>0</v>
      </c>
      <c r="P149" s="2">
        <v>0</v>
      </c>
      <c r="Q149" s="2">
        <v>0</v>
      </c>
    </row>
    <row r="150" spans="1:17" x14ac:dyDescent="0.6">
      <c r="A150" s="35">
        <v>150</v>
      </c>
      <c r="D150" s="23" t="str" cm="1">
        <f t="array" ref="D150">IFERROR([1]!CalculateHyphenString(C150),"")</f>
        <v/>
      </c>
      <c r="G150" s="26"/>
      <c r="H150" s="2"/>
      <c r="L150" s="21">
        <f t="shared" si="4"/>
        <v>0</v>
      </c>
      <c r="N150" s="21">
        <f t="shared" si="5"/>
        <v>0</v>
      </c>
      <c r="O150" s="2" cm="1">
        <f t="array" ref="O150:Q150">[1]!ConvertFeet(N150)</f>
        <v>0</v>
      </c>
      <c r="P150" s="2">
        <v>0</v>
      </c>
      <c r="Q150" s="2">
        <v>0</v>
      </c>
    </row>
    <row r="151" spans="1:17" x14ac:dyDescent="0.6">
      <c r="A151" s="34">
        <v>151</v>
      </c>
      <c r="D151" s="23" t="str" cm="1">
        <f t="array" ref="D151">IFERROR([1]!CalculateHyphenString(C151),"")</f>
        <v/>
      </c>
      <c r="G151" s="26"/>
      <c r="H151" s="2"/>
      <c r="L151" s="21">
        <f t="shared" si="4"/>
        <v>0</v>
      </c>
      <c r="N151" s="21">
        <f t="shared" si="5"/>
        <v>0</v>
      </c>
      <c r="O151" s="2" cm="1">
        <f t="array" ref="O151:Q151">[1]!ConvertFeet(N151)</f>
        <v>0</v>
      </c>
      <c r="P151" s="2">
        <v>0</v>
      </c>
      <c r="Q151" s="2">
        <v>0</v>
      </c>
    </row>
    <row r="152" spans="1:17" x14ac:dyDescent="0.6">
      <c r="A152" s="35">
        <v>152</v>
      </c>
      <c r="D152" s="23" t="str" cm="1">
        <f t="array" ref="D152">IFERROR([1]!CalculateHyphenString(C152),"")</f>
        <v/>
      </c>
      <c r="G152" s="26"/>
      <c r="H152" s="2"/>
      <c r="L152" s="21">
        <f t="shared" si="4"/>
        <v>0</v>
      </c>
      <c r="N152" s="21">
        <f t="shared" si="5"/>
        <v>0</v>
      </c>
      <c r="O152" s="2" cm="1">
        <f t="array" ref="O152:Q152">[1]!ConvertFeet(N152)</f>
        <v>0</v>
      </c>
      <c r="P152" s="2">
        <v>0</v>
      </c>
      <c r="Q152" s="2">
        <v>0</v>
      </c>
    </row>
    <row r="153" spans="1:17" x14ac:dyDescent="0.6">
      <c r="A153" s="34">
        <v>153</v>
      </c>
      <c r="D153" s="23" t="str" cm="1">
        <f t="array" ref="D153">IFERROR([1]!CalculateHyphenString(C153),"")</f>
        <v/>
      </c>
      <c r="G153" s="26"/>
      <c r="H153" s="2"/>
      <c r="L153" s="21">
        <f t="shared" si="4"/>
        <v>0</v>
      </c>
      <c r="N153" s="21">
        <f t="shared" si="5"/>
        <v>0</v>
      </c>
      <c r="O153" s="2" cm="1">
        <f t="array" ref="O153:Q153">[1]!ConvertFeet(N153)</f>
        <v>0</v>
      </c>
      <c r="P153" s="2">
        <v>0</v>
      </c>
      <c r="Q153" s="2">
        <v>0</v>
      </c>
    </row>
    <row r="154" spans="1:17" x14ac:dyDescent="0.6">
      <c r="A154" s="35">
        <v>154</v>
      </c>
      <c r="D154" s="23" t="str" cm="1">
        <f t="array" ref="D154">IFERROR([1]!CalculateHyphenString(C154),"")</f>
        <v/>
      </c>
      <c r="G154" s="26"/>
      <c r="H154" s="2"/>
      <c r="L154" s="21">
        <f t="shared" si="4"/>
        <v>0</v>
      </c>
      <c r="N154" s="21">
        <f t="shared" si="5"/>
        <v>0</v>
      </c>
      <c r="O154" s="2" cm="1">
        <f t="array" ref="O154:Q154">[1]!ConvertFeet(N154)</f>
        <v>0</v>
      </c>
      <c r="P154" s="2">
        <v>0</v>
      </c>
      <c r="Q154" s="2">
        <v>0</v>
      </c>
    </row>
    <row r="155" spans="1:17" x14ac:dyDescent="0.6">
      <c r="A155" s="34">
        <v>155</v>
      </c>
      <c r="D155" s="23" t="str" cm="1">
        <f t="array" ref="D155">IFERROR([1]!CalculateHyphenString(C155),"")</f>
        <v/>
      </c>
      <c r="G155" s="26"/>
      <c r="H155" s="2"/>
      <c r="L155" s="21">
        <f t="shared" si="4"/>
        <v>0</v>
      </c>
      <c r="N155" s="21">
        <f t="shared" si="5"/>
        <v>0</v>
      </c>
      <c r="O155" s="2" cm="1">
        <f t="array" ref="O155:Q155">[1]!ConvertFeet(N155)</f>
        <v>0</v>
      </c>
      <c r="P155" s="2">
        <v>0</v>
      </c>
      <c r="Q155" s="2">
        <v>0</v>
      </c>
    </row>
    <row r="156" spans="1:17" x14ac:dyDescent="0.6">
      <c r="A156" s="35">
        <v>156</v>
      </c>
      <c r="D156" s="23" t="str" cm="1">
        <f t="array" ref="D156">IFERROR([1]!CalculateHyphenString(C156),"")</f>
        <v/>
      </c>
      <c r="G156" s="26"/>
      <c r="H156" s="2"/>
      <c r="L156" s="21">
        <f t="shared" si="4"/>
        <v>0</v>
      </c>
      <c r="N156" s="21">
        <f t="shared" si="5"/>
        <v>0</v>
      </c>
      <c r="O156" s="2" cm="1">
        <f t="array" ref="O156:Q156">[1]!ConvertFeet(N156)</f>
        <v>0</v>
      </c>
      <c r="P156" s="2">
        <v>0</v>
      </c>
      <c r="Q156" s="2">
        <v>0</v>
      </c>
    </row>
    <row r="157" spans="1:17" x14ac:dyDescent="0.6">
      <c r="A157" s="34">
        <v>157</v>
      </c>
      <c r="D157" s="23" t="str" cm="1">
        <f t="array" ref="D157">IFERROR([1]!CalculateHyphenString(C157),"")</f>
        <v/>
      </c>
      <c r="G157" s="26"/>
      <c r="H157" s="2"/>
      <c r="L157" s="21">
        <f t="shared" si="4"/>
        <v>0</v>
      </c>
      <c r="N157" s="21">
        <f t="shared" si="5"/>
        <v>0</v>
      </c>
      <c r="O157" s="2" cm="1">
        <f t="array" ref="O157:Q157">[1]!ConvertFeet(N157)</f>
        <v>0</v>
      </c>
      <c r="P157" s="2">
        <v>0</v>
      </c>
      <c r="Q157" s="2">
        <v>0</v>
      </c>
    </row>
    <row r="158" spans="1:17" x14ac:dyDescent="0.6">
      <c r="A158" s="35">
        <v>158</v>
      </c>
      <c r="D158" s="23" t="str" cm="1">
        <f t="array" ref="D158">IFERROR([1]!CalculateHyphenString(C158),"")</f>
        <v/>
      </c>
      <c r="G158" s="26"/>
      <c r="H158" s="2"/>
      <c r="L158" s="21">
        <f t="shared" si="4"/>
        <v>0</v>
      </c>
      <c r="N158" s="21">
        <f t="shared" si="5"/>
        <v>0</v>
      </c>
      <c r="O158" s="2" cm="1">
        <f t="array" ref="O158:Q158">[1]!ConvertFeet(N158)</f>
        <v>0</v>
      </c>
      <c r="P158" s="2">
        <v>0</v>
      </c>
      <c r="Q158" s="2">
        <v>0</v>
      </c>
    </row>
    <row r="159" spans="1:17" x14ac:dyDescent="0.6">
      <c r="A159" s="34">
        <v>159</v>
      </c>
      <c r="D159" s="23" t="str" cm="1">
        <f t="array" ref="D159">IFERROR([1]!CalculateHyphenString(C159),"")</f>
        <v/>
      </c>
      <c r="G159" s="26"/>
      <c r="H159" s="2"/>
      <c r="L159" s="21">
        <f t="shared" si="4"/>
        <v>0</v>
      </c>
      <c r="N159" s="21">
        <f t="shared" si="5"/>
        <v>0</v>
      </c>
      <c r="O159" s="2" cm="1">
        <f t="array" ref="O159:Q159">[1]!ConvertFeet(N159)</f>
        <v>0</v>
      </c>
      <c r="P159" s="2">
        <v>0</v>
      </c>
      <c r="Q159" s="2">
        <v>0</v>
      </c>
    </row>
    <row r="160" spans="1:17" x14ac:dyDescent="0.6">
      <c r="A160" s="35">
        <v>160</v>
      </c>
      <c r="D160" s="23" t="str" cm="1">
        <f t="array" ref="D160">IFERROR([1]!CalculateHyphenString(C160),"")</f>
        <v/>
      </c>
      <c r="G160" s="26"/>
      <c r="H160" s="2"/>
      <c r="L160" s="21">
        <f t="shared" si="4"/>
        <v>0</v>
      </c>
      <c r="N160" s="21">
        <f t="shared" si="5"/>
        <v>0</v>
      </c>
      <c r="O160" s="2" cm="1">
        <f t="array" ref="O160:Q160">[1]!ConvertFeet(N160)</f>
        <v>0</v>
      </c>
      <c r="P160" s="2">
        <v>0</v>
      </c>
      <c r="Q160" s="2">
        <v>0</v>
      </c>
    </row>
    <row r="161" spans="1:17" x14ac:dyDescent="0.6">
      <c r="A161" s="34">
        <v>161</v>
      </c>
      <c r="D161" s="23" t="str" cm="1">
        <f t="array" ref="D161">IFERROR([1]!CalculateHyphenString(C161),"")</f>
        <v/>
      </c>
      <c r="G161" s="26"/>
      <c r="H161" s="2"/>
      <c r="L161" s="21">
        <f t="shared" si="4"/>
        <v>0</v>
      </c>
      <c r="N161" s="21">
        <f t="shared" si="5"/>
        <v>0</v>
      </c>
      <c r="O161" s="2" cm="1">
        <f t="array" ref="O161:Q161">[1]!ConvertFeet(N161)</f>
        <v>0</v>
      </c>
      <c r="P161" s="2">
        <v>0</v>
      </c>
      <c r="Q161" s="2">
        <v>0</v>
      </c>
    </row>
    <row r="162" spans="1:17" x14ac:dyDescent="0.6">
      <c r="A162" s="35">
        <v>162</v>
      </c>
      <c r="D162" s="23" t="str" cm="1">
        <f t="array" ref="D162">IFERROR([1]!CalculateHyphenString(C162),"")</f>
        <v/>
      </c>
      <c r="G162" s="26"/>
      <c r="H162" s="2"/>
      <c r="L162" s="21">
        <f t="shared" si="4"/>
        <v>0</v>
      </c>
      <c r="N162" s="21">
        <f t="shared" si="5"/>
        <v>0</v>
      </c>
      <c r="O162" s="2" cm="1">
        <f t="array" ref="O162:Q162">[1]!ConvertFeet(N162)</f>
        <v>0</v>
      </c>
      <c r="P162" s="2">
        <v>0</v>
      </c>
      <c r="Q162" s="2">
        <v>0</v>
      </c>
    </row>
    <row r="163" spans="1:17" x14ac:dyDescent="0.6">
      <c r="A163" s="34">
        <v>163</v>
      </c>
      <c r="D163" s="23" t="str" cm="1">
        <f t="array" ref="D163">IFERROR([1]!CalculateHyphenString(C163),"")</f>
        <v/>
      </c>
      <c r="G163" s="26"/>
      <c r="H163" s="2"/>
      <c r="L163" s="21">
        <f t="shared" si="4"/>
        <v>0</v>
      </c>
      <c r="N163" s="21">
        <f t="shared" si="5"/>
        <v>0</v>
      </c>
      <c r="O163" s="2" cm="1">
        <f t="array" ref="O163:Q163">[1]!ConvertFeet(N163)</f>
        <v>0</v>
      </c>
      <c r="P163" s="2">
        <v>0</v>
      </c>
      <c r="Q163" s="2">
        <v>0</v>
      </c>
    </row>
    <row r="164" spans="1:17" x14ac:dyDescent="0.6">
      <c r="A164" s="35">
        <v>164</v>
      </c>
      <c r="D164" s="23" t="str" cm="1">
        <f t="array" ref="D164">IFERROR([1]!CalculateHyphenString(C164),"")</f>
        <v/>
      </c>
      <c r="G164" s="26"/>
      <c r="H164" s="2"/>
      <c r="L164" s="21">
        <f t="shared" si="4"/>
        <v>0</v>
      </c>
      <c r="N164" s="21">
        <f t="shared" si="5"/>
        <v>0</v>
      </c>
      <c r="O164" s="2" cm="1">
        <f t="array" ref="O164:Q164">[1]!ConvertFeet(N164)</f>
        <v>0</v>
      </c>
      <c r="P164" s="2">
        <v>0</v>
      </c>
      <c r="Q164" s="2">
        <v>0</v>
      </c>
    </row>
    <row r="165" spans="1:17" x14ac:dyDescent="0.6">
      <c r="A165" s="34">
        <v>165</v>
      </c>
      <c r="D165" s="23" t="str" cm="1">
        <f t="array" ref="D165">IFERROR([1]!CalculateHyphenString(C165),"")</f>
        <v/>
      </c>
      <c r="G165" s="26"/>
      <c r="H165" s="2"/>
      <c r="L165" s="21">
        <f t="shared" si="4"/>
        <v>0</v>
      </c>
      <c r="N165" s="21">
        <f t="shared" si="5"/>
        <v>0</v>
      </c>
      <c r="O165" s="2" cm="1">
        <f t="array" ref="O165:Q165">[1]!ConvertFeet(N165)</f>
        <v>0</v>
      </c>
      <c r="P165" s="2">
        <v>0</v>
      </c>
      <c r="Q165" s="2">
        <v>0</v>
      </c>
    </row>
    <row r="166" spans="1:17" x14ac:dyDescent="0.6">
      <c r="A166" s="35">
        <v>166</v>
      </c>
      <c r="D166" s="23" t="str" cm="1">
        <f t="array" ref="D166">IFERROR([1]!CalculateHyphenString(C166),"")</f>
        <v/>
      </c>
      <c r="G166" s="26"/>
      <c r="H166" s="2"/>
      <c r="L166" s="21">
        <f t="shared" si="4"/>
        <v>0</v>
      </c>
      <c r="N166" s="21">
        <f t="shared" si="5"/>
        <v>0</v>
      </c>
      <c r="O166" s="2" cm="1">
        <f t="array" ref="O166:Q166">[1]!ConvertFeet(N166)</f>
        <v>0</v>
      </c>
      <c r="P166" s="2">
        <v>0</v>
      </c>
      <c r="Q166" s="2">
        <v>0</v>
      </c>
    </row>
    <row r="167" spans="1:17" x14ac:dyDescent="0.6">
      <c r="A167" s="34">
        <v>167</v>
      </c>
      <c r="D167" s="23" t="str" cm="1">
        <f t="array" ref="D167">IFERROR([1]!CalculateHyphenString(C167),"")</f>
        <v/>
      </c>
      <c r="G167" s="26"/>
      <c r="H167" s="2"/>
      <c r="L167" s="21">
        <f t="shared" si="4"/>
        <v>0</v>
      </c>
      <c r="N167" s="21">
        <f t="shared" si="5"/>
        <v>0</v>
      </c>
      <c r="O167" s="2" cm="1">
        <f t="array" ref="O167:Q167">[1]!ConvertFeet(N167)</f>
        <v>0</v>
      </c>
      <c r="P167" s="2">
        <v>0</v>
      </c>
      <c r="Q167" s="2">
        <v>0</v>
      </c>
    </row>
    <row r="168" spans="1:17" x14ac:dyDescent="0.6">
      <c r="A168" s="35">
        <v>168</v>
      </c>
      <c r="D168" s="23" t="str" cm="1">
        <f t="array" ref="D168">IFERROR([1]!CalculateHyphenString(C168),"")</f>
        <v/>
      </c>
      <c r="G168" s="26"/>
      <c r="H168" s="2"/>
      <c r="L168" s="21">
        <f t="shared" si="4"/>
        <v>0</v>
      </c>
      <c r="N168" s="21">
        <f t="shared" si="5"/>
        <v>0</v>
      </c>
      <c r="O168" s="2" cm="1">
        <f t="array" ref="O168:Q168">[1]!ConvertFeet(N168)</f>
        <v>0</v>
      </c>
      <c r="P168" s="2">
        <v>0</v>
      </c>
      <c r="Q168" s="2">
        <v>0</v>
      </c>
    </row>
    <row r="169" spans="1:17" x14ac:dyDescent="0.6">
      <c r="A169" s="34">
        <v>169</v>
      </c>
      <c r="D169" s="23" t="str" cm="1">
        <f t="array" ref="D169">IFERROR([1]!CalculateHyphenString(C169),"")</f>
        <v/>
      </c>
      <c r="G169" s="26"/>
      <c r="H169" s="2"/>
      <c r="L169" s="21">
        <f t="shared" si="4"/>
        <v>0</v>
      </c>
      <c r="N169" s="21">
        <f t="shared" si="5"/>
        <v>0</v>
      </c>
      <c r="O169" s="2" cm="1">
        <f t="array" ref="O169:Q169">[1]!ConvertFeet(N169)</f>
        <v>0</v>
      </c>
      <c r="P169" s="2">
        <v>0</v>
      </c>
      <c r="Q169" s="2">
        <v>0</v>
      </c>
    </row>
    <row r="170" spans="1:17" x14ac:dyDescent="0.6">
      <c r="A170" s="35">
        <v>170</v>
      </c>
      <c r="D170" s="23" t="str" cm="1">
        <f t="array" ref="D170">IFERROR([1]!CalculateHyphenString(C170),"")</f>
        <v/>
      </c>
      <c r="G170" s="26"/>
      <c r="H170" s="2"/>
      <c r="L170" s="21">
        <f t="shared" si="4"/>
        <v>0</v>
      </c>
      <c r="N170" s="21">
        <f t="shared" si="5"/>
        <v>0</v>
      </c>
      <c r="O170" s="2" cm="1">
        <f t="array" ref="O170:Q170">[1]!ConvertFeet(N170)</f>
        <v>0</v>
      </c>
      <c r="P170" s="2">
        <v>0</v>
      </c>
      <c r="Q170" s="2">
        <v>0</v>
      </c>
    </row>
    <row r="171" spans="1:17" x14ac:dyDescent="0.6">
      <c r="A171" s="34">
        <v>171</v>
      </c>
      <c r="D171" s="23" t="str" cm="1">
        <f t="array" ref="D171">IFERROR([1]!CalculateHyphenString(C171),"")</f>
        <v/>
      </c>
      <c r="G171" s="26"/>
      <c r="H171" s="2"/>
      <c r="L171" s="21">
        <f t="shared" si="4"/>
        <v>0</v>
      </c>
      <c r="N171" s="21">
        <f t="shared" si="5"/>
        <v>0</v>
      </c>
      <c r="O171" s="2" cm="1">
        <f t="array" ref="O171:Q171">[1]!ConvertFeet(N171)</f>
        <v>0</v>
      </c>
      <c r="P171" s="2">
        <v>0</v>
      </c>
      <c r="Q171" s="2">
        <v>0</v>
      </c>
    </row>
    <row r="172" spans="1:17" x14ac:dyDescent="0.6">
      <c r="A172" s="35">
        <v>172</v>
      </c>
      <c r="D172" s="23" t="str" cm="1">
        <f t="array" ref="D172">IFERROR([1]!CalculateHyphenString(C172),"")</f>
        <v/>
      </c>
      <c r="G172" s="26"/>
      <c r="H172" s="2"/>
      <c r="L172" s="21">
        <f t="shared" si="4"/>
        <v>0</v>
      </c>
      <c r="N172" s="21">
        <f t="shared" si="5"/>
        <v>0</v>
      </c>
      <c r="O172" s="2" cm="1">
        <f t="array" ref="O172:Q172">[1]!ConvertFeet(N172)</f>
        <v>0</v>
      </c>
      <c r="P172" s="2">
        <v>0</v>
      </c>
      <c r="Q172" s="2">
        <v>0</v>
      </c>
    </row>
    <row r="173" spans="1:17" x14ac:dyDescent="0.6">
      <c r="A173" s="34">
        <v>173</v>
      </c>
      <c r="D173" s="23" t="str" cm="1">
        <f t="array" ref="D173">IFERROR([1]!CalculateHyphenString(C173),"")</f>
        <v/>
      </c>
      <c r="G173" s="26"/>
      <c r="H173" s="2"/>
      <c r="L173" s="21">
        <f t="shared" si="4"/>
        <v>0</v>
      </c>
      <c r="N173" s="21">
        <f t="shared" si="5"/>
        <v>0</v>
      </c>
      <c r="O173" s="2" cm="1">
        <f t="array" ref="O173:Q173">[1]!ConvertFeet(N173)</f>
        <v>0</v>
      </c>
      <c r="P173" s="2">
        <v>0</v>
      </c>
      <c r="Q173" s="2">
        <v>0</v>
      </c>
    </row>
    <row r="174" spans="1:17" x14ac:dyDescent="0.6">
      <c r="A174" s="35">
        <v>174</v>
      </c>
      <c r="D174" s="23" t="str" cm="1">
        <f t="array" ref="D174">IFERROR([1]!CalculateHyphenString(C174),"")</f>
        <v/>
      </c>
      <c r="G174" s="26"/>
      <c r="H174" s="2"/>
      <c r="L174" s="21">
        <f t="shared" si="4"/>
        <v>0</v>
      </c>
      <c r="N174" s="21">
        <f t="shared" si="5"/>
        <v>0</v>
      </c>
      <c r="O174" s="2" cm="1">
        <f t="array" ref="O174:Q174">[1]!ConvertFeet(N174)</f>
        <v>0</v>
      </c>
      <c r="P174" s="2">
        <v>0</v>
      </c>
      <c r="Q174" s="2">
        <v>0</v>
      </c>
    </row>
    <row r="175" spans="1:17" x14ac:dyDescent="0.6">
      <c r="A175" s="34">
        <v>175</v>
      </c>
      <c r="D175" s="23" t="str" cm="1">
        <f t="array" ref="D175">IFERROR([1]!CalculateHyphenString(C175),"")</f>
        <v/>
      </c>
      <c r="G175" s="26"/>
      <c r="H175" s="2"/>
      <c r="L175" s="21">
        <f t="shared" si="4"/>
        <v>0</v>
      </c>
      <c r="N175" s="21">
        <f t="shared" si="5"/>
        <v>0</v>
      </c>
      <c r="O175" s="2" cm="1">
        <f t="array" ref="O175:Q175">[1]!ConvertFeet(N175)</f>
        <v>0</v>
      </c>
      <c r="P175" s="2">
        <v>0</v>
      </c>
      <c r="Q175" s="2">
        <v>0</v>
      </c>
    </row>
    <row r="176" spans="1:17" x14ac:dyDescent="0.6">
      <c r="A176" s="35">
        <v>176</v>
      </c>
      <c r="D176" s="23" t="str" cm="1">
        <f t="array" ref="D176">IFERROR([1]!CalculateHyphenString(C176),"")</f>
        <v/>
      </c>
      <c r="G176" s="26"/>
      <c r="H176" s="2"/>
      <c r="L176" s="21">
        <f t="shared" si="4"/>
        <v>0</v>
      </c>
      <c r="N176" s="21">
        <f t="shared" si="5"/>
        <v>0</v>
      </c>
      <c r="O176" s="2" cm="1">
        <f t="array" ref="O176:Q176">[1]!ConvertFeet(N176)</f>
        <v>0</v>
      </c>
      <c r="P176" s="2">
        <v>0</v>
      </c>
      <c r="Q176" s="2">
        <v>0</v>
      </c>
    </row>
    <row r="177" spans="1:17" x14ac:dyDescent="0.6">
      <c r="A177" s="34">
        <v>177</v>
      </c>
      <c r="D177" s="23" t="str" cm="1">
        <f t="array" ref="D177">IFERROR([1]!CalculateHyphenString(C177),"")</f>
        <v/>
      </c>
      <c r="G177" s="26"/>
      <c r="H177" s="2"/>
      <c r="L177" s="21">
        <f t="shared" si="4"/>
        <v>0</v>
      </c>
      <c r="N177" s="21">
        <f t="shared" si="5"/>
        <v>0</v>
      </c>
      <c r="O177" s="2" cm="1">
        <f t="array" ref="O177:Q177">[1]!ConvertFeet(N177)</f>
        <v>0</v>
      </c>
      <c r="P177" s="2">
        <v>0</v>
      </c>
      <c r="Q177" s="2">
        <v>0</v>
      </c>
    </row>
    <row r="178" spans="1:17" x14ac:dyDescent="0.6">
      <c r="A178" s="35">
        <v>178</v>
      </c>
      <c r="D178" s="23" t="str" cm="1">
        <f t="array" ref="D178">IFERROR([1]!CalculateHyphenString(C178),"")</f>
        <v/>
      </c>
      <c r="G178" s="26"/>
      <c r="H178" s="2"/>
      <c r="L178" s="21">
        <f t="shared" si="4"/>
        <v>0</v>
      </c>
      <c r="N178" s="21">
        <f t="shared" si="5"/>
        <v>0</v>
      </c>
      <c r="O178" s="2" cm="1">
        <f t="array" ref="O178:Q178">[1]!ConvertFeet(N178)</f>
        <v>0</v>
      </c>
      <c r="P178" s="2">
        <v>0</v>
      </c>
      <c r="Q178" s="2">
        <v>0</v>
      </c>
    </row>
    <row r="179" spans="1:17" x14ac:dyDescent="0.6">
      <c r="A179" s="34">
        <v>179</v>
      </c>
      <c r="D179" s="23" t="str" cm="1">
        <f t="array" ref="D179">IFERROR([1]!CalculateHyphenString(C179),"")</f>
        <v/>
      </c>
      <c r="G179" s="26"/>
      <c r="H179" s="2"/>
      <c r="L179" s="21">
        <f t="shared" si="4"/>
        <v>0</v>
      </c>
      <c r="N179" s="21">
        <f t="shared" si="5"/>
        <v>0</v>
      </c>
      <c r="O179" s="2" cm="1">
        <f t="array" ref="O179:Q179">[1]!ConvertFeet(N179)</f>
        <v>0</v>
      </c>
      <c r="P179" s="2">
        <v>0</v>
      </c>
      <c r="Q179" s="2">
        <v>0</v>
      </c>
    </row>
    <row r="180" spans="1:17" x14ac:dyDescent="0.6">
      <c r="A180" s="35">
        <v>180</v>
      </c>
      <c r="D180" s="23" t="str" cm="1">
        <f t="array" ref="D180">IFERROR([1]!CalculateHyphenString(C180),"")</f>
        <v/>
      </c>
      <c r="G180" s="26"/>
      <c r="H180" s="2"/>
      <c r="L180" s="21">
        <f t="shared" si="4"/>
        <v>0</v>
      </c>
      <c r="N180" s="21">
        <f t="shared" si="5"/>
        <v>0</v>
      </c>
      <c r="O180" s="2" cm="1">
        <f t="array" ref="O180:Q180">[1]!ConvertFeet(N180)</f>
        <v>0</v>
      </c>
      <c r="P180" s="2">
        <v>0</v>
      </c>
      <c r="Q180" s="2">
        <v>0</v>
      </c>
    </row>
    <row r="181" spans="1:17" x14ac:dyDescent="0.6">
      <c r="A181" s="34">
        <v>181</v>
      </c>
      <c r="D181" s="23" t="str" cm="1">
        <f t="array" ref="D181">IFERROR([1]!CalculateHyphenString(C181),"")</f>
        <v/>
      </c>
      <c r="G181" s="26"/>
      <c r="H181" s="2"/>
      <c r="L181" s="21">
        <f t="shared" si="4"/>
        <v>0</v>
      </c>
      <c r="N181" s="21">
        <f t="shared" si="5"/>
        <v>0</v>
      </c>
      <c r="O181" s="2" cm="1">
        <f t="array" ref="O181:Q181">[1]!ConvertFeet(N181)</f>
        <v>0</v>
      </c>
      <c r="P181" s="2">
        <v>0</v>
      </c>
      <c r="Q181" s="2">
        <v>0</v>
      </c>
    </row>
    <row r="182" spans="1:17" x14ac:dyDescent="0.6">
      <c r="A182" s="35">
        <v>182</v>
      </c>
      <c r="D182" s="23" t="str" cm="1">
        <f t="array" ref="D182">IFERROR([1]!CalculateHyphenString(C182),"")</f>
        <v/>
      </c>
      <c r="G182" s="26"/>
      <c r="H182" s="2"/>
      <c r="L182" s="21">
        <f t="shared" si="4"/>
        <v>0</v>
      </c>
      <c r="N182" s="21">
        <f t="shared" si="5"/>
        <v>0</v>
      </c>
      <c r="O182" s="2" cm="1">
        <f t="array" ref="O182:Q182">[1]!ConvertFeet(N182)</f>
        <v>0</v>
      </c>
      <c r="P182" s="2">
        <v>0</v>
      </c>
      <c r="Q182" s="2">
        <v>0</v>
      </c>
    </row>
    <row r="183" spans="1:17" x14ac:dyDescent="0.6">
      <c r="A183" s="34">
        <v>183</v>
      </c>
      <c r="D183" s="23" t="str" cm="1">
        <f t="array" ref="D183">IFERROR([1]!CalculateHyphenString(C183),"")</f>
        <v/>
      </c>
      <c r="G183" s="26"/>
      <c r="H183" s="2"/>
      <c r="L183" s="21">
        <f t="shared" si="4"/>
        <v>0</v>
      </c>
      <c r="N183" s="21">
        <f t="shared" si="5"/>
        <v>0</v>
      </c>
      <c r="O183" s="2" cm="1">
        <f t="array" ref="O183:Q183">[1]!ConvertFeet(N183)</f>
        <v>0</v>
      </c>
      <c r="P183" s="2">
        <v>0</v>
      </c>
      <c r="Q183" s="2">
        <v>0</v>
      </c>
    </row>
    <row r="184" spans="1:17" x14ac:dyDescent="0.6">
      <c r="A184" s="35">
        <v>184</v>
      </c>
      <c r="D184" s="23" t="str" cm="1">
        <f t="array" ref="D184">IFERROR([1]!CalculateHyphenString(C184),"")</f>
        <v/>
      </c>
      <c r="G184" s="26"/>
      <c r="H184" s="2"/>
      <c r="L184" s="21">
        <f t="shared" si="4"/>
        <v>0</v>
      </c>
      <c r="N184" s="21">
        <f t="shared" si="5"/>
        <v>0</v>
      </c>
      <c r="O184" s="2" cm="1">
        <f t="array" ref="O184:Q184">[1]!ConvertFeet(N184)</f>
        <v>0</v>
      </c>
      <c r="P184" s="2">
        <v>0</v>
      </c>
      <c r="Q184" s="2">
        <v>0</v>
      </c>
    </row>
    <row r="185" spans="1:17" x14ac:dyDescent="0.6">
      <c r="A185" s="34">
        <v>185</v>
      </c>
      <c r="D185" s="23" t="str" cm="1">
        <f t="array" ref="D185">IFERROR([1]!CalculateHyphenString(C185),"")</f>
        <v/>
      </c>
      <c r="G185" s="26"/>
      <c r="H185" s="2"/>
      <c r="L185" s="21">
        <f t="shared" si="4"/>
        <v>0</v>
      </c>
      <c r="N185" s="21">
        <f t="shared" si="5"/>
        <v>0</v>
      </c>
      <c r="O185" s="2" cm="1">
        <f t="array" ref="O185:Q185">[1]!ConvertFeet(N185)</f>
        <v>0</v>
      </c>
      <c r="P185" s="2">
        <v>0</v>
      </c>
      <c r="Q185" s="2">
        <v>0</v>
      </c>
    </row>
    <row r="186" spans="1:17" x14ac:dyDescent="0.6">
      <c r="A186" s="35">
        <v>186</v>
      </c>
      <c r="D186" s="23" t="str" cm="1">
        <f t="array" ref="D186">IFERROR([1]!CalculateHyphenString(C186),"")</f>
        <v/>
      </c>
      <c r="G186" s="26"/>
      <c r="H186" s="2"/>
      <c r="L186" s="21">
        <f t="shared" si="4"/>
        <v>0</v>
      </c>
      <c r="N186" s="21">
        <f t="shared" si="5"/>
        <v>0</v>
      </c>
      <c r="O186" s="2" cm="1">
        <f t="array" ref="O186:Q186">[1]!ConvertFeet(N186)</f>
        <v>0</v>
      </c>
      <c r="P186" s="2">
        <v>0</v>
      </c>
      <c r="Q186" s="2">
        <v>0</v>
      </c>
    </row>
    <row r="187" spans="1:17" x14ac:dyDescent="0.6">
      <c r="A187" s="34">
        <v>187</v>
      </c>
      <c r="D187" s="23" t="str" cm="1">
        <f t="array" ref="D187">IFERROR([1]!CalculateHyphenString(C187),"")</f>
        <v/>
      </c>
      <c r="G187" s="26"/>
      <c r="H187" s="2"/>
      <c r="L187" s="21">
        <f t="shared" si="4"/>
        <v>0</v>
      </c>
      <c r="N187" s="21">
        <f t="shared" si="5"/>
        <v>0</v>
      </c>
      <c r="O187" s="2" cm="1">
        <f t="array" ref="O187:Q187">[1]!ConvertFeet(N187)</f>
        <v>0</v>
      </c>
      <c r="P187" s="2">
        <v>0</v>
      </c>
      <c r="Q187" s="2">
        <v>0</v>
      </c>
    </row>
    <row r="188" spans="1:17" x14ac:dyDescent="0.6">
      <c r="A188" s="35">
        <v>188</v>
      </c>
      <c r="D188" s="23" t="str" cm="1">
        <f t="array" ref="D188">IFERROR([1]!CalculateHyphenString(C188),"")</f>
        <v/>
      </c>
      <c r="G188" s="26"/>
      <c r="H188" s="2"/>
      <c r="L188" s="21">
        <f t="shared" si="4"/>
        <v>0</v>
      </c>
      <c r="N188" s="21">
        <f t="shared" si="5"/>
        <v>0</v>
      </c>
      <c r="O188" s="2" cm="1">
        <f t="array" ref="O188:Q188">[1]!ConvertFeet(N188)</f>
        <v>0</v>
      </c>
      <c r="P188" s="2">
        <v>0</v>
      </c>
      <c r="Q188" s="2">
        <v>0</v>
      </c>
    </row>
    <row r="189" spans="1:17" x14ac:dyDescent="0.6">
      <c r="A189" s="34">
        <v>189</v>
      </c>
      <c r="D189" s="23" t="str" cm="1">
        <f t="array" ref="D189">IFERROR([1]!CalculateHyphenString(C189),"")</f>
        <v/>
      </c>
      <c r="G189" s="26"/>
      <c r="H189" s="2"/>
      <c r="L189" s="21">
        <f t="shared" si="4"/>
        <v>0</v>
      </c>
      <c r="N189" s="21">
        <f t="shared" si="5"/>
        <v>0</v>
      </c>
      <c r="O189" s="2" cm="1">
        <f t="array" ref="O189:Q189">[1]!ConvertFeet(N189)</f>
        <v>0</v>
      </c>
      <c r="P189" s="2">
        <v>0</v>
      </c>
      <c r="Q189" s="2">
        <v>0</v>
      </c>
    </row>
    <row r="190" spans="1:17" x14ac:dyDescent="0.6">
      <c r="A190" s="35">
        <v>190</v>
      </c>
      <c r="D190" s="23" t="str" cm="1">
        <f t="array" ref="D190">IFERROR([1]!CalculateHyphenString(C190),"")</f>
        <v/>
      </c>
      <c r="G190" s="26"/>
      <c r="H190" s="2"/>
      <c r="L190" s="21">
        <f t="shared" si="4"/>
        <v>0</v>
      </c>
      <c r="N190" s="21">
        <f t="shared" si="5"/>
        <v>0</v>
      </c>
      <c r="O190" s="2" cm="1">
        <f t="array" ref="O190:Q190">[1]!ConvertFeet(N190)</f>
        <v>0</v>
      </c>
      <c r="P190" s="2">
        <v>0</v>
      </c>
      <c r="Q190" s="2">
        <v>0</v>
      </c>
    </row>
    <row r="191" spans="1:17" x14ac:dyDescent="0.6">
      <c r="A191" s="34">
        <v>191</v>
      </c>
      <c r="D191" s="23" t="str" cm="1">
        <f t="array" ref="D191">IFERROR([1]!CalculateHyphenString(C191),"")</f>
        <v/>
      </c>
      <c r="G191" s="26"/>
      <c r="H191" s="2"/>
      <c r="L191" s="21">
        <f t="shared" si="4"/>
        <v>0</v>
      </c>
      <c r="N191" s="21">
        <f t="shared" si="5"/>
        <v>0</v>
      </c>
      <c r="O191" s="2" cm="1">
        <f t="array" ref="O191:Q191">[1]!ConvertFeet(N191)</f>
        <v>0</v>
      </c>
      <c r="P191" s="2">
        <v>0</v>
      </c>
      <c r="Q191" s="2">
        <v>0</v>
      </c>
    </row>
    <row r="192" spans="1:17" x14ac:dyDescent="0.6">
      <c r="A192" s="35">
        <v>192</v>
      </c>
      <c r="D192" s="23" t="str" cm="1">
        <f t="array" ref="D192">IFERROR([1]!CalculateHyphenString(C192),"")</f>
        <v/>
      </c>
      <c r="G192" s="26"/>
      <c r="H192" s="2"/>
      <c r="L192" s="21">
        <f t="shared" si="4"/>
        <v>0</v>
      </c>
      <c r="N192" s="21">
        <f t="shared" si="5"/>
        <v>0</v>
      </c>
      <c r="O192" s="2" cm="1">
        <f t="array" ref="O192:Q192">[1]!ConvertFeet(N192)</f>
        <v>0</v>
      </c>
      <c r="P192" s="2">
        <v>0</v>
      </c>
      <c r="Q192" s="2">
        <v>0</v>
      </c>
    </row>
    <row r="193" spans="1:17" x14ac:dyDescent="0.6">
      <c r="A193" s="34">
        <v>193</v>
      </c>
      <c r="D193" s="23" t="str" cm="1">
        <f t="array" ref="D193">IFERROR([1]!CalculateHyphenString(C193),"")</f>
        <v/>
      </c>
      <c r="G193" s="26"/>
      <c r="H193" s="2"/>
      <c r="L193" s="21">
        <f t="shared" si="4"/>
        <v>0</v>
      </c>
      <c r="N193" s="21">
        <f t="shared" si="5"/>
        <v>0</v>
      </c>
      <c r="O193" s="2" cm="1">
        <f t="array" ref="O193:Q193">[1]!ConvertFeet(N193)</f>
        <v>0</v>
      </c>
      <c r="P193" s="2">
        <v>0</v>
      </c>
      <c r="Q193" s="2">
        <v>0</v>
      </c>
    </row>
    <row r="194" spans="1:17" x14ac:dyDescent="0.6">
      <c r="A194" s="35">
        <v>194</v>
      </c>
      <c r="D194" s="23" t="str" cm="1">
        <f t="array" ref="D194">IFERROR([1]!CalculateHyphenString(C194),"")</f>
        <v/>
      </c>
      <c r="G194" s="26"/>
      <c r="H194" s="2"/>
      <c r="L194" s="21">
        <f t="shared" si="4"/>
        <v>0</v>
      </c>
      <c r="N194" s="21">
        <f t="shared" si="5"/>
        <v>0</v>
      </c>
      <c r="O194" s="2" cm="1">
        <f t="array" ref="O194:Q194">[1]!ConvertFeet(N194)</f>
        <v>0</v>
      </c>
      <c r="P194" s="2">
        <v>0</v>
      </c>
      <c r="Q194" s="2">
        <v>0</v>
      </c>
    </row>
    <row r="195" spans="1:17" x14ac:dyDescent="0.6">
      <c r="A195" s="34">
        <v>195</v>
      </c>
      <c r="D195" s="23" t="str" cm="1">
        <f t="array" ref="D195">IFERROR([1]!CalculateHyphenString(C195),"")</f>
        <v/>
      </c>
      <c r="G195" s="26"/>
      <c r="H195" s="2"/>
      <c r="L195" s="21">
        <f t="shared" si="4"/>
        <v>0</v>
      </c>
      <c r="N195" s="21">
        <f t="shared" si="5"/>
        <v>0</v>
      </c>
      <c r="O195" s="2" cm="1">
        <f t="array" ref="O195:Q195">[1]!ConvertFeet(N195)</f>
        <v>0</v>
      </c>
      <c r="P195" s="2">
        <v>0</v>
      </c>
      <c r="Q195" s="2">
        <v>0</v>
      </c>
    </row>
    <row r="196" spans="1:17" x14ac:dyDescent="0.6">
      <c r="A196" s="35">
        <v>196</v>
      </c>
      <c r="D196" s="23" t="str" cm="1">
        <f t="array" ref="D196">IFERROR([1]!CalculateHyphenString(C196),"")</f>
        <v/>
      </c>
      <c r="G196" s="26"/>
      <c r="H196" s="2"/>
      <c r="L196" s="21">
        <f t="shared" si="4"/>
        <v>0</v>
      </c>
      <c r="N196" s="21">
        <f t="shared" si="5"/>
        <v>0</v>
      </c>
      <c r="O196" s="2" cm="1">
        <f t="array" ref="O196:Q196">[1]!ConvertFeet(N196)</f>
        <v>0</v>
      </c>
      <c r="P196" s="2">
        <v>0</v>
      </c>
      <c r="Q196" s="2">
        <v>0</v>
      </c>
    </row>
    <row r="197" spans="1:17" x14ac:dyDescent="0.6">
      <c r="A197" s="34">
        <v>197</v>
      </c>
      <c r="D197" s="23" t="str" cm="1">
        <f t="array" ref="D197">IFERROR([1]!CalculateHyphenString(C197),"")</f>
        <v/>
      </c>
      <c r="G197" s="26"/>
      <c r="H197" s="2"/>
      <c r="L197" s="21">
        <f t="shared" si="4"/>
        <v>0</v>
      </c>
      <c r="N197" s="21">
        <f t="shared" si="5"/>
        <v>0</v>
      </c>
      <c r="O197" s="2" cm="1">
        <f t="array" ref="O197:Q197">[1]!ConvertFeet(N197)</f>
        <v>0</v>
      </c>
      <c r="P197" s="2">
        <v>0</v>
      </c>
      <c r="Q197" s="2">
        <v>0</v>
      </c>
    </row>
    <row r="198" spans="1:17" x14ac:dyDescent="0.6">
      <c r="A198" s="35">
        <v>198</v>
      </c>
      <c r="D198" s="23" t="str" cm="1">
        <f t="array" ref="D198">IFERROR([1]!CalculateHyphenString(C198),"")</f>
        <v/>
      </c>
      <c r="G198" s="26"/>
      <c r="H198" s="2"/>
      <c r="L198" s="21">
        <f t="shared" si="4"/>
        <v>0</v>
      </c>
      <c r="N198" s="21">
        <f t="shared" si="5"/>
        <v>0</v>
      </c>
      <c r="O198" s="2" cm="1">
        <f t="array" ref="O198:Q198">[1]!ConvertFeet(N198)</f>
        <v>0</v>
      </c>
      <c r="P198" s="2">
        <v>0</v>
      </c>
      <c r="Q198" s="2">
        <v>0</v>
      </c>
    </row>
    <row r="199" spans="1:17" x14ac:dyDescent="0.6">
      <c r="A199" s="34">
        <v>199</v>
      </c>
      <c r="D199" s="23" t="str" cm="1">
        <f t="array" ref="D199">IFERROR([1]!CalculateHyphenString(C199),"")</f>
        <v/>
      </c>
      <c r="G199" s="26"/>
      <c r="H199" s="2"/>
      <c r="L199" s="21">
        <f t="shared" ref="L199:L262" si="6">(K199*$G$3)/100</f>
        <v>0</v>
      </c>
      <c r="N199" s="21">
        <f t="shared" ref="N199:N262" si="7">K199-(L199+M199)</f>
        <v>0</v>
      </c>
      <c r="O199" s="2" cm="1">
        <f t="array" ref="O199:Q199">[1]!ConvertFeet(N199)</f>
        <v>0</v>
      </c>
      <c r="P199" s="2">
        <v>0</v>
      </c>
      <c r="Q199" s="2">
        <v>0</v>
      </c>
    </row>
    <row r="200" spans="1:17" x14ac:dyDescent="0.6">
      <c r="A200" s="35">
        <v>200</v>
      </c>
      <c r="D200" s="23" t="str" cm="1">
        <f t="array" ref="D200">IFERROR([1]!CalculateHyphenString(C200),"")</f>
        <v/>
      </c>
      <c r="G200" s="26"/>
      <c r="H200" s="2"/>
      <c r="L200" s="21">
        <f t="shared" si="6"/>
        <v>0</v>
      </c>
      <c r="N200" s="21">
        <f t="shared" si="7"/>
        <v>0</v>
      </c>
      <c r="O200" s="2" cm="1">
        <f t="array" ref="O200:Q200">[1]!ConvertFeet(N200)</f>
        <v>0</v>
      </c>
      <c r="P200" s="2">
        <v>0</v>
      </c>
      <c r="Q200" s="2">
        <v>0</v>
      </c>
    </row>
    <row r="201" spans="1:17" x14ac:dyDescent="0.6">
      <c r="A201" s="34">
        <v>201</v>
      </c>
      <c r="D201" s="23" t="str" cm="1">
        <f t="array" ref="D201">IFERROR([1]!CalculateHyphenString(C201),"")</f>
        <v/>
      </c>
      <c r="G201" s="26"/>
      <c r="H201" s="2"/>
      <c r="L201" s="21">
        <f t="shared" si="6"/>
        <v>0</v>
      </c>
      <c r="N201" s="21">
        <f t="shared" si="7"/>
        <v>0</v>
      </c>
      <c r="O201" s="2" cm="1">
        <f t="array" ref="O201:Q201">[1]!ConvertFeet(N201)</f>
        <v>0</v>
      </c>
      <c r="P201" s="2">
        <v>0</v>
      </c>
      <c r="Q201" s="2">
        <v>0</v>
      </c>
    </row>
    <row r="202" spans="1:17" x14ac:dyDescent="0.6">
      <c r="A202" s="35">
        <v>202</v>
      </c>
      <c r="D202" s="23" t="str" cm="1">
        <f t="array" ref="D202">IFERROR([1]!CalculateHyphenString(C202),"")</f>
        <v/>
      </c>
      <c r="G202" s="26"/>
      <c r="H202" s="2"/>
      <c r="L202" s="21">
        <f t="shared" si="6"/>
        <v>0</v>
      </c>
      <c r="N202" s="21">
        <f t="shared" si="7"/>
        <v>0</v>
      </c>
      <c r="O202" s="2" cm="1">
        <f t="array" ref="O202:Q202">[1]!ConvertFeet(N202)</f>
        <v>0</v>
      </c>
      <c r="P202" s="2">
        <v>0</v>
      </c>
      <c r="Q202" s="2">
        <v>0</v>
      </c>
    </row>
    <row r="203" spans="1:17" x14ac:dyDescent="0.6">
      <c r="A203" s="34">
        <v>203</v>
      </c>
      <c r="D203" s="23" t="str" cm="1">
        <f t="array" ref="D203">IFERROR([1]!CalculateHyphenString(C203),"")</f>
        <v/>
      </c>
      <c r="G203" s="26"/>
      <c r="H203" s="2"/>
      <c r="L203" s="21">
        <f t="shared" si="6"/>
        <v>0</v>
      </c>
      <c r="N203" s="21">
        <f t="shared" si="7"/>
        <v>0</v>
      </c>
      <c r="O203" s="2" cm="1">
        <f t="array" ref="O203:Q203">[1]!ConvertFeet(N203)</f>
        <v>0</v>
      </c>
      <c r="P203" s="2">
        <v>0</v>
      </c>
      <c r="Q203" s="2">
        <v>0</v>
      </c>
    </row>
    <row r="204" spans="1:17" x14ac:dyDescent="0.6">
      <c r="A204" s="35">
        <v>204</v>
      </c>
      <c r="D204" s="23" t="str" cm="1">
        <f t="array" ref="D204">IFERROR([1]!CalculateHyphenString(C204),"")</f>
        <v/>
      </c>
      <c r="G204" s="26"/>
      <c r="H204" s="2"/>
      <c r="L204" s="21">
        <f t="shared" si="6"/>
        <v>0</v>
      </c>
      <c r="N204" s="21">
        <f t="shared" si="7"/>
        <v>0</v>
      </c>
      <c r="O204" s="2" cm="1">
        <f t="array" ref="O204:Q204">[1]!ConvertFeet(N204)</f>
        <v>0</v>
      </c>
      <c r="P204" s="2">
        <v>0</v>
      </c>
      <c r="Q204" s="2">
        <v>0</v>
      </c>
    </row>
    <row r="205" spans="1:17" x14ac:dyDescent="0.6">
      <c r="A205" s="34">
        <v>205</v>
      </c>
      <c r="D205" s="23" t="str" cm="1">
        <f t="array" ref="D205">IFERROR([1]!CalculateHyphenString(C205),"")</f>
        <v/>
      </c>
      <c r="G205" s="26"/>
      <c r="H205" s="2"/>
      <c r="L205" s="21">
        <f t="shared" si="6"/>
        <v>0</v>
      </c>
      <c r="N205" s="21">
        <f t="shared" si="7"/>
        <v>0</v>
      </c>
      <c r="O205" s="2" cm="1">
        <f t="array" ref="O205:Q205">[1]!ConvertFeet(N205)</f>
        <v>0</v>
      </c>
      <c r="P205" s="2">
        <v>0</v>
      </c>
      <c r="Q205" s="2">
        <v>0</v>
      </c>
    </row>
    <row r="206" spans="1:17" x14ac:dyDescent="0.6">
      <c r="A206" s="35">
        <v>206</v>
      </c>
      <c r="D206" s="23" t="str" cm="1">
        <f t="array" ref="D206">IFERROR([1]!CalculateHyphenString(C206),"")</f>
        <v/>
      </c>
      <c r="G206" s="26"/>
      <c r="H206" s="2"/>
      <c r="L206" s="21">
        <f t="shared" si="6"/>
        <v>0</v>
      </c>
      <c r="N206" s="21">
        <f t="shared" si="7"/>
        <v>0</v>
      </c>
      <c r="O206" s="2" cm="1">
        <f t="array" ref="O206:Q206">[1]!ConvertFeet(N206)</f>
        <v>0</v>
      </c>
      <c r="P206" s="2">
        <v>0</v>
      </c>
      <c r="Q206" s="2">
        <v>0</v>
      </c>
    </row>
    <row r="207" spans="1:17" x14ac:dyDescent="0.6">
      <c r="A207" s="34">
        <v>207</v>
      </c>
      <c r="D207" s="23" t="str" cm="1">
        <f t="array" ref="D207">IFERROR([1]!CalculateHyphenString(C207),"")</f>
        <v/>
      </c>
      <c r="G207" s="26"/>
      <c r="H207" s="2"/>
      <c r="L207" s="21">
        <f t="shared" si="6"/>
        <v>0</v>
      </c>
      <c r="N207" s="21">
        <f t="shared" si="7"/>
        <v>0</v>
      </c>
      <c r="O207" s="2" cm="1">
        <f t="array" ref="O207:Q207">[1]!ConvertFeet(N207)</f>
        <v>0</v>
      </c>
      <c r="P207" s="2">
        <v>0</v>
      </c>
      <c r="Q207" s="2">
        <v>0</v>
      </c>
    </row>
    <row r="208" spans="1:17" x14ac:dyDescent="0.6">
      <c r="A208" s="35">
        <v>208</v>
      </c>
      <c r="D208" s="23" t="str" cm="1">
        <f t="array" ref="D208">IFERROR([1]!CalculateHyphenString(C208),"")</f>
        <v/>
      </c>
      <c r="G208" s="26"/>
      <c r="H208" s="2"/>
      <c r="L208" s="21">
        <f t="shared" si="6"/>
        <v>0</v>
      </c>
      <c r="N208" s="21">
        <f t="shared" si="7"/>
        <v>0</v>
      </c>
      <c r="O208" s="2" cm="1">
        <f t="array" ref="O208:Q208">[1]!ConvertFeet(N208)</f>
        <v>0</v>
      </c>
      <c r="P208" s="2">
        <v>0</v>
      </c>
      <c r="Q208" s="2">
        <v>0</v>
      </c>
    </row>
    <row r="209" spans="1:17" x14ac:dyDescent="0.6">
      <c r="A209" s="34">
        <v>209</v>
      </c>
      <c r="D209" s="23" t="str" cm="1">
        <f t="array" ref="D209">IFERROR([1]!CalculateHyphenString(C209),"")</f>
        <v/>
      </c>
      <c r="G209" s="26"/>
      <c r="H209" s="2"/>
      <c r="L209" s="21">
        <f t="shared" si="6"/>
        <v>0</v>
      </c>
      <c r="N209" s="21">
        <f t="shared" si="7"/>
        <v>0</v>
      </c>
      <c r="O209" s="2" cm="1">
        <f t="array" ref="O209:Q209">[1]!ConvertFeet(N209)</f>
        <v>0</v>
      </c>
      <c r="P209" s="2">
        <v>0</v>
      </c>
      <c r="Q209" s="2">
        <v>0</v>
      </c>
    </row>
    <row r="210" spans="1:17" x14ac:dyDescent="0.6">
      <c r="A210" s="35">
        <v>210</v>
      </c>
      <c r="D210" s="23" t="str" cm="1">
        <f t="array" ref="D210">IFERROR([1]!CalculateHyphenString(C210),"")</f>
        <v/>
      </c>
      <c r="G210" s="26"/>
      <c r="H210" s="2"/>
      <c r="L210" s="21">
        <f t="shared" si="6"/>
        <v>0</v>
      </c>
      <c r="N210" s="21">
        <f t="shared" si="7"/>
        <v>0</v>
      </c>
      <c r="O210" s="2" cm="1">
        <f t="array" ref="O210:Q210">[1]!ConvertFeet(N210)</f>
        <v>0</v>
      </c>
      <c r="P210" s="2">
        <v>0</v>
      </c>
      <c r="Q210" s="2">
        <v>0</v>
      </c>
    </row>
    <row r="211" spans="1:17" x14ac:dyDescent="0.6">
      <c r="A211" s="34">
        <v>211</v>
      </c>
      <c r="D211" s="23" t="str" cm="1">
        <f t="array" ref="D211">IFERROR([1]!CalculateHyphenString(C211),"")</f>
        <v/>
      </c>
      <c r="G211" s="26"/>
      <c r="H211" s="2"/>
      <c r="L211" s="21">
        <f t="shared" si="6"/>
        <v>0</v>
      </c>
      <c r="N211" s="21">
        <f t="shared" si="7"/>
        <v>0</v>
      </c>
      <c r="O211" s="2" cm="1">
        <f t="array" ref="O211:Q211">[1]!ConvertFeet(N211)</f>
        <v>0</v>
      </c>
      <c r="P211" s="2">
        <v>0</v>
      </c>
      <c r="Q211" s="2">
        <v>0</v>
      </c>
    </row>
    <row r="212" spans="1:17" x14ac:dyDescent="0.6">
      <c r="A212" s="35">
        <v>212</v>
      </c>
      <c r="D212" s="23" t="str" cm="1">
        <f t="array" ref="D212">IFERROR([1]!CalculateHyphenString(C212),"")</f>
        <v/>
      </c>
      <c r="G212" s="26"/>
      <c r="H212" s="2"/>
      <c r="L212" s="21">
        <f t="shared" si="6"/>
        <v>0</v>
      </c>
      <c r="N212" s="21">
        <f t="shared" si="7"/>
        <v>0</v>
      </c>
      <c r="O212" s="2" cm="1">
        <f t="array" ref="O212:Q212">[1]!ConvertFeet(N212)</f>
        <v>0</v>
      </c>
      <c r="P212" s="2">
        <v>0</v>
      </c>
      <c r="Q212" s="2">
        <v>0</v>
      </c>
    </row>
    <row r="213" spans="1:17" x14ac:dyDescent="0.6">
      <c r="A213" s="34">
        <v>213</v>
      </c>
      <c r="D213" s="23" t="str" cm="1">
        <f t="array" ref="D213">IFERROR([1]!CalculateHyphenString(C213),"")</f>
        <v/>
      </c>
      <c r="G213" s="26"/>
      <c r="H213" s="2"/>
      <c r="L213" s="21">
        <f t="shared" si="6"/>
        <v>0</v>
      </c>
      <c r="N213" s="21">
        <f t="shared" si="7"/>
        <v>0</v>
      </c>
      <c r="O213" s="2" cm="1">
        <f t="array" ref="O213:Q213">[1]!ConvertFeet(N213)</f>
        <v>0</v>
      </c>
      <c r="P213" s="2">
        <v>0</v>
      </c>
      <c r="Q213" s="2">
        <v>0</v>
      </c>
    </row>
    <row r="214" spans="1:17" x14ac:dyDescent="0.6">
      <c r="A214" s="35">
        <v>214</v>
      </c>
      <c r="D214" s="23" t="str" cm="1">
        <f t="array" ref="D214">IFERROR([1]!CalculateHyphenString(C214),"")</f>
        <v/>
      </c>
      <c r="G214" s="26"/>
      <c r="H214" s="2"/>
      <c r="L214" s="21">
        <f t="shared" si="6"/>
        <v>0</v>
      </c>
      <c r="N214" s="21">
        <f t="shared" si="7"/>
        <v>0</v>
      </c>
      <c r="O214" s="2" cm="1">
        <f t="array" ref="O214:Q214">[1]!ConvertFeet(N214)</f>
        <v>0</v>
      </c>
      <c r="P214" s="2">
        <v>0</v>
      </c>
      <c r="Q214" s="2">
        <v>0</v>
      </c>
    </row>
    <row r="215" spans="1:17" x14ac:dyDescent="0.6">
      <c r="A215" s="34">
        <v>215</v>
      </c>
      <c r="D215" s="23" t="str" cm="1">
        <f t="array" ref="D215">IFERROR([1]!CalculateHyphenString(C215),"")</f>
        <v/>
      </c>
      <c r="G215" s="26"/>
      <c r="H215" s="2"/>
      <c r="L215" s="21">
        <f t="shared" si="6"/>
        <v>0</v>
      </c>
      <c r="N215" s="21">
        <f t="shared" si="7"/>
        <v>0</v>
      </c>
      <c r="O215" s="2" cm="1">
        <f t="array" ref="O215:Q215">[1]!ConvertFeet(N215)</f>
        <v>0</v>
      </c>
      <c r="P215" s="2">
        <v>0</v>
      </c>
      <c r="Q215" s="2">
        <v>0</v>
      </c>
    </row>
    <row r="216" spans="1:17" x14ac:dyDescent="0.6">
      <c r="A216" s="35">
        <v>216</v>
      </c>
      <c r="D216" s="23" t="str" cm="1">
        <f t="array" ref="D216">IFERROR([1]!CalculateHyphenString(C216),"")</f>
        <v/>
      </c>
      <c r="G216" s="26"/>
      <c r="H216" s="2"/>
      <c r="L216" s="21">
        <f t="shared" si="6"/>
        <v>0</v>
      </c>
      <c r="N216" s="21">
        <f t="shared" si="7"/>
        <v>0</v>
      </c>
      <c r="O216" s="2" cm="1">
        <f t="array" ref="O216:Q216">[1]!ConvertFeet(N216)</f>
        <v>0</v>
      </c>
      <c r="P216" s="2">
        <v>0</v>
      </c>
      <c r="Q216" s="2">
        <v>0</v>
      </c>
    </row>
    <row r="217" spans="1:17" x14ac:dyDescent="0.6">
      <c r="A217" s="34">
        <v>217</v>
      </c>
      <c r="D217" s="23" t="str" cm="1">
        <f t="array" ref="D217">IFERROR([1]!CalculateHyphenString(C217),"")</f>
        <v/>
      </c>
      <c r="G217" s="26"/>
      <c r="H217" s="2"/>
      <c r="L217" s="21">
        <f t="shared" si="6"/>
        <v>0</v>
      </c>
      <c r="N217" s="21">
        <f t="shared" si="7"/>
        <v>0</v>
      </c>
      <c r="O217" s="2" cm="1">
        <f t="array" ref="O217:Q217">[1]!ConvertFeet(N217)</f>
        <v>0</v>
      </c>
      <c r="P217" s="2">
        <v>0</v>
      </c>
      <c r="Q217" s="2">
        <v>0</v>
      </c>
    </row>
    <row r="218" spans="1:17" x14ac:dyDescent="0.6">
      <c r="A218" s="35">
        <v>218</v>
      </c>
      <c r="D218" s="23" t="str" cm="1">
        <f t="array" ref="D218">IFERROR([1]!CalculateHyphenString(C218),"")</f>
        <v/>
      </c>
      <c r="G218" s="26"/>
      <c r="H218" s="2"/>
      <c r="L218" s="21">
        <f t="shared" si="6"/>
        <v>0</v>
      </c>
      <c r="N218" s="21">
        <f t="shared" si="7"/>
        <v>0</v>
      </c>
      <c r="O218" s="2" cm="1">
        <f t="array" ref="O218:Q218">[1]!ConvertFeet(N218)</f>
        <v>0</v>
      </c>
      <c r="P218" s="2">
        <v>0</v>
      </c>
      <c r="Q218" s="2">
        <v>0</v>
      </c>
    </row>
    <row r="219" spans="1:17" x14ac:dyDescent="0.6">
      <c r="A219" s="34">
        <v>219</v>
      </c>
      <c r="D219" s="23" t="str" cm="1">
        <f t="array" ref="D219">IFERROR([1]!CalculateHyphenString(C219),"")</f>
        <v/>
      </c>
      <c r="G219" s="26"/>
      <c r="H219" s="2"/>
      <c r="L219" s="21">
        <f t="shared" si="6"/>
        <v>0</v>
      </c>
      <c r="N219" s="21">
        <f t="shared" si="7"/>
        <v>0</v>
      </c>
      <c r="O219" s="2" cm="1">
        <f t="array" ref="O219:Q219">[1]!ConvertFeet(N219)</f>
        <v>0</v>
      </c>
      <c r="P219" s="2">
        <v>0</v>
      </c>
      <c r="Q219" s="2">
        <v>0</v>
      </c>
    </row>
    <row r="220" spans="1:17" x14ac:dyDescent="0.6">
      <c r="A220" s="35">
        <v>220</v>
      </c>
      <c r="D220" s="23" t="str" cm="1">
        <f t="array" ref="D220">IFERROR([1]!CalculateHyphenString(C220),"")</f>
        <v/>
      </c>
      <c r="G220" s="26"/>
      <c r="H220" s="2"/>
      <c r="L220" s="21">
        <f t="shared" si="6"/>
        <v>0</v>
      </c>
      <c r="N220" s="21">
        <f t="shared" si="7"/>
        <v>0</v>
      </c>
      <c r="O220" s="2" cm="1">
        <f t="array" ref="O220:Q220">[1]!ConvertFeet(N220)</f>
        <v>0</v>
      </c>
      <c r="P220" s="2">
        <v>0</v>
      </c>
      <c r="Q220" s="2">
        <v>0</v>
      </c>
    </row>
    <row r="221" spans="1:17" x14ac:dyDescent="0.6">
      <c r="A221" s="34">
        <v>221</v>
      </c>
      <c r="D221" s="23" t="str" cm="1">
        <f t="array" ref="D221">IFERROR([1]!CalculateHyphenString(C221),"")</f>
        <v/>
      </c>
      <c r="G221" s="26"/>
      <c r="H221" s="2"/>
      <c r="L221" s="21">
        <f t="shared" si="6"/>
        <v>0</v>
      </c>
      <c r="N221" s="21">
        <f t="shared" si="7"/>
        <v>0</v>
      </c>
      <c r="O221" s="2" cm="1">
        <f t="array" ref="O221:Q221">[1]!ConvertFeet(N221)</f>
        <v>0</v>
      </c>
      <c r="P221" s="2">
        <v>0</v>
      </c>
      <c r="Q221" s="2">
        <v>0</v>
      </c>
    </row>
    <row r="222" spans="1:17" x14ac:dyDescent="0.6">
      <c r="A222" s="35">
        <v>222</v>
      </c>
      <c r="D222" s="23" t="str" cm="1">
        <f t="array" ref="D222">IFERROR([1]!CalculateHyphenString(C222),"")</f>
        <v/>
      </c>
      <c r="G222" s="26"/>
      <c r="H222" s="2"/>
      <c r="L222" s="21">
        <f t="shared" si="6"/>
        <v>0</v>
      </c>
      <c r="N222" s="21">
        <f t="shared" si="7"/>
        <v>0</v>
      </c>
      <c r="O222" s="2" cm="1">
        <f t="array" ref="O222:Q222">[1]!ConvertFeet(N222)</f>
        <v>0</v>
      </c>
      <c r="P222" s="2">
        <v>0</v>
      </c>
      <c r="Q222" s="2">
        <v>0</v>
      </c>
    </row>
    <row r="223" spans="1:17" x14ac:dyDescent="0.6">
      <c r="A223" s="34">
        <v>223</v>
      </c>
      <c r="D223" s="23" t="str" cm="1">
        <f t="array" ref="D223">IFERROR([1]!CalculateHyphenString(C223),"")</f>
        <v/>
      </c>
      <c r="G223" s="26"/>
      <c r="H223" s="2"/>
      <c r="L223" s="21">
        <f t="shared" si="6"/>
        <v>0</v>
      </c>
      <c r="N223" s="21">
        <f t="shared" si="7"/>
        <v>0</v>
      </c>
      <c r="O223" s="2" cm="1">
        <f t="array" ref="O223:Q223">[1]!ConvertFeet(N223)</f>
        <v>0</v>
      </c>
      <c r="P223" s="2">
        <v>0</v>
      </c>
      <c r="Q223" s="2">
        <v>0</v>
      </c>
    </row>
    <row r="224" spans="1:17" x14ac:dyDescent="0.6">
      <c r="A224" s="35">
        <v>224</v>
      </c>
      <c r="D224" s="23" t="str" cm="1">
        <f t="array" ref="D224">IFERROR([1]!CalculateHyphenString(C224),"")</f>
        <v/>
      </c>
      <c r="G224" s="26"/>
      <c r="H224" s="2"/>
      <c r="L224" s="21">
        <f t="shared" si="6"/>
        <v>0</v>
      </c>
      <c r="N224" s="21">
        <f t="shared" si="7"/>
        <v>0</v>
      </c>
      <c r="O224" s="2" cm="1">
        <f t="array" ref="O224:Q224">[1]!ConvertFeet(N224)</f>
        <v>0</v>
      </c>
      <c r="P224" s="2">
        <v>0</v>
      </c>
      <c r="Q224" s="2">
        <v>0</v>
      </c>
    </row>
    <row r="225" spans="1:17" x14ac:dyDescent="0.6">
      <c r="A225" s="34">
        <v>225</v>
      </c>
      <c r="D225" s="23" t="str" cm="1">
        <f t="array" ref="D225">IFERROR([1]!CalculateHyphenString(C225),"")</f>
        <v/>
      </c>
      <c r="G225" s="26"/>
      <c r="H225" s="2"/>
      <c r="L225" s="21">
        <f t="shared" si="6"/>
        <v>0</v>
      </c>
      <c r="N225" s="21">
        <f t="shared" si="7"/>
        <v>0</v>
      </c>
      <c r="O225" s="2" cm="1">
        <f t="array" ref="O225:Q225">[1]!ConvertFeet(N225)</f>
        <v>0</v>
      </c>
      <c r="P225" s="2">
        <v>0</v>
      </c>
      <c r="Q225" s="2">
        <v>0</v>
      </c>
    </row>
    <row r="226" spans="1:17" x14ac:dyDescent="0.6">
      <c r="A226" s="35">
        <v>226</v>
      </c>
      <c r="D226" s="23" t="str" cm="1">
        <f t="array" ref="D226">IFERROR([1]!CalculateHyphenString(C226),"")</f>
        <v/>
      </c>
      <c r="G226" s="26"/>
      <c r="H226" s="2"/>
      <c r="L226" s="21">
        <f t="shared" si="6"/>
        <v>0</v>
      </c>
      <c r="N226" s="21">
        <f t="shared" si="7"/>
        <v>0</v>
      </c>
      <c r="O226" s="2" cm="1">
        <f t="array" ref="O226:Q226">[1]!ConvertFeet(N226)</f>
        <v>0</v>
      </c>
      <c r="P226" s="2">
        <v>0</v>
      </c>
      <c r="Q226" s="2">
        <v>0</v>
      </c>
    </row>
    <row r="227" spans="1:17" x14ac:dyDescent="0.6">
      <c r="A227" s="34">
        <v>227</v>
      </c>
      <c r="D227" s="23" t="str" cm="1">
        <f t="array" ref="D227">IFERROR([1]!CalculateHyphenString(C227),"")</f>
        <v/>
      </c>
      <c r="G227" s="26"/>
      <c r="H227" s="2"/>
      <c r="L227" s="21">
        <f t="shared" si="6"/>
        <v>0</v>
      </c>
      <c r="N227" s="21">
        <f t="shared" si="7"/>
        <v>0</v>
      </c>
      <c r="O227" s="2" cm="1">
        <f t="array" ref="O227:Q227">[1]!ConvertFeet(N227)</f>
        <v>0</v>
      </c>
      <c r="P227" s="2">
        <v>0</v>
      </c>
      <c r="Q227" s="2">
        <v>0</v>
      </c>
    </row>
    <row r="228" spans="1:17" x14ac:dyDescent="0.6">
      <c r="A228" s="35">
        <v>228</v>
      </c>
      <c r="D228" s="23" t="str" cm="1">
        <f t="array" ref="D228">IFERROR([1]!CalculateHyphenString(C228),"")</f>
        <v/>
      </c>
      <c r="G228" s="26"/>
      <c r="H228" s="2"/>
      <c r="L228" s="21">
        <f t="shared" si="6"/>
        <v>0</v>
      </c>
      <c r="N228" s="21">
        <f t="shared" si="7"/>
        <v>0</v>
      </c>
      <c r="O228" s="2" cm="1">
        <f t="array" ref="O228:Q228">[1]!ConvertFeet(N228)</f>
        <v>0</v>
      </c>
      <c r="P228" s="2">
        <v>0</v>
      </c>
      <c r="Q228" s="2">
        <v>0</v>
      </c>
    </row>
    <row r="229" spans="1:17" x14ac:dyDescent="0.6">
      <c r="A229" s="34">
        <v>229</v>
      </c>
      <c r="D229" s="23" t="str" cm="1">
        <f t="array" ref="D229">IFERROR([1]!CalculateHyphenString(C229),"")</f>
        <v/>
      </c>
      <c r="G229" s="26"/>
      <c r="H229" s="2"/>
      <c r="L229" s="21">
        <f t="shared" si="6"/>
        <v>0</v>
      </c>
      <c r="N229" s="21">
        <f t="shared" si="7"/>
        <v>0</v>
      </c>
      <c r="O229" s="2" cm="1">
        <f t="array" ref="O229:Q229">[1]!ConvertFeet(N229)</f>
        <v>0</v>
      </c>
      <c r="P229" s="2">
        <v>0</v>
      </c>
      <c r="Q229" s="2">
        <v>0</v>
      </c>
    </row>
    <row r="230" spans="1:17" x14ac:dyDescent="0.6">
      <c r="A230" s="35">
        <v>230</v>
      </c>
      <c r="D230" s="23" t="str" cm="1">
        <f t="array" ref="D230">IFERROR([1]!CalculateHyphenString(C230),"")</f>
        <v/>
      </c>
      <c r="G230" s="26"/>
      <c r="H230" s="2"/>
      <c r="L230" s="21">
        <f t="shared" si="6"/>
        <v>0</v>
      </c>
      <c r="N230" s="21">
        <f t="shared" si="7"/>
        <v>0</v>
      </c>
      <c r="O230" s="2" cm="1">
        <f t="array" ref="O230:Q230">[1]!ConvertFeet(N230)</f>
        <v>0</v>
      </c>
      <c r="P230" s="2">
        <v>0</v>
      </c>
      <c r="Q230" s="2">
        <v>0</v>
      </c>
    </row>
    <row r="231" spans="1:17" x14ac:dyDescent="0.6">
      <c r="A231" s="34">
        <v>231</v>
      </c>
      <c r="D231" s="23" t="str" cm="1">
        <f t="array" ref="D231">IFERROR([1]!CalculateHyphenString(C231),"")</f>
        <v/>
      </c>
      <c r="G231" s="26"/>
      <c r="H231" s="2"/>
      <c r="L231" s="21">
        <f t="shared" si="6"/>
        <v>0</v>
      </c>
      <c r="N231" s="21">
        <f t="shared" si="7"/>
        <v>0</v>
      </c>
      <c r="O231" s="2" cm="1">
        <f t="array" ref="O231:Q231">[1]!ConvertFeet(N231)</f>
        <v>0</v>
      </c>
      <c r="P231" s="2">
        <v>0</v>
      </c>
      <c r="Q231" s="2">
        <v>0</v>
      </c>
    </row>
    <row r="232" spans="1:17" x14ac:dyDescent="0.6">
      <c r="A232" s="35">
        <v>232</v>
      </c>
      <c r="D232" s="23" t="str" cm="1">
        <f t="array" ref="D232">IFERROR([1]!CalculateHyphenString(C232),"")</f>
        <v/>
      </c>
      <c r="G232" s="26"/>
      <c r="H232" s="2"/>
      <c r="L232" s="21">
        <f t="shared" si="6"/>
        <v>0</v>
      </c>
      <c r="N232" s="21">
        <f t="shared" si="7"/>
        <v>0</v>
      </c>
      <c r="O232" s="2" cm="1">
        <f t="array" ref="O232:Q232">[1]!ConvertFeet(N232)</f>
        <v>0</v>
      </c>
      <c r="P232" s="2">
        <v>0</v>
      </c>
      <c r="Q232" s="2">
        <v>0</v>
      </c>
    </row>
    <row r="233" spans="1:17" x14ac:dyDescent="0.6">
      <c r="A233" s="34">
        <v>233</v>
      </c>
      <c r="D233" s="23" t="str" cm="1">
        <f t="array" ref="D233">IFERROR([1]!CalculateHyphenString(C233),"")</f>
        <v/>
      </c>
      <c r="G233" s="26"/>
      <c r="H233" s="2"/>
      <c r="L233" s="21">
        <f t="shared" si="6"/>
        <v>0</v>
      </c>
      <c r="N233" s="21">
        <f t="shared" si="7"/>
        <v>0</v>
      </c>
      <c r="O233" s="2" cm="1">
        <f t="array" ref="O233:Q233">[1]!ConvertFeet(N233)</f>
        <v>0</v>
      </c>
      <c r="P233" s="2">
        <v>0</v>
      </c>
      <c r="Q233" s="2">
        <v>0</v>
      </c>
    </row>
    <row r="234" spans="1:17" x14ac:dyDescent="0.6">
      <c r="A234" s="35">
        <v>234</v>
      </c>
      <c r="D234" s="23" t="str" cm="1">
        <f t="array" ref="D234">IFERROR([1]!CalculateHyphenString(C234),"")</f>
        <v/>
      </c>
      <c r="G234" s="26"/>
      <c r="H234" s="2"/>
      <c r="L234" s="21">
        <f t="shared" si="6"/>
        <v>0</v>
      </c>
      <c r="N234" s="21">
        <f t="shared" si="7"/>
        <v>0</v>
      </c>
      <c r="O234" s="2" cm="1">
        <f t="array" ref="O234:Q234">[1]!ConvertFeet(N234)</f>
        <v>0</v>
      </c>
      <c r="P234" s="2">
        <v>0</v>
      </c>
      <c r="Q234" s="2">
        <v>0</v>
      </c>
    </row>
    <row r="235" spans="1:17" x14ac:dyDescent="0.6">
      <c r="A235" s="34">
        <v>235</v>
      </c>
      <c r="D235" s="23" t="str" cm="1">
        <f t="array" ref="D235">IFERROR([1]!CalculateHyphenString(C235),"")</f>
        <v/>
      </c>
      <c r="G235" s="26"/>
      <c r="H235" s="2"/>
      <c r="L235" s="21">
        <f t="shared" si="6"/>
        <v>0</v>
      </c>
      <c r="N235" s="21">
        <f t="shared" si="7"/>
        <v>0</v>
      </c>
      <c r="O235" s="2" cm="1">
        <f t="array" ref="O235:Q235">[1]!ConvertFeet(N235)</f>
        <v>0</v>
      </c>
      <c r="P235" s="2">
        <v>0</v>
      </c>
      <c r="Q235" s="2">
        <v>0</v>
      </c>
    </row>
    <row r="236" spans="1:17" x14ac:dyDescent="0.6">
      <c r="A236" s="35">
        <v>236</v>
      </c>
      <c r="D236" s="23" t="str" cm="1">
        <f t="array" ref="D236">IFERROR([1]!CalculateHyphenString(C236),"")</f>
        <v/>
      </c>
      <c r="G236" s="26"/>
      <c r="H236" s="2"/>
      <c r="L236" s="21">
        <f t="shared" si="6"/>
        <v>0</v>
      </c>
      <c r="N236" s="21">
        <f t="shared" si="7"/>
        <v>0</v>
      </c>
      <c r="O236" s="2" cm="1">
        <f t="array" ref="O236:Q236">[1]!ConvertFeet(N236)</f>
        <v>0</v>
      </c>
      <c r="P236" s="2">
        <v>0</v>
      </c>
      <c r="Q236" s="2">
        <v>0</v>
      </c>
    </row>
    <row r="237" spans="1:17" x14ac:dyDescent="0.6">
      <c r="A237" s="34">
        <v>237</v>
      </c>
      <c r="D237" s="23" t="str" cm="1">
        <f t="array" ref="D237">IFERROR([1]!CalculateHyphenString(C237),"")</f>
        <v/>
      </c>
      <c r="G237" s="26"/>
      <c r="H237" s="2"/>
      <c r="L237" s="21">
        <f t="shared" si="6"/>
        <v>0</v>
      </c>
      <c r="N237" s="21">
        <f t="shared" si="7"/>
        <v>0</v>
      </c>
      <c r="O237" s="2" cm="1">
        <f t="array" ref="O237:Q237">[1]!ConvertFeet(N237)</f>
        <v>0</v>
      </c>
      <c r="P237" s="2">
        <v>0</v>
      </c>
      <c r="Q237" s="2">
        <v>0</v>
      </c>
    </row>
    <row r="238" spans="1:17" x14ac:dyDescent="0.6">
      <c r="A238" s="35">
        <v>238</v>
      </c>
      <c r="D238" s="23" t="str" cm="1">
        <f t="array" ref="D238">IFERROR([1]!CalculateHyphenString(C238),"")</f>
        <v/>
      </c>
      <c r="G238" s="26"/>
      <c r="H238" s="2"/>
      <c r="L238" s="21">
        <f t="shared" si="6"/>
        <v>0</v>
      </c>
      <c r="N238" s="21">
        <f t="shared" si="7"/>
        <v>0</v>
      </c>
      <c r="O238" s="2" cm="1">
        <f t="array" ref="O238:Q238">[1]!ConvertFeet(N238)</f>
        <v>0</v>
      </c>
      <c r="P238" s="2">
        <v>0</v>
      </c>
      <c r="Q238" s="2">
        <v>0</v>
      </c>
    </row>
    <row r="239" spans="1:17" x14ac:dyDescent="0.6">
      <c r="A239" s="34">
        <v>239</v>
      </c>
      <c r="D239" s="23" t="str" cm="1">
        <f t="array" ref="D239">IFERROR([1]!CalculateHyphenString(C239),"")</f>
        <v/>
      </c>
      <c r="G239" s="26"/>
      <c r="H239" s="2"/>
      <c r="L239" s="21">
        <f t="shared" si="6"/>
        <v>0</v>
      </c>
      <c r="N239" s="21">
        <f t="shared" si="7"/>
        <v>0</v>
      </c>
      <c r="O239" s="2" cm="1">
        <f t="array" ref="O239:Q239">[1]!ConvertFeet(N239)</f>
        <v>0</v>
      </c>
      <c r="P239" s="2">
        <v>0</v>
      </c>
      <c r="Q239" s="2">
        <v>0</v>
      </c>
    </row>
    <row r="240" spans="1:17" x14ac:dyDescent="0.6">
      <c r="A240" s="35">
        <v>240</v>
      </c>
      <c r="D240" s="23" t="str" cm="1">
        <f t="array" ref="D240">IFERROR([1]!CalculateHyphenString(C240),"")</f>
        <v/>
      </c>
      <c r="G240" s="26"/>
      <c r="H240" s="2"/>
      <c r="L240" s="21">
        <f t="shared" si="6"/>
        <v>0</v>
      </c>
      <c r="N240" s="21">
        <f t="shared" si="7"/>
        <v>0</v>
      </c>
      <c r="O240" s="2" cm="1">
        <f t="array" ref="O240:Q240">[1]!ConvertFeet(N240)</f>
        <v>0</v>
      </c>
      <c r="P240" s="2">
        <v>0</v>
      </c>
      <c r="Q240" s="2">
        <v>0</v>
      </c>
    </row>
    <row r="241" spans="1:17" x14ac:dyDescent="0.6">
      <c r="A241" s="34">
        <v>241</v>
      </c>
      <c r="D241" s="23" t="str" cm="1">
        <f t="array" ref="D241">IFERROR([1]!CalculateHyphenString(C241),"")</f>
        <v/>
      </c>
      <c r="G241" s="26"/>
      <c r="H241" s="2"/>
      <c r="L241" s="21">
        <f t="shared" si="6"/>
        <v>0</v>
      </c>
      <c r="N241" s="21">
        <f t="shared" si="7"/>
        <v>0</v>
      </c>
      <c r="O241" s="2" cm="1">
        <f t="array" ref="O241:Q241">[1]!ConvertFeet(N241)</f>
        <v>0</v>
      </c>
      <c r="P241" s="2">
        <v>0</v>
      </c>
      <c r="Q241" s="2">
        <v>0</v>
      </c>
    </row>
    <row r="242" spans="1:17" x14ac:dyDescent="0.6">
      <c r="A242" s="35">
        <v>242</v>
      </c>
      <c r="D242" s="23" t="str" cm="1">
        <f t="array" ref="D242">IFERROR([1]!CalculateHyphenString(C242),"")</f>
        <v/>
      </c>
      <c r="G242" s="26"/>
      <c r="H242" s="2"/>
      <c r="L242" s="21">
        <f t="shared" si="6"/>
        <v>0</v>
      </c>
      <c r="N242" s="21">
        <f t="shared" si="7"/>
        <v>0</v>
      </c>
      <c r="O242" s="2" cm="1">
        <f t="array" ref="O242:Q242">[1]!ConvertFeet(N242)</f>
        <v>0</v>
      </c>
      <c r="P242" s="2">
        <v>0</v>
      </c>
      <c r="Q242" s="2">
        <v>0</v>
      </c>
    </row>
    <row r="243" spans="1:17" x14ac:dyDescent="0.6">
      <c r="A243" s="34">
        <v>243</v>
      </c>
      <c r="D243" s="23" t="str" cm="1">
        <f t="array" ref="D243">IFERROR([1]!CalculateHyphenString(C243),"")</f>
        <v/>
      </c>
      <c r="G243" s="26"/>
      <c r="H243" s="2"/>
      <c r="L243" s="21">
        <f t="shared" si="6"/>
        <v>0</v>
      </c>
      <c r="N243" s="21">
        <f t="shared" si="7"/>
        <v>0</v>
      </c>
      <c r="O243" s="2" cm="1">
        <f t="array" ref="O243:Q243">[1]!ConvertFeet(N243)</f>
        <v>0</v>
      </c>
      <c r="P243" s="2">
        <v>0</v>
      </c>
      <c r="Q243" s="2">
        <v>0</v>
      </c>
    </row>
    <row r="244" spans="1:17" x14ac:dyDescent="0.6">
      <c r="A244" s="35">
        <v>244</v>
      </c>
      <c r="D244" s="23" t="str" cm="1">
        <f t="array" ref="D244">IFERROR([1]!CalculateHyphenString(C244),"")</f>
        <v/>
      </c>
      <c r="G244" s="26"/>
      <c r="H244" s="2"/>
      <c r="L244" s="21">
        <f t="shared" si="6"/>
        <v>0</v>
      </c>
      <c r="N244" s="21">
        <f t="shared" si="7"/>
        <v>0</v>
      </c>
      <c r="O244" s="2" cm="1">
        <f t="array" ref="O244:Q244">[1]!ConvertFeet(N244)</f>
        <v>0</v>
      </c>
      <c r="P244" s="2">
        <v>0</v>
      </c>
      <c r="Q244" s="2">
        <v>0</v>
      </c>
    </row>
    <row r="245" spans="1:17" x14ac:dyDescent="0.6">
      <c r="A245" s="34">
        <v>245</v>
      </c>
      <c r="D245" s="23" t="str" cm="1">
        <f t="array" ref="D245">IFERROR([1]!CalculateHyphenString(C245),"")</f>
        <v/>
      </c>
      <c r="G245" s="26"/>
      <c r="H245" s="2"/>
      <c r="L245" s="21">
        <f t="shared" si="6"/>
        <v>0</v>
      </c>
      <c r="N245" s="21">
        <f t="shared" si="7"/>
        <v>0</v>
      </c>
      <c r="O245" s="2" cm="1">
        <f t="array" ref="O245:Q245">[1]!ConvertFeet(N245)</f>
        <v>0</v>
      </c>
      <c r="P245" s="2">
        <v>0</v>
      </c>
      <c r="Q245" s="2">
        <v>0</v>
      </c>
    </row>
    <row r="246" spans="1:17" x14ac:dyDescent="0.6">
      <c r="A246" s="35">
        <v>246</v>
      </c>
      <c r="D246" s="23" t="str" cm="1">
        <f t="array" ref="D246">IFERROR([1]!CalculateHyphenString(C246),"")</f>
        <v/>
      </c>
      <c r="G246" s="26"/>
      <c r="H246" s="2"/>
      <c r="L246" s="21">
        <f t="shared" si="6"/>
        <v>0</v>
      </c>
      <c r="N246" s="21">
        <f t="shared" si="7"/>
        <v>0</v>
      </c>
      <c r="O246" s="2" cm="1">
        <f t="array" ref="O246:Q246">[1]!ConvertFeet(N246)</f>
        <v>0</v>
      </c>
      <c r="P246" s="2">
        <v>0</v>
      </c>
      <c r="Q246" s="2">
        <v>0</v>
      </c>
    </row>
    <row r="247" spans="1:17" x14ac:dyDescent="0.6">
      <c r="A247" s="34">
        <v>247</v>
      </c>
      <c r="D247" s="23" t="str" cm="1">
        <f t="array" ref="D247">IFERROR([1]!CalculateHyphenString(C247),"")</f>
        <v/>
      </c>
      <c r="G247" s="26"/>
      <c r="H247" s="2"/>
      <c r="L247" s="21">
        <f t="shared" si="6"/>
        <v>0</v>
      </c>
      <c r="N247" s="21">
        <f t="shared" si="7"/>
        <v>0</v>
      </c>
      <c r="O247" s="2" cm="1">
        <f t="array" ref="O247:Q247">[1]!ConvertFeet(N247)</f>
        <v>0</v>
      </c>
      <c r="P247" s="2">
        <v>0</v>
      </c>
      <c r="Q247" s="2">
        <v>0</v>
      </c>
    </row>
    <row r="248" spans="1:17" x14ac:dyDescent="0.6">
      <c r="A248" s="35">
        <v>248</v>
      </c>
      <c r="D248" s="23" t="str" cm="1">
        <f t="array" ref="D248">IFERROR([1]!CalculateHyphenString(C248),"")</f>
        <v/>
      </c>
      <c r="G248" s="26"/>
      <c r="H248" s="2"/>
      <c r="L248" s="21">
        <f t="shared" si="6"/>
        <v>0</v>
      </c>
      <c r="N248" s="21">
        <f t="shared" si="7"/>
        <v>0</v>
      </c>
      <c r="O248" s="2" cm="1">
        <f t="array" ref="O248:Q248">[1]!ConvertFeet(N248)</f>
        <v>0</v>
      </c>
      <c r="P248" s="2">
        <v>0</v>
      </c>
      <c r="Q248" s="2">
        <v>0</v>
      </c>
    </row>
    <row r="249" spans="1:17" x14ac:dyDescent="0.6">
      <c r="A249" s="34">
        <v>249</v>
      </c>
      <c r="D249" s="23" t="str" cm="1">
        <f t="array" ref="D249">IFERROR([1]!CalculateHyphenString(C249),"")</f>
        <v/>
      </c>
      <c r="G249" s="26"/>
      <c r="H249" s="2"/>
      <c r="L249" s="21">
        <f t="shared" si="6"/>
        <v>0</v>
      </c>
      <c r="N249" s="21">
        <f t="shared" si="7"/>
        <v>0</v>
      </c>
      <c r="O249" s="2" cm="1">
        <f t="array" ref="O249:Q249">[1]!ConvertFeet(N249)</f>
        <v>0</v>
      </c>
      <c r="P249" s="2">
        <v>0</v>
      </c>
      <c r="Q249" s="2">
        <v>0</v>
      </c>
    </row>
    <row r="250" spans="1:17" x14ac:dyDescent="0.6">
      <c r="A250" s="35">
        <v>250</v>
      </c>
      <c r="D250" s="23" t="str" cm="1">
        <f t="array" ref="D250">IFERROR([1]!CalculateHyphenString(C250),"")</f>
        <v/>
      </c>
      <c r="G250" s="26"/>
      <c r="H250" s="2"/>
      <c r="L250" s="21">
        <f t="shared" si="6"/>
        <v>0</v>
      </c>
      <c r="N250" s="21">
        <f t="shared" si="7"/>
        <v>0</v>
      </c>
      <c r="O250" s="2" cm="1">
        <f t="array" ref="O250:Q250">[1]!ConvertFeet(N250)</f>
        <v>0</v>
      </c>
      <c r="P250" s="2">
        <v>0</v>
      </c>
      <c r="Q250" s="2">
        <v>0</v>
      </c>
    </row>
    <row r="251" spans="1:17" x14ac:dyDescent="0.6">
      <c r="A251" s="34">
        <v>251</v>
      </c>
      <c r="D251" s="23" t="str" cm="1">
        <f t="array" ref="D251">IFERROR([1]!CalculateHyphenString(C251),"")</f>
        <v/>
      </c>
      <c r="G251" s="26"/>
      <c r="H251" s="2"/>
      <c r="L251" s="21">
        <f t="shared" si="6"/>
        <v>0</v>
      </c>
      <c r="N251" s="21">
        <f t="shared" si="7"/>
        <v>0</v>
      </c>
      <c r="O251" s="2" cm="1">
        <f t="array" ref="O251:Q251">[1]!ConvertFeet(N251)</f>
        <v>0</v>
      </c>
      <c r="P251" s="2">
        <v>0</v>
      </c>
      <c r="Q251" s="2">
        <v>0</v>
      </c>
    </row>
    <row r="252" spans="1:17" x14ac:dyDescent="0.6">
      <c r="A252" s="35">
        <v>252</v>
      </c>
      <c r="D252" s="23" t="str" cm="1">
        <f t="array" ref="D252">IFERROR([1]!CalculateHyphenString(C252),"")</f>
        <v/>
      </c>
      <c r="G252" s="26"/>
      <c r="H252" s="2"/>
      <c r="L252" s="21">
        <f t="shared" si="6"/>
        <v>0</v>
      </c>
      <c r="N252" s="21">
        <f t="shared" si="7"/>
        <v>0</v>
      </c>
      <c r="O252" s="2" cm="1">
        <f t="array" ref="O252:Q252">[1]!ConvertFeet(N252)</f>
        <v>0</v>
      </c>
      <c r="P252" s="2">
        <v>0</v>
      </c>
      <c r="Q252" s="2">
        <v>0</v>
      </c>
    </row>
    <row r="253" spans="1:17" x14ac:dyDescent="0.6">
      <c r="A253" s="34">
        <v>253</v>
      </c>
      <c r="D253" s="23" t="str" cm="1">
        <f t="array" ref="D253">IFERROR([1]!CalculateHyphenString(C253),"")</f>
        <v/>
      </c>
      <c r="G253" s="26"/>
      <c r="H253" s="2"/>
      <c r="L253" s="21">
        <f t="shared" si="6"/>
        <v>0</v>
      </c>
      <c r="N253" s="21">
        <f t="shared" si="7"/>
        <v>0</v>
      </c>
      <c r="O253" s="2" cm="1">
        <f t="array" ref="O253:Q253">[1]!ConvertFeet(N253)</f>
        <v>0</v>
      </c>
      <c r="P253" s="2">
        <v>0</v>
      </c>
      <c r="Q253" s="2">
        <v>0</v>
      </c>
    </row>
    <row r="254" spans="1:17" x14ac:dyDescent="0.6">
      <c r="A254" s="35">
        <v>254</v>
      </c>
      <c r="D254" s="23" t="str" cm="1">
        <f t="array" ref="D254">IFERROR([1]!CalculateHyphenString(C254),"")</f>
        <v/>
      </c>
      <c r="G254" s="26"/>
      <c r="H254" s="2"/>
      <c r="L254" s="21">
        <f t="shared" si="6"/>
        <v>0</v>
      </c>
      <c r="N254" s="21">
        <f t="shared" si="7"/>
        <v>0</v>
      </c>
      <c r="O254" s="2" cm="1">
        <f t="array" ref="O254:Q254">[1]!ConvertFeet(N254)</f>
        <v>0</v>
      </c>
      <c r="P254" s="2">
        <v>0</v>
      </c>
      <c r="Q254" s="2">
        <v>0</v>
      </c>
    </row>
    <row r="255" spans="1:17" x14ac:dyDescent="0.6">
      <c r="A255" s="34">
        <v>255</v>
      </c>
      <c r="D255" s="23" t="str" cm="1">
        <f t="array" ref="D255">IFERROR([1]!CalculateHyphenString(C255),"")</f>
        <v/>
      </c>
      <c r="G255" s="26"/>
      <c r="H255" s="2"/>
      <c r="L255" s="21">
        <f t="shared" si="6"/>
        <v>0</v>
      </c>
      <c r="N255" s="21">
        <f t="shared" si="7"/>
        <v>0</v>
      </c>
      <c r="O255" s="2" cm="1">
        <f t="array" ref="O255:Q255">[1]!ConvertFeet(N255)</f>
        <v>0</v>
      </c>
      <c r="P255" s="2">
        <v>0</v>
      </c>
      <c r="Q255" s="2">
        <v>0</v>
      </c>
    </row>
    <row r="256" spans="1:17" x14ac:dyDescent="0.6">
      <c r="A256" s="35">
        <v>256</v>
      </c>
      <c r="D256" s="23" t="str" cm="1">
        <f t="array" ref="D256">IFERROR([1]!CalculateHyphenString(C256),"")</f>
        <v/>
      </c>
      <c r="G256" s="26"/>
      <c r="H256" s="2"/>
      <c r="L256" s="21">
        <f t="shared" si="6"/>
        <v>0</v>
      </c>
      <c r="N256" s="21">
        <f t="shared" si="7"/>
        <v>0</v>
      </c>
      <c r="O256" s="2" cm="1">
        <f t="array" ref="O256:Q256">[1]!ConvertFeet(N256)</f>
        <v>0</v>
      </c>
      <c r="P256" s="2">
        <v>0</v>
      </c>
      <c r="Q256" s="2">
        <v>0</v>
      </c>
    </row>
    <row r="257" spans="1:17" x14ac:dyDescent="0.6">
      <c r="A257" s="34">
        <v>257</v>
      </c>
      <c r="D257" s="23" t="str" cm="1">
        <f t="array" ref="D257">IFERROR([1]!CalculateHyphenString(C257),"")</f>
        <v/>
      </c>
      <c r="G257" s="26"/>
      <c r="H257" s="2"/>
      <c r="L257" s="21">
        <f t="shared" si="6"/>
        <v>0</v>
      </c>
      <c r="N257" s="21">
        <f t="shared" si="7"/>
        <v>0</v>
      </c>
      <c r="O257" s="2" cm="1">
        <f t="array" ref="O257:Q257">[1]!ConvertFeet(N257)</f>
        <v>0</v>
      </c>
      <c r="P257" s="2">
        <v>0</v>
      </c>
      <c r="Q257" s="2">
        <v>0</v>
      </c>
    </row>
    <row r="258" spans="1:17" x14ac:dyDescent="0.6">
      <c r="A258" s="35">
        <v>258</v>
      </c>
      <c r="D258" s="23" t="str" cm="1">
        <f t="array" ref="D258">IFERROR([1]!CalculateHyphenString(C258),"")</f>
        <v/>
      </c>
      <c r="G258" s="26"/>
      <c r="H258" s="2"/>
      <c r="L258" s="21">
        <f t="shared" si="6"/>
        <v>0</v>
      </c>
      <c r="N258" s="21">
        <f t="shared" si="7"/>
        <v>0</v>
      </c>
      <c r="O258" s="2" cm="1">
        <f t="array" ref="O258:Q258">[1]!ConvertFeet(N258)</f>
        <v>0</v>
      </c>
      <c r="P258" s="2">
        <v>0</v>
      </c>
      <c r="Q258" s="2">
        <v>0</v>
      </c>
    </row>
    <row r="259" spans="1:17" x14ac:dyDescent="0.6">
      <c r="A259" s="34">
        <v>259</v>
      </c>
      <c r="D259" s="23" t="str" cm="1">
        <f t="array" ref="D259">IFERROR([1]!CalculateHyphenString(C259),"")</f>
        <v/>
      </c>
      <c r="G259" s="26"/>
      <c r="H259" s="2"/>
      <c r="L259" s="21">
        <f t="shared" si="6"/>
        <v>0</v>
      </c>
      <c r="N259" s="21">
        <f t="shared" si="7"/>
        <v>0</v>
      </c>
      <c r="O259" s="2" cm="1">
        <f t="array" ref="O259:Q259">[1]!ConvertFeet(N259)</f>
        <v>0</v>
      </c>
      <c r="P259" s="2">
        <v>0</v>
      </c>
      <c r="Q259" s="2">
        <v>0</v>
      </c>
    </row>
    <row r="260" spans="1:17" x14ac:dyDescent="0.6">
      <c r="A260" s="35">
        <v>260</v>
      </c>
      <c r="D260" s="23" t="str" cm="1">
        <f t="array" ref="D260">IFERROR([1]!CalculateHyphenString(C260),"")</f>
        <v/>
      </c>
      <c r="G260" s="26"/>
      <c r="H260" s="2"/>
      <c r="L260" s="21">
        <f t="shared" si="6"/>
        <v>0</v>
      </c>
      <c r="N260" s="21">
        <f t="shared" si="7"/>
        <v>0</v>
      </c>
      <c r="O260" s="2" cm="1">
        <f t="array" ref="O260:Q260">[1]!ConvertFeet(N260)</f>
        <v>0</v>
      </c>
      <c r="P260" s="2">
        <v>0</v>
      </c>
      <c r="Q260" s="2">
        <v>0</v>
      </c>
    </row>
    <row r="261" spans="1:17" x14ac:dyDescent="0.6">
      <c r="A261" s="34">
        <v>261</v>
      </c>
      <c r="D261" s="23" t="str" cm="1">
        <f t="array" ref="D261">IFERROR([1]!CalculateHyphenString(C261),"")</f>
        <v/>
      </c>
      <c r="G261" s="26"/>
      <c r="H261" s="2"/>
      <c r="L261" s="21">
        <f t="shared" si="6"/>
        <v>0</v>
      </c>
      <c r="N261" s="21">
        <f t="shared" si="7"/>
        <v>0</v>
      </c>
      <c r="O261" s="2" cm="1">
        <f t="array" ref="O261:Q261">[1]!ConvertFeet(N261)</f>
        <v>0</v>
      </c>
      <c r="P261" s="2">
        <v>0</v>
      </c>
      <c r="Q261" s="2">
        <v>0</v>
      </c>
    </row>
    <row r="262" spans="1:17" x14ac:dyDescent="0.6">
      <c r="A262" s="35">
        <v>262</v>
      </c>
      <c r="D262" s="23" t="str" cm="1">
        <f t="array" ref="D262">IFERROR([1]!CalculateHyphenString(C262),"")</f>
        <v/>
      </c>
      <c r="G262" s="26"/>
      <c r="H262" s="2"/>
      <c r="L262" s="21">
        <f t="shared" si="6"/>
        <v>0</v>
      </c>
      <c r="N262" s="21">
        <f t="shared" si="7"/>
        <v>0</v>
      </c>
      <c r="O262" s="2" cm="1">
        <f t="array" ref="O262:Q262">[1]!ConvertFeet(N262)</f>
        <v>0</v>
      </c>
      <c r="P262" s="2">
        <v>0</v>
      </c>
      <c r="Q262" s="2">
        <v>0</v>
      </c>
    </row>
    <row r="263" spans="1:17" x14ac:dyDescent="0.6">
      <c r="A263" s="34">
        <v>263</v>
      </c>
      <c r="D263" s="23" t="str" cm="1">
        <f t="array" ref="D263">IFERROR([1]!CalculateHyphenString(C263),"")</f>
        <v/>
      </c>
      <c r="G263" s="26"/>
      <c r="H263" s="2"/>
      <c r="L263" s="21">
        <f t="shared" ref="L263:L326" si="8">(K263*$G$3)/100</f>
        <v>0</v>
      </c>
      <c r="N263" s="21">
        <f t="shared" ref="N263:N326" si="9">K263-(L263+M263)</f>
        <v>0</v>
      </c>
      <c r="O263" s="2" cm="1">
        <f t="array" ref="O263:Q263">[1]!ConvertFeet(N263)</f>
        <v>0</v>
      </c>
      <c r="P263" s="2">
        <v>0</v>
      </c>
      <c r="Q263" s="2">
        <v>0</v>
      </c>
    </row>
    <row r="264" spans="1:17" x14ac:dyDescent="0.6">
      <c r="A264" s="35">
        <v>264</v>
      </c>
      <c r="D264" s="23" t="str" cm="1">
        <f t="array" ref="D264">IFERROR([1]!CalculateHyphenString(C264),"")</f>
        <v/>
      </c>
      <c r="G264" s="26"/>
      <c r="H264" s="2"/>
      <c r="L264" s="21">
        <f t="shared" si="8"/>
        <v>0</v>
      </c>
      <c r="N264" s="21">
        <f t="shared" si="9"/>
        <v>0</v>
      </c>
      <c r="O264" s="2" cm="1">
        <f t="array" ref="O264:Q264">[1]!ConvertFeet(N264)</f>
        <v>0</v>
      </c>
      <c r="P264" s="2">
        <v>0</v>
      </c>
      <c r="Q264" s="2">
        <v>0</v>
      </c>
    </row>
    <row r="265" spans="1:17" x14ac:dyDescent="0.6">
      <c r="A265" s="34">
        <v>265</v>
      </c>
      <c r="D265" s="23" t="str" cm="1">
        <f t="array" ref="D265">IFERROR([1]!CalculateHyphenString(C265),"")</f>
        <v/>
      </c>
      <c r="G265" s="26"/>
      <c r="H265" s="2"/>
      <c r="L265" s="21">
        <f t="shared" si="8"/>
        <v>0</v>
      </c>
      <c r="N265" s="21">
        <f t="shared" si="9"/>
        <v>0</v>
      </c>
      <c r="O265" s="2" cm="1">
        <f t="array" ref="O265:Q265">[1]!ConvertFeet(N265)</f>
        <v>0</v>
      </c>
      <c r="P265" s="2">
        <v>0</v>
      </c>
      <c r="Q265" s="2">
        <v>0</v>
      </c>
    </row>
    <row r="266" spans="1:17" x14ac:dyDescent="0.6">
      <c r="A266" s="35">
        <v>266</v>
      </c>
      <c r="D266" s="23" t="str" cm="1">
        <f t="array" ref="D266">IFERROR([1]!CalculateHyphenString(C266),"")</f>
        <v/>
      </c>
      <c r="G266" s="26"/>
      <c r="H266" s="2"/>
      <c r="L266" s="21">
        <f t="shared" si="8"/>
        <v>0</v>
      </c>
      <c r="N266" s="21">
        <f t="shared" si="9"/>
        <v>0</v>
      </c>
      <c r="O266" s="2" cm="1">
        <f t="array" ref="O266:Q266">[1]!ConvertFeet(N266)</f>
        <v>0</v>
      </c>
      <c r="P266" s="2">
        <v>0</v>
      </c>
      <c r="Q266" s="2">
        <v>0</v>
      </c>
    </row>
    <row r="267" spans="1:17" x14ac:dyDescent="0.6">
      <c r="A267" s="34">
        <v>267</v>
      </c>
      <c r="D267" s="23" t="str" cm="1">
        <f t="array" ref="D267">IFERROR([1]!CalculateHyphenString(C267),"")</f>
        <v/>
      </c>
      <c r="G267" s="26"/>
      <c r="H267" s="2"/>
      <c r="L267" s="21">
        <f t="shared" si="8"/>
        <v>0</v>
      </c>
      <c r="N267" s="21">
        <f t="shared" si="9"/>
        <v>0</v>
      </c>
      <c r="O267" s="2" cm="1">
        <f t="array" ref="O267:Q267">[1]!ConvertFeet(N267)</f>
        <v>0</v>
      </c>
      <c r="P267" s="2">
        <v>0</v>
      </c>
      <c r="Q267" s="2">
        <v>0</v>
      </c>
    </row>
    <row r="268" spans="1:17" x14ac:dyDescent="0.6">
      <c r="A268" s="35">
        <v>268</v>
      </c>
      <c r="D268" s="23" t="str" cm="1">
        <f t="array" ref="D268">IFERROR([1]!CalculateHyphenString(C268),"")</f>
        <v/>
      </c>
      <c r="G268" s="26"/>
      <c r="H268" s="2"/>
      <c r="L268" s="21">
        <f t="shared" si="8"/>
        <v>0</v>
      </c>
      <c r="N268" s="21">
        <f t="shared" si="9"/>
        <v>0</v>
      </c>
      <c r="O268" s="2" cm="1">
        <f t="array" ref="O268:Q268">[1]!ConvertFeet(N268)</f>
        <v>0</v>
      </c>
      <c r="P268" s="2">
        <v>0</v>
      </c>
      <c r="Q268" s="2">
        <v>0</v>
      </c>
    </row>
    <row r="269" spans="1:17" x14ac:dyDescent="0.6">
      <c r="A269" s="34">
        <v>269</v>
      </c>
      <c r="D269" s="23" t="str" cm="1">
        <f t="array" ref="D269">IFERROR([1]!CalculateHyphenString(C269),"")</f>
        <v/>
      </c>
      <c r="G269" s="26"/>
      <c r="H269" s="2"/>
      <c r="L269" s="21">
        <f t="shared" si="8"/>
        <v>0</v>
      </c>
      <c r="N269" s="21">
        <f t="shared" si="9"/>
        <v>0</v>
      </c>
      <c r="O269" s="2" cm="1">
        <f t="array" ref="O269:Q269">[1]!ConvertFeet(N269)</f>
        <v>0</v>
      </c>
      <c r="P269" s="2">
        <v>0</v>
      </c>
      <c r="Q269" s="2">
        <v>0</v>
      </c>
    </row>
    <row r="270" spans="1:17" x14ac:dyDescent="0.6">
      <c r="A270" s="35">
        <v>270</v>
      </c>
      <c r="D270" s="23" t="str" cm="1">
        <f t="array" ref="D270">IFERROR([1]!CalculateHyphenString(C270),"")</f>
        <v/>
      </c>
      <c r="G270" s="26"/>
      <c r="H270" s="2"/>
      <c r="L270" s="21">
        <f t="shared" si="8"/>
        <v>0</v>
      </c>
      <c r="N270" s="21">
        <f t="shared" si="9"/>
        <v>0</v>
      </c>
      <c r="O270" s="2" cm="1">
        <f t="array" ref="O270:Q270">[1]!ConvertFeet(N270)</f>
        <v>0</v>
      </c>
      <c r="P270" s="2">
        <v>0</v>
      </c>
      <c r="Q270" s="2">
        <v>0</v>
      </c>
    </row>
    <row r="271" spans="1:17" x14ac:dyDescent="0.6">
      <c r="A271" s="34">
        <v>271</v>
      </c>
      <c r="D271" s="23" t="str" cm="1">
        <f t="array" ref="D271">IFERROR([1]!CalculateHyphenString(C271),"")</f>
        <v/>
      </c>
      <c r="G271" s="26"/>
      <c r="H271" s="2"/>
      <c r="L271" s="21">
        <f t="shared" si="8"/>
        <v>0</v>
      </c>
      <c r="N271" s="21">
        <f t="shared" si="9"/>
        <v>0</v>
      </c>
      <c r="O271" s="2" cm="1">
        <f t="array" ref="O271:Q271">[1]!ConvertFeet(N271)</f>
        <v>0</v>
      </c>
      <c r="P271" s="2">
        <v>0</v>
      </c>
      <c r="Q271" s="2">
        <v>0</v>
      </c>
    </row>
    <row r="272" spans="1:17" x14ac:dyDescent="0.6">
      <c r="A272" s="35">
        <v>272</v>
      </c>
      <c r="D272" s="23" t="str" cm="1">
        <f t="array" ref="D272">IFERROR([1]!CalculateHyphenString(C272),"")</f>
        <v/>
      </c>
      <c r="G272" s="26"/>
      <c r="H272" s="2"/>
      <c r="L272" s="21">
        <f t="shared" si="8"/>
        <v>0</v>
      </c>
      <c r="N272" s="21">
        <f t="shared" si="9"/>
        <v>0</v>
      </c>
      <c r="O272" s="2" cm="1">
        <f t="array" ref="O272:Q272">[1]!ConvertFeet(N272)</f>
        <v>0</v>
      </c>
      <c r="P272" s="2">
        <v>0</v>
      </c>
      <c r="Q272" s="2">
        <v>0</v>
      </c>
    </row>
    <row r="273" spans="1:17" x14ac:dyDescent="0.6">
      <c r="A273" s="34">
        <v>273</v>
      </c>
      <c r="D273" s="23" t="str" cm="1">
        <f t="array" ref="D273">IFERROR([1]!CalculateHyphenString(C273),"")</f>
        <v/>
      </c>
      <c r="G273" s="26"/>
      <c r="H273" s="2"/>
      <c r="L273" s="21">
        <f t="shared" si="8"/>
        <v>0</v>
      </c>
      <c r="N273" s="21">
        <f t="shared" si="9"/>
        <v>0</v>
      </c>
      <c r="O273" s="2" cm="1">
        <f t="array" ref="O273:Q273">[1]!ConvertFeet(N273)</f>
        <v>0</v>
      </c>
      <c r="P273" s="2">
        <v>0</v>
      </c>
      <c r="Q273" s="2">
        <v>0</v>
      </c>
    </row>
    <row r="274" spans="1:17" x14ac:dyDescent="0.6">
      <c r="A274" s="35">
        <v>274</v>
      </c>
      <c r="D274" s="23" t="str" cm="1">
        <f t="array" ref="D274">IFERROR([1]!CalculateHyphenString(C274),"")</f>
        <v/>
      </c>
      <c r="G274" s="26"/>
      <c r="H274" s="2"/>
      <c r="L274" s="21">
        <f t="shared" si="8"/>
        <v>0</v>
      </c>
      <c r="N274" s="21">
        <f t="shared" si="9"/>
        <v>0</v>
      </c>
      <c r="O274" s="2" cm="1">
        <f t="array" ref="O274:Q274">[1]!ConvertFeet(N274)</f>
        <v>0</v>
      </c>
      <c r="P274" s="2">
        <v>0</v>
      </c>
      <c r="Q274" s="2">
        <v>0</v>
      </c>
    </row>
    <row r="275" spans="1:17" x14ac:dyDescent="0.6">
      <c r="A275" s="34">
        <v>275</v>
      </c>
      <c r="D275" s="23" t="str" cm="1">
        <f t="array" ref="D275">IFERROR([1]!CalculateHyphenString(C275),"")</f>
        <v/>
      </c>
      <c r="G275" s="26"/>
      <c r="H275" s="2"/>
      <c r="L275" s="21">
        <f t="shared" si="8"/>
        <v>0</v>
      </c>
      <c r="N275" s="21">
        <f t="shared" si="9"/>
        <v>0</v>
      </c>
      <c r="O275" s="2" cm="1">
        <f t="array" ref="O275:Q275">[1]!ConvertFeet(N275)</f>
        <v>0</v>
      </c>
      <c r="P275" s="2">
        <v>0</v>
      </c>
      <c r="Q275" s="2">
        <v>0</v>
      </c>
    </row>
    <row r="276" spans="1:17" x14ac:dyDescent="0.6">
      <c r="A276" s="35">
        <v>276</v>
      </c>
      <c r="D276" s="23" t="str" cm="1">
        <f t="array" ref="D276">IFERROR([1]!CalculateHyphenString(C276),"")</f>
        <v/>
      </c>
      <c r="G276" s="26"/>
      <c r="H276" s="2"/>
      <c r="L276" s="21">
        <f t="shared" si="8"/>
        <v>0</v>
      </c>
      <c r="N276" s="21">
        <f t="shared" si="9"/>
        <v>0</v>
      </c>
      <c r="O276" s="2" cm="1">
        <f t="array" ref="O276:Q276">[1]!ConvertFeet(N276)</f>
        <v>0</v>
      </c>
      <c r="P276" s="2">
        <v>0</v>
      </c>
      <c r="Q276" s="2">
        <v>0</v>
      </c>
    </row>
    <row r="277" spans="1:17" x14ac:dyDescent="0.6">
      <c r="A277" s="34">
        <v>277</v>
      </c>
      <c r="D277" s="23" t="str" cm="1">
        <f t="array" ref="D277">IFERROR([1]!CalculateHyphenString(C277),"")</f>
        <v/>
      </c>
      <c r="G277" s="26"/>
      <c r="H277" s="2"/>
      <c r="L277" s="21">
        <f t="shared" si="8"/>
        <v>0</v>
      </c>
      <c r="N277" s="21">
        <f t="shared" si="9"/>
        <v>0</v>
      </c>
      <c r="O277" s="2" cm="1">
        <f t="array" ref="O277:Q277">[1]!ConvertFeet(N277)</f>
        <v>0</v>
      </c>
      <c r="P277" s="2">
        <v>0</v>
      </c>
      <c r="Q277" s="2">
        <v>0</v>
      </c>
    </row>
    <row r="278" spans="1:17" x14ac:dyDescent="0.6">
      <c r="A278" s="35">
        <v>278</v>
      </c>
      <c r="D278" s="23" t="str" cm="1">
        <f t="array" ref="D278">IFERROR([1]!CalculateHyphenString(C278),"")</f>
        <v/>
      </c>
      <c r="G278" s="26"/>
      <c r="H278" s="2"/>
      <c r="L278" s="21">
        <f t="shared" si="8"/>
        <v>0</v>
      </c>
      <c r="N278" s="21">
        <f t="shared" si="9"/>
        <v>0</v>
      </c>
      <c r="O278" s="2" cm="1">
        <f t="array" ref="O278:Q278">[1]!ConvertFeet(N278)</f>
        <v>0</v>
      </c>
      <c r="P278" s="2">
        <v>0</v>
      </c>
      <c r="Q278" s="2">
        <v>0</v>
      </c>
    </row>
    <row r="279" spans="1:17" x14ac:dyDescent="0.6">
      <c r="A279" s="34">
        <v>279</v>
      </c>
      <c r="D279" s="23" t="str" cm="1">
        <f t="array" ref="D279">IFERROR([1]!CalculateHyphenString(C279),"")</f>
        <v/>
      </c>
      <c r="G279" s="26"/>
      <c r="H279" s="2"/>
      <c r="L279" s="21">
        <f t="shared" si="8"/>
        <v>0</v>
      </c>
      <c r="N279" s="21">
        <f t="shared" si="9"/>
        <v>0</v>
      </c>
      <c r="O279" s="2" cm="1">
        <f t="array" ref="O279:Q279">[1]!ConvertFeet(N279)</f>
        <v>0</v>
      </c>
      <c r="P279" s="2">
        <v>0</v>
      </c>
      <c r="Q279" s="2">
        <v>0</v>
      </c>
    </row>
    <row r="280" spans="1:17" x14ac:dyDescent="0.6">
      <c r="A280" s="35">
        <v>280</v>
      </c>
      <c r="D280" s="23" t="str" cm="1">
        <f t="array" ref="D280">IFERROR([1]!CalculateHyphenString(C280),"")</f>
        <v/>
      </c>
      <c r="G280" s="26"/>
      <c r="H280" s="2"/>
      <c r="L280" s="21">
        <f t="shared" si="8"/>
        <v>0</v>
      </c>
      <c r="N280" s="21">
        <f t="shared" si="9"/>
        <v>0</v>
      </c>
      <c r="O280" s="2" cm="1">
        <f t="array" ref="O280:Q280">[1]!ConvertFeet(N280)</f>
        <v>0</v>
      </c>
      <c r="P280" s="2">
        <v>0</v>
      </c>
      <c r="Q280" s="2">
        <v>0</v>
      </c>
    </row>
    <row r="281" spans="1:17" x14ac:dyDescent="0.6">
      <c r="A281" s="34">
        <v>281</v>
      </c>
      <c r="D281" s="23" t="str" cm="1">
        <f t="array" ref="D281">IFERROR([1]!CalculateHyphenString(C281),"")</f>
        <v/>
      </c>
      <c r="G281" s="26"/>
      <c r="H281" s="2"/>
      <c r="L281" s="21">
        <f t="shared" si="8"/>
        <v>0</v>
      </c>
      <c r="N281" s="21">
        <f t="shared" si="9"/>
        <v>0</v>
      </c>
      <c r="O281" s="2" cm="1">
        <f t="array" ref="O281:Q281">[1]!ConvertFeet(N281)</f>
        <v>0</v>
      </c>
      <c r="P281" s="2">
        <v>0</v>
      </c>
      <c r="Q281" s="2">
        <v>0</v>
      </c>
    </row>
    <row r="282" spans="1:17" x14ac:dyDescent="0.6">
      <c r="A282" s="35">
        <v>282</v>
      </c>
      <c r="D282" s="23" t="str" cm="1">
        <f t="array" ref="D282">IFERROR([1]!CalculateHyphenString(C282),"")</f>
        <v/>
      </c>
      <c r="G282" s="26"/>
      <c r="H282" s="2"/>
      <c r="L282" s="21">
        <f t="shared" si="8"/>
        <v>0</v>
      </c>
      <c r="N282" s="21">
        <f t="shared" si="9"/>
        <v>0</v>
      </c>
      <c r="O282" s="2" cm="1">
        <f t="array" ref="O282:Q282">[1]!ConvertFeet(N282)</f>
        <v>0</v>
      </c>
      <c r="P282" s="2">
        <v>0</v>
      </c>
      <c r="Q282" s="2">
        <v>0</v>
      </c>
    </row>
    <row r="283" spans="1:17" x14ac:dyDescent="0.6">
      <c r="A283" s="34">
        <v>283</v>
      </c>
      <c r="D283" s="23" t="str" cm="1">
        <f t="array" ref="D283">IFERROR([1]!CalculateHyphenString(C283),"")</f>
        <v/>
      </c>
      <c r="G283" s="26"/>
      <c r="H283" s="2"/>
      <c r="L283" s="21">
        <f t="shared" si="8"/>
        <v>0</v>
      </c>
      <c r="N283" s="21">
        <f t="shared" si="9"/>
        <v>0</v>
      </c>
      <c r="O283" s="2" cm="1">
        <f t="array" ref="O283:Q283">[1]!ConvertFeet(N283)</f>
        <v>0</v>
      </c>
      <c r="P283" s="2">
        <v>0</v>
      </c>
      <c r="Q283" s="2">
        <v>0</v>
      </c>
    </row>
    <row r="284" spans="1:17" x14ac:dyDescent="0.6">
      <c r="A284" s="35">
        <v>284</v>
      </c>
      <c r="D284" s="23" t="str" cm="1">
        <f t="array" ref="D284">IFERROR([1]!CalculateHyphenString(C284),"")</f>
        <v/>
      </c>
      <c r="G284" s="26"/>
      <c r="H284" s="2"/>
      <c r="L284" s="21">
        <f t="shared" si="8"/>
        <v>0</v>
      </c>
      <c r="N284" s="21">
        <f t="shared" si="9"/>
        <v>0</v>
      </c>
      <c r="O284" s="2" cm="1">
        <f t="array" ref="O284:Q284">[1]!ConvertFeet(N284)</f>
        <v>0</v>
      </c>
      <c r="P284" s="2">
        <v>0</v>
      </c>
      <c r="Q284" s="2">
        <v>0</v>
      </c>
    </row>
    <row r="285" spans="1:17" x14ac:dyDescent="0.6">
      <c r="A285" s="34">
        <v>285</v>
      </c>
      <c r="D285" s="23" t="str" cm="1">
        <f t="array" ref="D285">IFERROR([1]!CalculateHyphenString(C285),"")</f>
        <v/>
      </c>
      <c r="G285" s="26"/>
      <c r="H285" s="2"/>
      <c r="L285" s="21">
        <f t="shared" si="8"/>
        <v>0</v>
      </c>
      <c r="N285" s="21">
        <f t="shared" si="9"/>
        <v>0</v>
      </c>
      <c r="O285" s="2" cm="1">
        <f t="array" ref="O285:Q285">[1]!ConvertFeet(N285)</f>
        <v>0</v>
      </c>
      <c r="P285" s="2">
        <v>0</v>
      </c>
      <c r="Q285" s="2">
        <v>0</v>
      </c>
    </row>
    <row r="286" spans="1:17" x14ac:dyDescent="0.6">
      <c r="A286" s="35">
        <v>286</v>
      </c>
      <c r="D286" s="23" t="str" cm="1">
        <f t="array" ref="D286">IFERROR([1]!CalculateHyphenString(C286),"")</f>
        <v/>
      </c>
      <c r="G286" s="26"/>
      <c r="H286" s="2"/>
      <c r="L286" s="21">
        <f t="shared" si="8"/>
        <v>0</v>
      </c>
      <c r="N286" s="21">
        <f t="shared" si="9"/>
        <v>0</v>
      </c>
      <c r="O286" s="2" cm="1">
        <f t="array" ref="O286:Q286">[1]!ConvertFeet(N286)</f>
        <v>0</v>
      </c>
      <c r="P286" s="2">
        <v>0</v>
      </c>
      <c r="Q286" s="2">
        <v>0</v>
      </c>
    </row>
    <row r="287" spans="1:17" x14ac:dyDescent="0.6">
      <c r="A287" s="34">
        <v>287</v>
      </c>
      <c r="D287" s="23" t="str" cm="1">
        <f t="array" ref="D287">IFERROR([1]!CalculateHyphenString(C287),"")</f>
        <v/>
      </c>
      <c r="G287" s="26"/>
      <c r="H287" s="2"/>
      <c r="L287" s="21">
        <f t="shared" si="8"/>
        <v>0</v>
      </c>
      <c r="N287" s="21">
        <f t="shared" si="9"/>
        <v>0</v>
      </c>
      <c r="O287" s="2" cm="1">
        <f t="array" ref="O287:Q287">[1]!ConvertFeet(N287)</f>
        <v>0</v>
      </c>
      <c r="P287" s="2">
        <v>0</v>
      </c>
      <c r="Q287" s="2">
        <v>0</v>
      </c>
    </row>
    <row r="288" spans="1:17" x14ac:dyDescent="0.6">
      <c r="A288" s="35">
        <v>288</v>
      </c>
      <c r="D288" s="23" t="str" cm="1">
        <f t="array" ref="D288">IFERROR([1]!CalculateHyphenString(C288),"")</f>
        <v/>
      </c>
      <c r="G288" s="26"/>
      <c r="H288" s="2"/>
      <c r="L288" s="21">
        <f t="shared" si="8"/>
        <v>0</v>
      </c>
      <c r="N288" s="21">
        <f t="shared" si="9"/>
        <v>0</v>
      </c>
      <c r="O288" s="2" cm="1">
        <f t="array" ref="O288:Q288">[1]!ConvertFeet(N288)</f>
        <v>0</v>
      </c>
      <c r="P288" s="2">
        <v>0</v>
      </c>
      <c r="Q288" s="2">
        <v>0</v>
      </c>
    </row>
    <row r="289" spans="1:17" x14ac:dyDescent="0.6">
      <c r="A289" s="34">
        <v>289</v>
      </c>
      <c r="D289" s="23" t="str" cm="1">
        <f t="array" ref="D289">IFERROR([1]!CalculateHyphenString(C289),"")</f>
        <v/>
      </c>
      <c r="G289" s="26"/>
      <c r="H289" s="2"/>
      <c r="L289" s="21">
        <f t="shared" si="8"/>
        <v>0</v>
      </c>
      <c r="N289" s="21">
        <f t="shared" si="9"/>
        <v>0</v>
      </c>
      <c r="O289" s="2" cm="1">
        <f t="array" ref="O289:Q289">[1]!ConvertFeet(N289)</f>
        <v>0</v>
      </c>
      <c r="P289" s="2">
        <v>0</v>
      </c>
      <c r="Q289" s="2">
        <v>0</v>
      </c>
    </row>
    <row r="290" spans="1:17" x14ac:dyDescent="0.6">
      <c r="A290" s="35">
        <v>290</v>
      </c>
      <c r="D290" s="23" t="str" cm="1">
        <f t="array" ref="D290">IFERROR([1]!CalculateHyphenString(C290),"")</f>
        <v/>
      </c>
      <c r="G290" s="26"/>
      <c r="H290" s="2"/>
      <c r="L290" s="21">
        <f t="shared" si="8"/>
        <v>0</v>
      </c>
      <c r="N290" s="21">
        <f t="shared" si="9"/>
        <v>0</v>
      </c>
      <c r="O290" s="2" cm="1">
        <f t="array" ref="O290:Q290">[1]!ConvertFeet(N290)</f>
        <v>0</v>
      </c>
      <c r="P290" s="2">
        <v>0</v>
      </c>
      <c r="Q290" s="2">
        <v>0</v>
      </c>
    </row>
    <row r="291" spans="1:17" x14ac:dyDescent="0.6">
      <c r="A291" s="34">
        <v>291</v>
      </c>
      <c r="D291" s="23" t="str" cm="1">
        <f t="array" ref="D291">IFERROR([1]!CalculateHyphenString(C291),"")</f>
        <v/>
      </c>
      <c r="G291" s="26"/>
      <c r="H291" s="2"/>
      <c r="L291" s="21">
        <f t="shared" si="8"/>
        <v>0</v>
      </c>
      <c r="N291" s="21">
        <f t="shared" si="9"/>
        <v>0</v>
      </c>
      <c r="O291" s="2" cm="1">
        <f t="array" ref="O291:Q291">[1]!ConvertFeet(N291)</f>
        <v>0</v>
      </c>
      <c r="P291" s="2">
        <v>0</v>
      </c>
      <c r="Q291" s="2">
        <v>0</v>
      </c>
    </row>
    <row r="292" spans="1:17" x14ac:dyDescent="0.6">
      <c r="A292" s="35">
        <v>292</v>
      </c>
      <c r="D292" s="23" t="str" cm="1">
        <f t="array" ref="D292">IFERROR([1]!CalculateHyphenString(C292),"")</f>
        <v/>
      </c>
      <c r="G292" s="26"/>
      <c r="H292" s="2"/>
      <c r="L292" s="21">
        <f t="shared" si="8"/>
        <v>0</v>
      </c>
      <c r="N292" s="21">
        <f t="shared" si="9"/>
        <v>0</v>
      </c>
      <c r="O292" s="2" cm="1">
        <f t="array" ref="O292:Q292">[1]!ConvertFeet(N292)</f>
        <v>0</v>
      </c>
      <c r="P292" s="2">
        <v>0</v>
      </c>
      <c r="Q292" s="2">
        <v>0</v>
      </c>
    </row>
    <row r="293" spans="1:17" x14ac:dyDescent="0.6">
      <c r="A293" s="34">
        <v>293</v>
      </c>
      <c r="D293" s="23" t="str" cm="1">
        <f t="array" ref="D293">IFERROR([1]!CalculateHyphenString(C293),"")</f>
        <v/>
      </c>
      <c r="G293" s="26"/>
      <c r="H293" s="2"/>
      <c r="L293" s="21">
        <f t="shared" si="8"/>
        <v>0</v>
      </c>
      <c r="N293" s="21">
        <f t="shared" si="9"/>
        <v>0</v>
      </c>
      <c r="O293" s="2" cm="1">
        <f t="array" ref="O293:Q293">[1]!ConvertFeet(N293)</f>
        <v>0</v>
      </c>
      <c r="P293" s="2">
        <v>0</v>
      </c>
      <c r="Q293" s="2">
        <v>0</v>
      </c>
    </row>
    <row r="294" spans="1:17" x14ac:dyDescent="0.6">
      <c r="A294" s="35">
        <v>294</v>
      </c>
      <c r="D294" s="23" t="str" cm="1">
        <f t="array" ref="D294">IFERROR([1]!CalculateHyphenString(C294),"")</f>
        <v/>
      </c>
      <c r="G294" s="26"/>
      <c r="H294" s="2"/>
      <c r="L294" s="21">
        <f t="shared" si="8"/>
        <v>0</v>
      </c>
      <c r="N294" s="21">
        <f t="shared" si="9"/>
        <v>0</v>
      </c>
      <c r="O294" s="2" cm="1">
        <f t="array" ref="O294:Q294">[1]!ConvertFeet(N294)</f>
        <v>0</v>
      </c>
      <c r="P294" s="2">
        <v>0</v>
      </c>
      <c r="Q294" s="2">
        <v>0</v>
      </c>
    </row>
    <row r="295" spans="1:17" x14ac:dyDescent="0.6">
      <c r="A295" s="34">
        <v>295</v>
      </c>
      <c r="D295" s="23" t="str" cm="1">
        <f t="array" ref="D295">IFERROR([1]!CalculateHyphenString(C295),"")</f>
        <v/>
      </c>
      <c r="G295" s="26"/>
      <c r="H295" s="2"/>
      <c r="L295" s="21">
        <f t="shared" si="8"/>
        <v>0</v>
      </c>
      <c r="N295" s="21">
        <f t="shared" si="9"/>
        <v>0</v>
      </c>
      <c r="O295" s="2" cm="1">
        <f t="array" ref="O295:Q295">[1]!ConvertFeet(N295)</f>
        <v>0</v>
      </c>
      <c r="P295" s="2">
        <v>0</v>
      </c>
      <c r="Q295" s="2">
        <v>0</v>
      </c>
    </row>
    <row r="296" spans="1:17" x14ac:dyDescent="0.6">
      <c r="A296" s="35">
        <v>296</v>
      </c>
      <c r="D296" s="23" t="str" cm="1">
        <f t="array" ref="D296">IFERROR([1]!CalculateHyphenString(C296),"")</f>
        <v/>
      </c>
      <c r="G296" s="26"/>
      <c r="H296" s="2"/>
      <c r="L296" s="21">
        <f t="shared" si="8"/>
        <v>0</v>
      </c>
      <c r="N296" s="21">
        <f t="shared" si="9"/>
        <v>0</v>
      </c>
      <c r="O296" s="2" cm="1">
        <f t="array" ref="O296:Q296">[1]!ConvertFeet(N296)</f>
        <v>0</v>
      </c>
      <c r="P296" s="2">
        <v>0</v>
      </c>
      <c r="Q296" s="2">
        <v>0</v>
      </c>
    </row>
    <row r="297" spans="1:17" x14ac:dyDescent="0.6">
      <c r="A297" s="34">
        <v>297</v>
      </c>
      <c r="D297" s="23" t="str" cm="1">
        <f t="array" ref="D297">IFERROR([1]!CalculateHyphenString(C297),"")</f>
        <v/>
      </c>
      <c r="G297" s="26"/>
      <c r="H297" s="2"/>
      <c r="L297" s="21">
        <f t="shared" si="8"/>
        <v>0</v>
      </c>
      <c r="N297" s="21">
        <f t="shared" si="9"/>
        <v>0</v>
      </c>
      <c r="O297" s="2" cm="1">
        <f t="array" ref="O297:Q297">[1]!ConvertFeet(N297)</f>
        <v>0</v>
      </c>
      <c r="P297" s="2">
        <v>0</v>
      </c>
      <c r="Q297" s="2">
        <v>0</v>
      </c>
    </row>
    <row r="298" spans="1:17" x14ac:dyDescent="0.6">
      <c r="A298" s="35">
        <v>298</v>
      </c>
      <c r="D298" s="23" t="str" cm="1">
        <f t="array" ref="D298">IFERROR([1]!CalculateHyphenString(C298),"")</f>
        <v/>
      </c>
      <c r="G298" s="26"/>
      <c r="H298" s="2"/>
      <c r="L298" s="21">
        <f t="shared" si="8"/>
        <v>0</v>
      </c>
      <c r="N298" s="21">
        <f t="shared" si="9"/>
        <v>0</v>
      </c>
      <c r="O298" s="2" cm="1">
        <f t="array" ref="O298:Q298">[1]!ConvertFeet(N298)</f>
        <v>0</v>
      </c>
      <c r="P298" s="2">
        <v>0</v>
      </c>
      <c r="Q298" s="2">
        <v>0</v>
      </c>
    </row>
    <row r="299" spans="1:17" x14ac:dyDescent="0.6">
      <c r="A299" s="34">
        <v>299</v>
      </c>
      <c r="D299" s="23" t="str" cm="1">
        <f t="array" ref="D299">IFERROR([1]!CalculateHyphenString(C299),"")</f>
        <v/>
      </c>
      <c r="G299" s="26"/>
      <c r="H299" s="2"/>
      <c r="L299" s="21">
        <f t="shared" si="8"/>
        <v>0</v>
      </c>
      <c r="N299" s="21">
        <f t="shared" si="9"/>
        <v>0</v>
      </c>
      <c r="O299" s="2" cm="1">
        <f t="array" ref="O299:Q299">[1]!ConvertFeet(N299)</f>
        <v>0</v>
      </c>
      <c r="P299" s="2">
        <v>0</v>
      </c>
      <c r="Q299" s="2">
        <v>0</v>
      </c>
    </row>
    <row r="300" spans="1:17" x14ac:dyDescent="0.6">
      <c r="A300" s="35">
        <v>300</v>
      </c>
      <c r="D300" s="23" t="str" cm="1">
        <f t="array" ref="D300">IFERROR([1]!CalculateHyphenString(C300),"")</f>
        <v/>
      </c>
      <c r="G300" s="26"/>
      <c r="H300" s="2"/>
      <c r="L300" s="21">
        <f t="shared" si="8"/>
        <v>0</v>
      </c>
      <c r="N300" s="21">
        <f t="shared" si="9"/>
        <v>0</v>
      </c>
      <c r="O300" s="2" cm="1">
        <f t="array" ref="O300:Q300">[1]!ConvertFeet(N300)</f>
        <v>0</v>
      </c>
      <c r="P300" s="2">
        <v>0</v>
      </c>
      <c r="Q300" s="2">
        <v>0</v>
      </c>
    </row>
    <row r="301" spans="1:17" x14ac:dyDescent="0.6">
      <c r="A301" s="34">
        <v>301</v>
      </c>
      <c r="D301" s="23" t="str" cm="1">
        <f t="array" ref="D301">IFERROR([1]!CalculateHyphenString(C301),"")</f>
        <v/>
      </c>
      <c r="G301" s="26"/>
      <c r="H301" s="2"/>
      <c r="L301" s="21">
        <f t="shared" si="8"/>
        <v>0</v>
      </c>
      <c r="N301" s="21">
        <f t="shared" si="9"/>
        <v>0</v>
      </c>
      <c r="O301" s="2" cm="1">
        <f t="array" ref="O301:Q301">[1]!ConvertFeet(N301)</f>
        <v>0</v>
      </c>
      <c r="P301" s="2">
        <v>0</v>
      </c>
      <c r="Q301" s="2">
        <v>0</v>
      </c>
    </row>
    <row r="302" spans="1:17" x14ac:dyDescent="0.6">
      <c r="A302" s="35">
        <v>302</v>
      </c>
      <c r="D302" s="23" t="str" cm="1">
        <f t="array" ref="D302">IFERROR([1]!CalculateHyphenString(C302),"")</f>
        <v/>
      </c>
      <c r="G302" s="26"/>
      <c r="H302" s="2"/>
      <c r="L302" s="21">
        <f t="shared" si="8"/>
        <v>0</v>
      </c>
      <c r="N302" s="21">
        <f t="shared" si="9"/>
        <v>0</v>
      </c>
      <c r="O302" s="2" cm="1">
        <f t="array" ref="O302:Q302">[1]!ConvertFeet(N302)</f>
        <v>0</v>
      </c>
      <c r="P302" s="2">
        <v>0</v>
      </c>
      <c r="Q302" s="2">
        <v>0</v>
      </c>
    </row>
    <row r="303" spans="1:17" x14ac:dyDescent="0.6">
      <c r="A303" s="34">
        <v>303</v>
      </c>
      <c r="D303" s="23" t="str" cm="1">
        <f t="array" ref="D303">IFERROR([1]!CalculateHyphenString(C303),"")</f>
        <v/>
      </c>
      <c r="G303" s="26"/>
      <c r="H303" s="2"/>
      <c r="L303" s="21">
        <f t="shared" si="8"/>
        <v>0</v>
      </c>
      <c r="N303" s="21">
        <f t="shared" si="9"/>
        <v>0</v>
      </c>
      <c r="O303" s="2" cm="1">
        <f t="array" ref="O303:Q303">[1]!ConvertFeet(N303)</f>
        <v>0</v>
      </c>
      <c r="P303" s="2">
        <v>0</v>
      </c>
      <c r="Q303" s="2">
        <v>0</v>
      </c>
    </row>
    <row r="304" spans="1:17" x14ac:dyDescent="0.6">
      <c r="A304" s="35">
        <v>304</v>
      </c>
      <c r="D304" s="23" t="str" cm="1">
        <f t="array" ref="D304">IFERROR([1]!CalculateHyphenString(C304),"")</f>
        <v/>
      </c>
      <c r="G304" s="26"/>
      <c r="H304" s="2"/>
      <c r="L304" s="21">
        <f t="shared" si="8"/>
        <v>0</v>
      </c>
      <c r="N304" s="21">
        <f t="shared" si="9"/>
        <v>0</v>
      </c>
      <c r="O304" s="2" cm="1">
        <f t="array" ref="O304:Q304">[1]!ConvertFeet(N304)</f>
        <v>0</v>
      </c>
      <c r="P304" s="2">
        <v>0</v>
      </c>
      <c r="Q304" s="2">
        <v>0</v>
      </c>
    </row>
    <row r="305" spans="1:17" x14ac:dyDescent="0.6">
      <c r="A305" s="34">
        <v>305</v>
      </c>
      <c r="D305" s="23" t="str" cm="1">
        <f t="array" ref="D305">IFERROR([1]!CalculateHyphenString(C305),"")</f>
        <v/>
      </c>
      <c r="G305" s="26"/>
      <c r="H305" s="2"/>
      <c r="L305" s="21">
        <f t="shared" si="8"/>
        <v>0</v>
      </c>
      <c r="N305" s="21">
        <f t="shared" si="9"/>
        <v>0</v>
      </c>
      <c r="O305" s="2" cm="1">
        <f t="array" ref="O305:Q305">[1]!ConvertFeet(N305)</f>
        <v>0</v>
      </c>
      <c r="P305" s="2">
        <v>0</v>
      </c>
      <c r="Q305" s="2">
        <v>0</v>
      </c>
    </row>
    <row r="306" spans="1:17" x14ac:dyDescent="0.6">
      <c r="A306" s="35">
        <v>306</v>
      </c>
      <c r="D306" s="23" t="str" cm="1">
        <f t="array" ref="D306">IFERROR([1]!CalculateHyphenString(C306),"")</f>
        <v/>
      </c>
      <c r="G306" s="26"/>
      <c r="H306" s="2"/>
      <c r="L306" s="21">
        <f t="shared" si="8"/>
        <v>0</v>
      </c>
      <c r="N306" s="21">
        <f t="shared" si="9"/>
        <v>0</v>
      </c>
      <c r="O306" s="2" cm="1">
        <f t="array" ref="O306:Q306">[1]!ConvertFeet(N306)</f>
        <v>0</v>
      </c>
      <c r="P306" s="2">
        <v>0</v>
      </c>
      <c r="Q306" s="2">
        <v>0</v>
      </c>
    </row>
    <row r="307" spans="1:17" x14ac:dyDescent="0.6">
      <c r="A307" s="34">
        <v>307</v>
      </c>
      <c r="D307" s="23" t="str" cm="1">
        <f t="array" ref="D307">IFERROR([1]!CalculateHyphenString(C307),"")</f>
        <v/>
      </c>
      <c r="G307" s="26"/>
      <c r="H307" s="2"/>
      <c r="L307" s="21">
        <f t="shared" si="8"/>
        <v>0</v>
      </c>
      <c r="N307" s="21">
        <f t="shared" si="9"/>
        <v>0</v>
      </c>
      <c r="O307" s="2" cm="1">
        <f t="array" ref="O307:Q307">[1]!ConvertFeet(N307)</f>
        <v>0</v>
      </c>
      <c r="P307" s="2">
        <v>0</v>
      </c>
      <c r="Q307" s="2">
        <v>0</v>
      </c>
    </row>
    <row r="308" spans="1:17" x14ac:dyDescent="0.6">
      <c r="A308" s="35">
        <v>308</v>
      </c>
      <c r="D308" s="23" t="str" cm="1">
        <f t="array" ref="D308">IFERROR([1]!CalculateHyphenString(C308),"")</f>
        <v/>
      </c>
      <c r="G308" s="26"/>
      <c r="H308" s="2"/>
      <c r="L308" s="21">
        <f t="shared" si="8"/>
        <v>0</v>
      </c>
      <c r="N308" s="21">
        <f t="shared" si="9"/>
        <v>0</v>
      </c>
      <c r="O308" s="2" cm="1">
        <f t="array" ref="O308:Q308">[1]!ConvertFeet(N308)</f>
        <v>0</v>
      </c>
      <c r="P308" s="2">
        <v>0</v>
      </c>
      <c r="Q308" s="2">
        <v>0</v>
      </c>
    </row>
    <row r="309" spans="1:17" x14ac:dyDescent="0.6">
      <c r="A309" s="34">
        <v>309</v>
      </c>
      <c r="D309" s="23" t="str" cm="1">
        <f t="array" ref="D309">IFERROR([1]!CalculateHyphenString(C309),"")</f>
        <v/>
      </c>
      <c r="G309" s="26"/>
      <c r="H309" s="2"/>
      <c r="L309" s="21">
        <f t="shared" si="8"/>
        <v>0</v>
      </c>
      <c r="N309" s="21">
        <f t="shared" si="9"/>
        <v>0</v>
      </c>
      <c r="O309" s="2" cm="1">
        <f t="array" ref="O309:Q309">[1]!ConvertFeet(N309)</f>
        <v>0</v>
      </c>
      <c r="P309" s="2">
        <v>0</v>
      </c>
      <c r="Q309" s="2">
        <v>0</v>
      </c>
    </row>
    <row r="310" spans="1:17" x14ac:dyDescent="0.6">
      <c r="A310" s="35">
        <v>310</v>
      </c>
      <c r="D310" s="23" t="str" cm="1">
        <f t="array" ref="D310">IFERROR([1]!CalculateHyphenString(C310),"")</f>
        <v/>
      </c>
      <c r="G310" s="26"/>
      <c r="H310" s="2"/>
      <c r="L310" s="21">
        <f t="shared" si="8"/>
        <v>0</v>
      </c>
      <c r="N310" s="21">
        <f t="shared" si="9"/>
        <v>0</v>
      </c>
      <c r="O310" s="2" cm="1">
        <f t="array" ref="O310:Q310">[1]!ConvertFeet(N310)</f>
        <v>0</v>
      </c>
      <c r="P310" s="2">
        <v>0</v>
      </c>
      <c r="Q310" s="2">
        <v>0</v>
      </c>
    </row>
    <row r="311" spans="1:17" x14ac:dyDescent="0.6">
      <c r="A311" s="34">
        <v>311</v>
      </c>
      <c r="D311" s="23" t="str" cm="1">
        <f t="array" ref="D311">IFERROR([1]!CalculateHyphenString(C311),"")</f>
        <v/>
      </c>
      <c r="G311" s="26"/>
      <c r="H311" s="2"/>
      <c r="L311" s="21">
        <f t="shared" si="8"/>
        <v>0</v>
      </c>
      <c r="N311" s="21">
        <f t="shared" si="9"/>
        <v>0</v>
      </c>
      <c r="O311" s="2" cm="1">
        <f t="array" ref="O311:Q311">[1]!ConvertFeet(N311)</f>
        <v>0</v>
      </c>
      <c r="P311" s="2">
        <v>0</v>
      </c>
      <c r="Q311" s="2">
        <v>0</v>
      </c>
    </row>
    <row r="312" spans="1:17" x14ac:dyDescent="0.6">
      <c r="A312" s="35">
        <v>312</v>
      </c>
      <c r="D312" s="23" t="str" cm="1">
        <f t="array" ref="D312">IFERROR([1]!CalculateHyphenString(C312),"")</f>
        <v/>
      </c>
      <c r="G312" s="26"/>
      <c r="H312" s="2"/>
      <c r="L312" s="21">
        <f t="shared" si="8"/>
        <v>0</v>
      </c>
      <c r="N312" s="21">
        <f t="shared" si="9"/>
        <v>0</v>
      </c>
      <c r="O312" s="2" cm="1">
        <f t="array" ref="O312:Q312">[1]!ConvertFeet(N312)</f>
        <v>0</v>
      </c>
      <c r="P312" s="2">
        <v>0</v>
      </c>
      <c r="Q312" s="2">
        <v>0</v>
      </c>
    </row>
    <row r="313" spans="1:17" x14ac:dyDescent="0.6">
      <c r="A313" s="34">
        <v>313</v>
      </c>
      <c r="D313" s="23" t="str" cm="1">
        <f t="array" ref="D313">IFERROR([1]!CalculateHyphenString(C313),"")</f>
        <v/>
      </c>
      <c r="G313" s="26"/>
      <c r="H313" s="2"/>
      <c r="L313" s="21">
        <f t="shared" si="8"/>
        <v>0</v>
      </c>
      <c r="N313" s="21">
        <f t="shared" si="9"/>
        <v>0</v>
      </c>
      <c r="O313" s="2" cm="1">
        <f t="array" ref="O313:Q313">[1]!ConvertFeet(N313)</f>
        <v>0</v>
      </c>
      <c r="P313" s="2">
        <v>0</v>
      </c>
      <c r="Q313" s="2">
        <v>0</v>
      </c>
    </row>
    <row r="314" spans="1:17" x14ac:dyDescent="0.6">
      <c r="A314" s="35">
        <v>314</v>
      </c>
      <c r="D314" s="23" t="str" cm="1">
        <f t="array" ref="D314">IFERROR([1]!CalculateHyphenString(C314),"")</f>
        <v/>
      </c>
      <c r="G314" s="26"/>
      <c r="H314" s="2"/>
      <c r="L314" s="21">
        <f t="shared" si="8"/>
        <v>0</v>
      </c>
      <c r="N314" s="21">
        <f t="shared" si="9"/>
        <v>0</v>
      </c>
      <c r="O314" s="2" cm="1">
        <f t="array" ref="O314:Q314">[1]!ConvertFeet(N314)</f>
        <v>0</v>
      </c>
      <c r="P314" s="2">
        <v>0</v>
      </c>
      <c r="Q314" s="2">
        <v>0</v>
      </c>
    </row>
    <row r="315" spans="1:17" x14ac:dyDescent="0.6">
      <c r="A315" s="34">
        <v>315</v>
      </c>
      <c r="D315" s="23" t="str" cm="1">
        <f t="array" ref="D315">IFERROR([1]!CalculateHyphenString(C315),"")</f>
        <v/>
      </c>
      <c r="G315" s="26"/>
      <c r="H315" s="2"/>
      <c r="L315" s="21">
        <f t="shared" si="8"/>
        <v>0</v>
      </c>
      <c r="N315" s="21">
        <f t="shared" si="9"/>
        <v>0</v>
      </c>
      <c r="O315" s="2" cm="1">
        <f t="array" ref="O315:Q315">[1]!ConvertFeet(N315)</f>
        <v>0</v>
      </c>
      <c r="P315" s="2">
        <v>0</v>
      </c>
      <c r="Q315" s="2">
        <v>0</v>
      </c>
    </row>
    <row r="316" spans="1:17" x14ac:dyDescent="0.6">
      <c r="A316" s="35">
        <v>316</v>
      </c>
      <c r="D316" s="23" t="str" cm="1">
        <f t="array" ref="D316">IFERROR([1]!CalculateHyphenString(C316),"")</f>
        <v/>
      </c>
      <c r="G316" s="26"/>
      <c r="H316" s="2"/>
      <c r="L316" s="21">
        <f t="shared" si="8"/>
        <v>0</v>
      </c>
      <c r="N316" s="21">
        <f t="shared" si="9"/>
        <v>0</v>
      </c>
      <c r="O316" s="2" cm="1">
        <f t="array" ref="O316:Q316">[1]!ConvertFeet(N316)</f>
        <v>0</v>
      </c>
      <c r="P316" s="2">
        <v>0</v>
      </c>
      <c r="Q316" s="2">
        <v>0</v>
      </c>
    </row>
    <row r="317" spans="1:17" x14ac:dyDescent="0.6">
      <c r="A317" s="34">
        <v>317</v>
      </c>
      <c r="D317" s="23" t="str" cm="1">
        <f t="array" ref="D317">IFERROR([1]!CalculateHyphenString(C317),"")</f>
        <v/>
      </c>
      <c r="G317" s="26"/>
      <c r="H317" s="2"/>
      <c r="L317" s="21">
        <f t="shared" si="8"/>
        <v>0</v>
      </c>
      <c r="N317" s="21">
        <f t="shared" si="9"/>
        <v>0</v>
      </c>
      <c r="O317" s="2" cm="1">
        <f t="array" ref="O317:Q317">[1]!ConvertFeet(N317)</f>
        <v>0</v>
      </c>
      <c r="P317" s="2">
        <v>0</v>
      </c>
      <c r="Q317" s="2">
        <v>0</v>
      </c>
    </row>
    <row r="318" spans="1:17" x14ac:dyDescent="0.6">
      <c r="A318" s="35">
        <v>318</v>
      </c>
      <c r="D318" s="23" t="str" cm="1">
        <f t="array" ref="D318">IFERROR([1]!CalculateHyphenString(C318),"")</f>
        <v/>
      </c>
      <c r="G318" s="26"/>
      <c r="H318" s="2"/>
      <c r="L318" s="21">
        <f t="shared" si="8"/>
        <v>0</v>
      </c>
      <c r="N318" s="21">
        <f t="shared" si="9"/>
        <v>0</v>
      </c>
      <c r="O318" s="2" cm="1">
        <f t="array" ref="O318:Q318">[1]!ConvertFeet(N318)</f>
        <v>0</v>
      </c>
      <c r="P318" s="2">
        <v>0</v>
      </c>
      <c r="Q318" s="2">
        <v>0</v>
      </c>
    </row>
    <row r="319" spans="1:17" x14ac:dyDescent="0.6">
      <c r="A319" s="34">
        <v>319</v>
      </c>
      <c r="D319" s="23" t="str" cm="1">
        <f t="array" ref="D319">IFERROR([1]!CalculateHyphenString(C319),"")</f>
        <v/>
      </c>
      <c r="G319" s="26"/>
      <c r="H319" s="2"/>
      <c r="L319" s="21">
        <f t="shared" si="8"/>
        <v>0</v>
      </c>
      <c r="N319" s="21">
        <f t="shared" si="9"/>
        <v>0</v>
      </c>
      <c r="O319" s="2" cm="1">
        <f t="array" ref="O319:Q319">[1]!ConvertFeet(N319)</f>
        <v>0</v>
      </c>
      <c r="P319" s="2">
        <v>0</v>
      </c>
      <c r="Q319" s="2">
        <v>0</v>
      </c>
    </row>
    <row r="320" spans="1:17" x14ac:dyDescent="0.6">
      <c r="A320" s="35">
        <v>320</v>
      </c>
      <c r="D320" s="23" t="str" cm="1">
        <f t="array" ref="D320">IFERROR([1]!CalculateHyphenString(C320),"")</f>
        <v/>
      </c>
      <c r="G320" s="26"/>
      <c r="H320" s="2"/>
      <c r="L320" s="21">
        <f t="shared" si="8"/>
        <v>0</v>
      </c>
      <c r="N320" s="21">
        <f t="shared" si="9"/>
        <v>0</v>
      </c>
      <c r="O320" s="2" cm="1">
        <f t="array" ref="O320:Q320">[1]!ConvertFeet(N320)</f>
        <v>0</v>
      </c>
      <c r="P320" s="2">
        <v>0</v>
      </c>
      <c r="Q320" s="2">
        <v>0</v>
      </c>
    </row>
    <row r="321" spans="1:17" x14ac:dyDescent="0.6">
      <c r="A321" s="34">
        <v>321</v>
      </c>
      <c r="D321" s="23" t="str" cm="1">
        <f t="array" ref="D321">IFERROR([1]!CalculateHyphenString(C321),"")</f>
        <v/>
      </c>
      <c r="G321" s="26"/>
      <c r="H321" s="2"/>
      <c r="L321" s="21">
        <f t="shared" si="8"/>
        <v>0</v>
      </c>
      <c r="N321" s="21">
        <f t="shared" si="9"/>
        <v>0</v>
      </c>
      <c r="O321" s="2" cm="1">
        <f t="array" ref="O321:Q321">[1]!ConvertFeet(N321)</f>
        <v>0</v>
      </c>
      <c r="P321" s="2">
        <v>0</v>
      </c>
      <c r="Q321" s="2">
        <v>0</v>
      </c>
    </row>
    <row r="322" spans="1:17" x14ac:dyDescent="0.6">
      <c r="A322" s="35">
        <v>322</v>
      </c>
      <c r="D322" s="23" t="str" cm="1">
        <f t="array" ref="D322">IFERROR([1]!CalculateHyphenString(C322),"")</f>
        <v/>
      </c>
      <c r="G322" s="26"/>
      <c r="H322" s="2"/>
      <c r="L322" s="21">
        <f t="shared" si="8"/>
        <v>0</v>
      </c>
      <c r="N322" s="21">
        <f t="shared" si="9"/>
        <v>0</v>
      </c>
      <c r="O322" s="2" cm="1">
        <f t="array" ref="O322:Q322">[1]!ConvertFeet(N322)</f>
        <v>0</v>
      </c>
      <c r="P322" s="2">
        <v>0</v>
      </c>
      <c r="Q322" s="2">
        <v>0</v>
      </c>
    </row>
    <row r="323" spans="1:17" x14ac:dyDescent="0.6">
      <c r="A323" s="34">
        <v>323</v>
      </c>
      <c r="D323" s="23" t="str" cm="1">
        <f t="array" ref="D323">IFERROR([1]!CalculateHyphenString(C323),"")</f>
        <v/>
      </c>
      <c r="G323" s="26"/>
      <c r="H323" s="2"/>
      <c r="L323" s="21">
        <f t="shared" si="8"/>
        <v>0</v>
      </c>
      <c r="N323" s="21">
        <f t="shared" si="9"/>
        <v>0</v>
      </c>
      <c r="O323" s="2" cm="1">
        <f t="array" ref="O323:Q323">[1]!ConvertFeet(N323)</f>
        <v>0</v>
      </c>
      <c r="P323" s="2">
        <v>0</v>
      </c>
      <c r="Q323" s="2">
        <v>0</v>
      </c>
    </row>
    <row r="324" spans="1:17" x14ac:dyDescent="0.6">
      <c r="A324" s="35">
        <v>324</v>
      </c>
      <c r="D324" s="23" t="str" cm="1">
        <f t="array" ref="D324">IFERROR([1]!CalculateHyphenString(C324),"")</f>
        <v/>
      </c>
      <c r="G324" s="26"/>
      <c r="H324" s="2"/>
      <c r="L324" s="21">
        <f t="shared" si="8"/>
        <v>0</v>
      </c>
      <c r="N324" s="21">
        <f t="shared" si="9"/>
        <v>0</v>
      </c>
      <c r="O324" s="2" cm="1">
        <f t="array" ref="O324:Q324">[1]!ConvertFeet(N324)</f>
        <v>0</v>
      </c>
      <c r="P324" s="2">
        <v>0</v>
      </c>
      <c r="Q324" s="2">
        <v>0</v>
      </c>
    </row>
    <row r="325" spans="1:17" x14ac:dyDescent="0.6">
      <c r="A325" s="34">
        <v>325</v>
      </c>
      <c r="D325" s="23" t="str" cm="1">
        <f t="array" ref="D325">IFERROR([1]!CalculateHyphenString(C325),"")</f>
        <v/>
      </c>
      <c r="G325" s="26"/>
      <c r="H325" s="2"/>
      <c r="L325" s="21">
        <f t="shared" si="8"/>
        <v>0</v>
      </c>
      <c r="N325" s="21">
        <f t="shared" si="9"/>
        <v>0</v>
      </c>
      <c r="O325" s="2" cm="1">
        <f t="array" ref="O325:Q325">[1]!ConvertFeet(N325)</f>
        <v>0</v>
      </c>
      <c r="P325" s="2">
        <v>0</v>
      </c>
      <c r="Q325" s="2">
        <v>0</v>
      </c>
    </row>
    <row r="326" spans="1:17" x14ac:dyDescent="0.6">
      <c r="A326" s="35">
        <v>326</v>
      </c>
      <c r="D326" s="23" t="str" cm="1">
        <f t="array" ref="D326">IFERROR([1]!CalculateHyphenString(C326),"")</f>
        <v/>
      </c>
      <c r="G326" s="26"/>
      <c r="H326" s="2"/>
      <c r="L326" s="21">
        <f t="shared" si="8"/>
        <v>0</v>
      </c>
      <c r="N326" s="21">
        <f t="shared" si="9"/>
        <v>0</v>
      </c>
      <c r="O326" s="2" cm="1">
        <f t="array" ref="O326:Q326">[1]!ConvertFeet(N326)</f>
        <v>0</v>
      </c>
      <c r="P326" s="2">
        <v>0</v>
      </c>
      <c r="Q326" s="2">
        <v>0</v>
      </c>
    </row>
    <row r="327" spans="1:17" x14ac:dyDescent="0.6">
      <c r="A327" s="34">
        <v>327</v>
      </c>
      <c r="D327" s="23" t="str" cm="1">
        <f t="array" ref="D327">IFERROR([1]!CalculateHyphenString(C327),"")</f>
        <v/>
      </c>
      <c r="G327" s="26"/>
      <c r="H327" s="2"/>
      <c r="L327" s="21">
        <f t="shared" ref="L327:L390" si="10">(K327*$G$3)/100</f>
        <v>0</v>
      </c>
      <c r="N327" s="21">
        <f t="shared" ref="N327:N390" si="11">K327-(L327+M327)</f>
        <v>0</v>
      </c>
      <c r="O327" s="2" cm="1">
        <f t="array" ref="O327:Q327">[1]!ConvertFeet(N327)</f>
        <v>0</v>
      </c>
      <c r="P327" s="2">
        <v>0</v>
      </c>
      <c r="Q327" s="2">
        <v>0</v>
      </c>
    </row>
    <row r="328" spans="1:17" x14ac:dyDescent="0.6">
      <c r="A328" s="35">
        <v>328</v>
      </c>
      <c r="D328" s="23" t="str" cm="1">
        <f t="array" ref="D328">IFERROR([1]!CalculateHyphenString(C328),"")</f>
        <v/>
      </c>
      <c r="G328" s="26"/>
      <c r="H328" s="2"/>
      <c r="L328" s="21">
        <f t="shared" si="10"/>
        <v>0</v>
      </c>
      <c r="N328" s="21">
        <f t="shared" si="11"/>
        <v>0</v>
      </c>
      <c r="O328" s="2" cm="1">
        <f t="array" ref="O328:Q328">[1]!ConvertFeet(N328)</f>
        <v>0</v>
      </c>
      <c r="P328" s="2">
        <v>0</v>
      </c>
      <c r="Q328" s="2">
        <v>0</v>
      </c>
    </row>
    <row r="329" spans="1:17" x14ac:dyDescent="0.6">
      <c r="A329" s="34">
        <v>329</v>
      </c>
      <c r="D329" s="23" t="str" cm="1">
        <f t="array" ref="D329">IFERROR([1]!CalculateHyphenString(C329),"")</f>
        <v/>
      </c>
      <c r="G329" s="26"/>
      <c r="H329" s="2"/>
      <c r="L329" s="21">
        <f t="shared" si="10"/>
        <v>0</v>
      </c>
      <c r="N329" s="21">
        <f t="shared" si="11"/>
        <v>0</v>
      </c>
      <c r="O329" s="2" cm="1">
        <f t="array" ref="O329:Q329">[1]!ConvertFeet(N329)</f>
        <v>0</v>
      </c>
      <c r="P329" s="2">
        <v>0</v>
      </c>
      <c r="Q329" s="2">
        <v>0</v>
      </c>
    </row>
    <row r="330" spans="1:17" x14ac:dyDescent="0.6">
      <c r="A330" s="35">
        <v>330</v>
      </c>
      <c r="D330" s="23" t="str" cm="1">
        <f t="array" ref="D330">IFERROR([1]!CalculateHyphenString(C330),"")</f>
        <v/>
      </c>
      <c r="G330" s="26"/>
      <c r="H330" s="2"/>
      <c r="L330" s="21">
        <f t="shared" si="10"/>
        <v>0</v>
      </c>
      <c r="N330" s="21">
        <f t="shared" si="11"/>
        <v>0</v>
      </c>
      <c r="O330" s="2" cm="1">
        <f t="array" ref="O330:Q330">[1]!ConvertFeet(N330)</f>
        <v>0</v>
      </c>
      <c r="P330" s="2">
        <v>0</v>
      </c>
      <c r="Q330" s="2">
        <v>0</v>
      </c>
    </row>
    <row r="331" spans="1:17" x14ac:dyDescent="0.6">
      <c r="A331" s="34">
        <v>331</v>
      </c>
      <c r="D331" s="23" t="str" cm="1">
        <f t="array" ref="D331">IFERROR([1]!CalculateHyphenString(C331),"")</f>
        <v/>
      </c>
      <c r="G331" s="26"/>
      <c r="H331" s="2"/>
      <c r="L331" s="21">
        <f t="shared" si="10"/>
        <v>0</v>
      </c>
      <c r="N331" s="21">
        <f t="shared" si="11"/>
        <v>0</v>
      </c>
      <c r="O331" s="2" cm="1">
        <f t="array" ref="O331:Q331">[1]!ConvertFeet(N331)</f>
        <v>0</v>
      </c>
      <c r="P331" s="2">
        <v>0</v>
      </c>
      <c r="Q331" s="2">
        <v>0</v>
      </c>
    </row>
    <row r="332" spans="1:17" x14ac:dyDescent="0.6">
      <c r="A332" s="35">
        <v>332</v>
      </c>
      <c r="D332" s="23" t="str" cm="1">
        <f t="array" ref="D332">IFERROR([1]!CalculateHyphenString(C332),"")</f>
        <v/>
      </c>
      <c r="G332" s="26"/>
      <c r="H332" s="2"/>
      <c r="L332" s="21">
        <f t="shared" si="10"/>
        <v>0</v>
      </c>
      <c r="N332" s="21">
        <f t="shared" si="11"/>
        <v>0</v>
      </c>
      <c r="O332" s="2" cm="1">
        <f t="array" ref="O332:Q332">[1]!ConvertFeet(N332)</f>
        <v>0</v>
      </c>
      <c r="P332" s="2">
        <v>0</v>
      </c>
      <c r="Q332" s="2">
        <v>0</v>
      </c>
    </row>
    <row r="333" spans="1:17" x14ac:dyDescent="0.6">
      <c r="A333" s="34">
        <v>333</v>
      </c>
      <c r="D333" s="23" t="str" cm="1">
        <f t="array" ref="D333">IFERROR([1]!CalculateHyphenString(C333),"")</f>
        <v/>
      </c>
      <c r="G333" s="26"/>
      <c r="H333" s="2"/>
      <c r="L333" s="21">
        <f t="shared" si="10"/>
        <v>0</v>
      </c>
      <c r="N333" s="21">
        <f t="shared" si="11"/>
        <v>0</v>
      </c>
      <c r="O333" s="2" cm="1">
        <f t="array" ref="O333:Q333">[1]!ConvertFeet(N333)</f>
        <v>0</v>
      </c>
      <c r="P333" s="2">
        <v>0</v>
      </c>
      <c r="Q333" s="2">
        <v>0</v>
      </c>
    </row>
    <row r="334" spans="1:17" x14ac:dyDescent="0.6">
      <c r="A334" s="35">
        <v>334</v>
      </c>
      <c r="D334" s="23" t="str" cm="1">
        <f t="array" ref="D334">IFERROR([1]!CalculateHyphenString(C334),"")</f>
        <v/>
      </c>
      <c r="G334" s="26"/>
      <c r="H334" s="2"/>
      <c r="L334" s="21">
        <f t="shared" si="10"/>
        <v>0</v>
      </c>
      <c r="N334" s="21">
        <f t="shared" si="11"/>
        <v>0</v>
      </c>
      <c r="O334" s="2" cm="1">
        <f t="array" ref="O334:Q334">[1]!ConvertFeet(N334)</f>
        <v>0</v>
      </c>
      <c r="P334" s="2">
        <v>0</v>
      </c>
      <c r="Q334" s="2">
        <v>0</v>
      </c>
    </row>
    <row r="335" spans="1:17" x14ac:dyDescent="0.6">
      <c r="A335" s="34">
        <v>335</v>
      </c>
      <c r="D335" s="23" t="str" cm="1">
        <f t="array" ref="D335">IFERROR([1]!CalculateHyphenString(C335),"")</f>
        <v/>
      </c>
      <c r="G335" s="26"/>
      <c r="H335" s="2"/>
      <c r="L335" s="21">
        <f t="shared" si="10"/>
        <v>0</v>
      </c>
      <c r="N335" s="21">
        <f t="shared" si="11"/>
        <v>0</v>
      </c>
      <c r="O335" s="2" cm="1">
        <f t="array" ref="O335:Q335">[1]!ConvertFeet(N335)</f>
        <v>0</v>
      </c>
      <c r="P335" s="2">
        <v>0</v>
      </c>
      <c r="Q335" s="2">
        <v>0</v>
      </c>
    </row>
    <row r="336" spans="1:17" x14ac:dyDescent="0.6">
      <c r="A336" s="35">
        <v>336</v>
      </c>
      <c r="D336" s="23" t="str" cm="1">
        <f t="array" ref="D336">IFERROR([1]!CalculateHyphenString(C336),"")</f>
        <v/>
      </c>
      <c r="G336" s="26"/>
      <c r="H336" s="2"/>
      <c r="L336" s="21">
        <f t="shared" si="10"/>
        <v>0</v>
      </c>
      <c r="N336" s="21">
        <f t="shared" si="11"/>
        <v>0</v>
      </c>
      <c r="O336" s="2" cm="1">
        <f t="array" ref="O336:Q336">[1]!ConvertFeet(N336)</f>
        <v>0</v>
      </c>
      <c r="P336" s="2">
        <v>0</v>
      </c>
      <c r="Q336" s="2">
        <v>0</v>
      </c>
    </row>
    <row r="337" spans="1:17" x14ac:dyDescent="0.6">
      <c r="A337" s="34">
        <v>337</v>
      </c>
      <c r="D337" s="23" t="str" cm="1">
        <f t="array" ref="D337">IFERROR([1]!CalculateHyphenString(C337),"")</f>
        <v/>
      </c>
      <c r="G337" s="26"/>
      <c r="H337" s="2"/>
      <c r="L337" s="21">
        <f t="shared" si="10"/>
        <v>0</v>
      </c>
      <c r="N337" s="21">
        <f t="shared" si="11"/>
        <v>0</v>
      </c>
      <c r="O337" s="2" cm="1">
        <f t="array" ref="O337:Q337">[1]!ConvertFeet(N337)</f>
        <v>0</v>
      </c>
      <c r="P337" s="2">
        <v>0</v>
      </c>
      <c r="Q337" s="2">
        <v>0</v>
      </c>
    </row>
    <row r="338" spans="1:17" x14ac:dyDescent="0.6">
      <c r="A338" s="35">
        <v>338</v>
      </c>
      <c r="D338" s="23" t="str" cm="1">
        <f t="array" ref="D338">IFERROR([1]!CalculateHyphenString(C338),"")</f>
        <v/>
      </c>
      <c r="G338" s="26"/>
      <c r="H338" s="2"/>
      <c r="L338" s="21">
        <f t="shared" si="10"/>
        <v>0</v>
      </c>
      <c r="N338" s="21">
        <f t="shared" si="11"/>
        <v>0</v>
      </c>
      <c r="O338" s="2" cm="1">
        <f t="array" ref="O338:Q338">[1]!ConvertFeet(N338)</f>
        <v>0</v>
      </c>
      <c r="P338" s="2">
        <v>0</v>
      </c>
      <c r="Q338" s="2">
        <v>0</v>
      </c>
    </row>
    <row r="339" spans="1:17" x14ac:dyDescent="0.6">
      <c r="A339" s="34">
        <v>339</v>
      </c>
      <c r="D339" s="23" t="str" cm="1">
        <f t="array" ref="D339">IFERROR([1]!CalculateHyphenString(C339),"")</f>
        <v/>
      </c>
      <c r="G339" s="26"/>
      <c r="H339" s="2"/>
      <c r="L339" s="21">
        <f t="shared" si="10"/>
        <v>0</v>
      </c>
      <c r="N339" s="21">
        <f t="shared" si="11"/>
        <v>0</v>
      </c>
      <c r="O339" s="2" cm="1">
        <f t="array" ref="O339:Q339">[1]!ConvertFeet(N339)</f>
        <v>0</v>
      </c>
      <c r="P339" s="2">
        <v>0</v>
      </c>
      <c r="Q339" s="2">
        <v>0</v>
      </c>
    </row>
    <row r="340" spans="1:17" x14ac:dyDescent="0.6">
      <c r="A340" s="35">
        <v>340</v>
      </c>
      <c r="D340" s="23" t="str" cm="1">
        <f t="array" ref="D340">IFERROR([1]!CalculateHyphenString(C340),"")</f>
        <v/>
      </c>
      <c r="G340" s="26"/>
      <c r="H340" s="2"/>
      <c r="L340" s="21">
        <f t="shared" si="10"/>
        <v>0</v>
      </c>
      <c r="N340" s="21">
        <f t="shared" si="11"/>
        <v>0</v>
      </c>
      <c r="O340" s="2" cm="1">
        <f t="array" ref="O340:Q340">[1]!ConvertFeet(N340)</f>
        <v>0</v>
      </c>
      <c r="P340" s="2">
        <v>0</v>
      </c>
      <c r="Q340" s="2">
        <v>0</v>
      </c>
    </row>
    <row r="341" spans="1:17" x14ac:dyDescent="0.6">
      <c r="A341" s="34">
        <v>341</v>
      </c>
      <c r="D341" s="23" t="str" cm="1">
        <f t="array" ref="D341">IFERROR([1]!CalculateHyphenString(C341),"")</f>
        <v/>
      </c>
      <c r="G341" s="26"/>
      <c r="H341" s="2"/>
      <c r="L341" s="21">
        <f t="shared" si="10"/>
        <v>0</v>
      </c>
      <c r="N341" s="21">
        <f t="shared" si="11"/>
        <v>0</v>
      </c>
      <c r="O341" s="2" cm="1">
        <f t="array" ref="O341:Q341">[1]!ConvertFeet(N341)</f>
        <v>0</v>
      </c>
      <c r="P341" s="2">
        <v>0</v>
      </c>
      <c r="Q341" s="2">
        <v>0</v>
      </c>
    </row>
    <row r="342" spans="1:17" x14ac:dyDescent="0.6">
      <c r="A342" s="35">
        <v>342</v>
      </c>
      <c r="D342" s="23" t="str" cm="1">
        <f t="array" ref="D342">IFERROR([1]!CalculateHyphenString(C342),"")</f>
        <v/>
      </c>
      <c r="G342" s="26"/>
      <c r="H342" s="2"/>
      <c r="L342" s="21">
        <f t="shared" si="10"/>
        <v>0</v>
      </c>
      <c r="N342" s="21">
        <f t="shared" si="11"/>
        <v>0</v>
      </c>
      <c r="O342" s="2" cm="1">
        <f t="array" ref="O342:Q342">[1]!ConvertFeet(N342)</f>
        <v>0</v>
      </c>
      <c r="P342" s="2">
        <v>0</v>
      </c>
      <c r="Q342" s="2">
        <v>0</v>
      </c>
    </row>
    <row r="343" spans="1:17" x14ac:dyDescent="0.6">
      <c r="A343" s="34">
        <v>343</v>
      </c>
      <c r="D343" s="23" t="str" cm="1">
        <f t="array" ref="D343">IFERROR([1]!CalculateHyphenString(C343),"")</f>
        <v/>
      </c>
      <c r="G343" s="26"/>
      <c r="H343" s="2"/>
      <c r="L343" s="21">
        <f t="shared" si="10"/>
        <v>0</v>
      </c>
      <c r="N343" s="21">
        <f t="shared" si="11"/>
        <v>0</v>
      </c>
      <c r="O343" s="2" cm="1">
        <f t="array" ref="O343:Q343">[1]!ConvertFeet(N343)</f>
        <v>0</v>
      </c>
      <c r="P343" s="2">
        <v>0</v>
      </c>
      <c r="Q343" s="2">
        <v>0</v>
      </c>
    </row>
    <row r="344" spans="1:17" x14ac:dyDescent="0.6">
      <c r="A344" s="35">
        <v>344</v>
      </c>
      <c r="D344" s="23" t="str" cm="1">
        <f t="array" ref="D344">IFERROR([1]!CalculateHyphenString(C344),"")</f>
        <v/>
      </c>
      <c r="G344" s="26"/>
      <c r="H344" s="2"/>
      <c r="L344" s="21">
        <f t="shared" si="10"/>
        <v>0</v>
      </c>
      <c r="N344" s="21">
        <f t="shared" si="11"/>
        <v>0</v>
      </c>
      <c r="O344" s="2" cm="1">
        <f t="array" ref="O344:Q344">[1]!ConvertFeet(N344)</f>
        <v>0</v>
      </c>
      <c r="P344" s="2">
        <v>0</v>
      </c>
      <c r="Q344" s="2">
        <v>0</v>
      </c>
    </row>
    <row r="345" spans="1:17" x14ac:dyDescent="0.6">
      <c r="A345" s="34">
        <v>345</v>
      </c>
      <c r="D345" s="23" t="str" cm="1">
        <f t="array" ref="D345">IFERROR([1]!CalculateHyphenString(C345),"")</f>
        <v/>
      </c>
      <c r="G345" s="26"/>
      <c r="H345" s="2"/>
      <c r="L345" s="21">
        <f t="shared" si="10"/>
        <v>0</v>
      </c>
      <c r="N345" s="21">
        <f t="shared" si="11"/>
        <v>0</v>
      </c>
      <c r="O345" s="2" cm="1">
        <f t="array" ref="O345:Q345">[1]!ConvertFeet(N345)</f>
        <v>0</v>
      </c>
      <c r="P345" s="2">
        <v>0</v>
      </c>
      <c r="Q345" s="2">
        <v>0</v>
      </c>
    </row>
    <row r="346" spans="1:17" x14ac:dyDescent="0.6">
      <c r="A346" s="35">
        <v>346</v>
      </c>
      <c r="D346" s="23" t="str" cm="1">
        <f t="array" ref="D346">IFERROR([1]!CalculateHyphenString(C346),"")</f>
        <v/>
      </c>
      <c r="G346" s="26"/>
      <c r="H346" s="2"/>
      <c r="L346" s="21">
        <f t="shared" si="10"/>
        <v>0</v>
      </c>
      <c r="N346" s="21">
        <f t="shared" si="11"/>
        <v>0</v>
      </c>
      <c r="O346" s="2" cm="1">
        <f t="array" ref="O346:Q346">[1]!ConvertFeet(N346)</f>
        <v>0</v>
      </c>
      <c r="P346" s="2">
        <v>0</v>
      </c>
      <c r="Q346" s="2">
        <v>0</v>
      </c>
    </row>
    <row r="347" spans="1:17" x14ac:dyDescent="0.6">
      <c r="A347" s="34">
        <v>347</v>
      </c>
      <c r="D347" s="23" t="str" cm="1">
        <f t="array" ref="D347">IFERROR([1]!CalculateHyphenString(C347),"")</f>
        <v/>
      </c>
      <c r="G347" s="26"/>
      <c r="H347" s="2"/>
      <c r="L347" s="21">
        <f t="shared" si="10"/>
        <v>0</v>
      </c>
      <c r="N347" s="21">
        <f t="shared" si="11"/>
        <v>0</v>
      </c>
      <c r="O347" s="2" cm="1">
        <f t="array" ref="O347:Q347">[1]!ConvertFeet(N347)</f>
        <v>0</v>
      </c>
      <c r="P347" s="2">
        <v>0</v>
      </c>
      <c r="Q347" s="2">
        <v>0</v>
      </c>
    </row>
    <row r="348" spans="1:17" x14ac:dyDescent="0.6">
      <c r="A348" s="35">
        <v>348</v>
      </c>
      <c r="D348" s="23" t="str" cm="1">
        <f t="array" ref="D348">IFERROR([1]!CalculateHyphenString(C348),"")</f>
        <v/>
      </c>
      <c r="G348" s="26"/>
      <c r="H348" s="2"/>
      <c r="L348" s="21">
        <f t="shared" si="10"/>
        <v>0</v>
      </c>
      <c r="N348" s="21">
        <f t="shared" si="11"/>
        <v>0</v>
      </c>
      <c r="O348" s="2" cm="1">
        <f t="array" ref="O348:Q348">[1]!ConvertFeet(N348)</f>
        <v>0</v>
      </c>
      <c r="P348" s="2">
        <v>0</v>
      </c>
      <c r="Q348" s="2">
        <v>0</v>
      </c>
    </row>
    <row r="349" spans="1:17" x14ac:dyDescent="0.6">
      <c r="A349" s="34">
        <v>349</v>
      </c>
      <c r="D349" s="23" t="str" cm="1">
        <f t="array" ref="D349">IFERROR([1]!CalculateHyphenString(C349),"")</f>
        <v/>
      </c>
      <c r="G349" s="26"/>
      <c r="H349" s="2"/>
      <c r="L349" s="21">
        <f t="shared" si="10"/>
        <v>0</v>
      </c>
      <c r="N349" s="21">
        <f t="shared" si="11"/>
        <v>0</v>
      </c>
      <c r="O349" s="2" cm="1">
        <f t="array" ref="O349:Q349">[1]!ConvertFeet(N349)</f>
        <v>0</v>
      </c>
      <c r="P349" s="2">
        <v>0</v>
      </c>
      <c r="Q349" s="2">
        <v>0</v>
      </c>
    </row>
    <row r="350" spans="1:17" x14ac:dyDescent="0.6">
      <c r="A350" s="35">
        <v>350</v>
      </c>
      <c r="D350" s="23" t="str" cm="1">
        <f t="array" ref="D350">IFERROR([1]!CalculateHyphenString(C350),"")</f>
        <v/>
      </c>
      <c r="G350" s="26"/>
      <c r="H350" s="2"/>
      <c r="L350" s="21">
        <f t="shared" si="10"/>
        <v>0</v>
      </c>
      <c r="N350" s="21">
        <f t="shared" si="11"/>
        <v>0</v>
      </c>
      <c r="O350" s="2" cm="1">
        <f t="array" ref="O350:Q350">[1]!ConvertFeet(N350)</f>
        <v>0</v>
      </c>
      <c r="P350" s="2">
        <v>0</v>
      </c>
      <c r="Q350" s="2">
        <v>0</v>
      </c>
    </row>
    <row r="351" spans="1:17" x14ac:dyDescent="0.6">
      <c r="A351" s="34">
        <v>351</v>
      </c>
      <c r="D351" s="23" t="str" cm="1">
        <f t="array" ref="D351">IFERROR([1]!CalculateHyphenString(C351),"")</f>
        <v/>
      </c>
      <c r="G351" s="26"/>
      <c r="H351" s="2"/>
      <c r="L351" s="21">
        <f t="shared" si="10"/>
        <v>0</v>
      </c>
      <c r="N351" s="21">
        <f t="shared" si="11"/>
        <v>0</v>
      </c>
      <c r="O351" s="2" cm="1">
        <f t="array" ref="O351:Q351">[1]!ConvertFeet(N351)</f>
        <v>0</v>
      </c>
      <c r="P351" s="2">
        <v>0</v>
      </c>
      <c r="Q351" s="2">
        <v>0</v>
      </c>
    </row>
    <row r="352" spans="1:17" x14ac:dyDescent="0.6">
      <c r="A352" s="35">
        <v>352</v>
      </c>
      <c r="D352" s="23" t="str" cm="1">
        <f t="array" ref="D352">IFERROR([1]!CalculateHyphenString(C352),"")</f>
        <v/>
      </c>
      <c r="G352" s="26"/>
      <c r="H352" s="2"/>
      <c r="L352" s="21">
        <f t="shared" si="10"/>
        <v>0</v>
      </c>
      <c r="N352" s="21">
        <f t="shared" si="11"/>
        <v>0</v>
      </c>
      <c r="O352" s="2" cm="1">
        <f t="array" ref="O352:Q352">[1]!ConvertFeet(N352)</f>
        <v>0</v>
      </c>
      <c r="P352" s="2">
        <v>0</v>
      </c>
      <c r="Q352" s="2">
        <v>0</v>
      </c>
    </row>
    <row r="353" spans="1:17" x14ac:dyDescent="0.6">
      <c r="A353" s="34">
        <v>353</v>
      </c>
      <c r="D353" s="23" t="str" cm="1">
        <f t="array" ref="D353">IFERROR([1]!CalculateHyphenString(C353),"")</f>
        <v/>
      </c>
      <c r="G353" s="26"/>
      <c r="H353" s="2"/>
      <c r="L353" s="21">
        <f t="shared" si="10"/>
        <v>0</v>
      </c>
      <c r="N353" s="21">
        <f t="shared" si="11"/>
        <v>0</v>
      </c>
      <c r="O353" s="2" cm="1">
        <f t="array" ref="O353:Q353">[1]!ConvertFeet(N353)</f>
        <v>0</v>
      </c>
      <c r="P353" s="2">
        <v>0</v>
      </c>
      <c r="Q353" s="2">
        <v>0</v>
      </c>
    </row>
    <row r="354" spans="1:17" x14ac:dyDescent="0.6">
      <c r="A354" s="35">
        <v>354</v>
      </c>
      <c r="D354" s="23" t="str" cm="1">
        <f t="array" ref="D354">IFERROR([1]!CalculateHyphenString(C354),"")</f>
        <v/>
      </c>
      <c r="G354" s="26"/>
      <c r="H354" s="2"/>
      <c r="L354" s="21">
        <f t="shared" si="10"/>
        <v>0</v>
      </c>
      <c r="N354" s="21">
        <f t="shared" si="11"/>
        <v>0</v>
      </c>
      <c r="O354" s="2" cm="1">
        <f t="array" ref="O354:Q354">[1]!ConvertFeet(N354)</f>
        <v>0</v>
      </c>
      <c r="P354" s="2">
        <v>0</v>
      </c>
      <c r="Q354" s="2">
        <v>0</v>
      </c>
    </row>
    <row r="355" spans="1:17" x14ac:dyDescent="0.6">
      <c r="A355" s="34">
        <v>355</v>
      </c>
      <c r="D355" s="23" t="str" cm="1">
        <f t="array" ref="D355">IFERROR([1]!CalculateHyphenString(C355),"")</f>
        <v/>
      </c>
      <c r="G355" s="26"/>
      <c r="H355" s="2"/>
      <c r="L355" s="21">
        <f t="shared" si="10"/>
        <v>0</v>
      </c>
      <c r="N355" s="21">
        <f t="shared" si="11"/>
        <v>0</v>
      </c>
      <c r="O355" s="2" cm="1">
        <f t="array" ref="O355:Q355">[1]!ConvertFeet(N355)</f>
        <v>0</v>
      </c>
      <c r="P355" s="2">
        <v>0</v>
      </c>
      <c r="Q355" s="2">
        <v>0</v>
      </c>
    </row>
    <row r="356" spans="1:17" x14ac:dyDescent="0.6">
      <c r="A356" s="35">
        <v>356</v>
      </c>
      <c r="D356" s="23" t="str" cm="1">
        <f t="array" ref="D356">IFERROR([1]!CalculateHyphenString(C356),"")</f>
        <v/>
      </c>
      <c r="G356" s="26"/>
      <c r="H356" s="2"/>
      <c r="L356" s="21">
        <f t="shared" si="10"/>
        <v>0</v>
      </c>
      <c r="N356" s="21">
        <f t="shared" si="11"/>
        <v>0</v>
      </c>
      <c r="O356" s="2" cm="1">
        <f t="array" ref="O356:Q356">[1]!ConvertFeet(N356)</f>
        <v>0</v>
      </c>
      <c r="P356" s="2">
        <v>0</v>
      </c>
      <c r="Q356" s="2">
        <v>0</v>
      </c>
    </row>
    <row r="357" spans="1:17" x14ac:dyDescent="0.6">
      <c r="A357" s="34">
        <v>357</v>
      </c>
      <c r="D357" s="23" t="str" cm="1">
        <f t="array" ref="D357">IFERROR([1]!CalculateHyphenString(C357),"")</f>
        <v/>
      </c>
      <c r="G357" s="26"/>
      <c r="H357" s="2"/>
      <c r="L357" s="21">
        <f t="shared" si="10"/>
        <v>0</v>
      </c>
      <c r="N357" s="21">
        <f t="shared" si="11"/>
        <v>0</v>
      </c>
      <c r="O357" s="2" cm="1">
        <f t="array" ref="O357:Q357">[1]!ConvertFeet(N357)</f>
        <v>0</v>
      </c>
      <c r="P357" s="2">
        <v>0</v>
      </c>
      <c r="Q357" s="2">
        <v>0</v>
      </c>
    </row>
    <row r="358" spans="1:17" x14ac:dyDescent="0.6">
      <c r="A358" s="35">
        <v>358</v>
      </c>
      <c r="D358" s="23" t="str" cm="1">
        <f t="array" ref="D358">IFERROR([1]!CalculateHyphenString(C358),"")</f>
        <v/>
      </c>
      <c r="G358" s="26"/>
      <c r="H358" s="2"/>
      <c r="L358" s="21">
        <f t="shared" si="10"/>
        <v>0</v>
      </c>
      <c r="N358" s="21">
        <f t="shared" si="11"/>
        <v>0</v>
      </c>
      <c r="O358" s="2" cm="1">
        <f t="array" ref="O358:Q358">[1]!ConvertFeet(N358)</f>
        <v>0</v>
      </c>
      <c r="P358" s="2">
        <v>0</v>
      </c>
      <c r="Q358" s="2">
        <v>0</v>
      </c>
    </row>
    <row r="359" spans="1:17" x14ac:dyDescent="0.6">
      <c r="A359" s="34">
        <v>359</v>
      </c>
      <c r="D359" s="23" t="str" cm="1">
        <f t="array" ref="D359">IFERROR([1]!CalculateHyphenString(C359),"")</f>
        <v/>
      </c>
      <c r="G359" s="26"/>
      <c r="H359" s="2"/>
      <c r="L359" s="21">
        <f t="shared" si="10"/>
        <v>0</v>
      </c>
      <c r="N359" s="21">
        <f t="shared" si="11"/>
        <v>0</v>
      </c>
      <c r="O359" s="2" cm="1">
        <f t="array" ref="O359:Q359">[1]!ConvertFeet(N359)</f>
        <v>0</v>
      </c>
      <c r="P359" s="2">
        <v>0</v>
      </c>
      <c r="Q359" s="2">
        <v>0</v>
      </c>
    </row>
    <row r="360" spans="1:17" x14ac:dyDescent="0.6">
      <c r="A360" s="35">
        <v>360</v>
      </c>
      <c r="D360" s="23" t="str" cm="1">
        <f t="array" ref="D360">IFERROR([1]!CalculateHyphenString(C360),"")</f>
        <v/>
      </c>
      <c r="G360" s="26"/>
      <c r="H360" s="2"/>
      <c r="L360" s="21">
        <f t="shared" si="10"/>
        <v>0</v>
      </c>
      <c r="N360" s="21">
        <f t="shared" si="11"/>
        <v>0</v>
      </c>
      <c r="O360" s="2" cm="1">
        <f t="array" ref="O360:Q360">[1]!ConvertFeet(N360)</f>
        <v>0</v>
      </c>
      <c r="P360" s="2">
        <v>0</v>
      </c>
      <c r="Q360" s="2">
        <v>0</v>
      </c>
    </row>
    <row r="361" spans="1:17" x14ac:dyDescent="0.6">
      <c r="A361" s="34">
        <v>361</v>
      </c>
      <c r="D361" s="23" t="str" cm="1">
        <f t="array" ref="D361">IFERROR([1]!CalculateHyphenString(C361),"")</f>
        <v/>
      </c>
      <c r="G361" s="26"/>
      <c r="H361" s="2"/>
      <c r="L361" s="21">
        <f t="shared" si="10"/>
        <v>0</v>
      </c>
      <c r="N361" s="21">
        <f t="shared" si="11"/>
        <v>0</v>
      </c>
      <c r="O361" s="2" cm="1">
        <f t="array" ref="O361:Q361">[1]!ConvertFeet(N361)</f>
        <v>0</v>
      </c>
      <c r="P361" s="2">
        <v>0</v>
      </c>
      <c r="Q361" s="2">
        <v>0</v>
      </c>
    </row>
    <row r="362" spans="1:17" x14ac:dyDescent="0.6">
      <c r="A362" s="35">
        <v>362</v>
      </c>
      <c r="D362" s="23" t="str" cm="1">
        <f t="array" ref="D362">IFERROR([1]!CalculateHyphenString(C362),"")</f>
        <v/>
      </c>
      <c r="G362" s="26"/>
      <c r="H362" s="2"/>
      <c r="L362" s="21">
        <f t="shared" si="10"/>
        <v>0</v>
      </c>
      <c r="N362" s="21">
        <f t="shared" si="11"/>
        <v>0</v>
      </c>
      <c r="O362" s="2" cm="1">
        <f t="array" ref="O362:Q362">[1]!ConvertFeet(N362)</f>
        <v>0</v>
      </c>
      <c r="P362" s="2">
        <v>0</v>
      </c>
      <c r="Q362" s="2">
        <v>0</v>
      </c>
    </row>
    <row r="363" spans="1:17" x14ac:dyDescent="0.6">
      <c r="A363" s="34">
        <v>363</v>
      </c>
      <c r="D363" s="23" t="str" cm="1">
        <f t="array" ref="D363">IFERROR([1]!CalculateHyphenString(C363),"")</f>
        <v/>
      </c>
      <c r="G363" s="26"/>
      <c r="H363" s="2"/>
      <c r="L363" s="21">
        <f t="shared" si="10"/>
        <v>0</v>
      </c>
      <c r="N363" s="21">
        <f t="shared" si="11"/>
        <v>0</v>
      </c>
      <c r="O363" s="2" cm="1">
        <f t="array" ref="O363:Q363">[1]!ConvertFeet(N363)</f>
        <v>0</v>
      </c>
      <c r="P363" s="2">
        <v>0</v>
      </c>
      <c r="Q363" s="2">
        <v>0</v>
      </c>
    </row>
    <row r="364" spans="1:17" x14ac:dyDescent="0.6">
      <c r="A364" s="35">
        <v>364</v>
      </c>
      <c r="D364" s="23" t="str" cm="1">
        <f t="array" ref="D364">IFERROR([1]!CalculateHyphenString(C364),"")</f>
        <v/>
      </c>
      <c r="G364" s="26"/>
      <c r="H364" s="2"/>
      <c r="L364" s="21">
        <f t="shared" si="10"/>
        <v>0</v>
      </c>
      <c r="N364" s="21">
        <f t="shared" si="11"/>
        <v>0</v>
      </c>
      <c r="O364" s="2" cm="1">
        <f t="array" ref="O364:Q364">[1]!ConvertFeet(N364)</f>
        <v>0</v>
      </c>
      <c r="P364" s="2">
        <v>0</v>
      </c>
      <c r="Q364" s="2">
        <v>0</v>
      </c>
    </row>
    <row r="365" spans="1:17" x14ac:dyDescent="0.6">
      <c r="A365" s="34">
        <v>365</v>
      </c>
      <c r="D365" s="23" t="str" cm="1">
        <f t="array" ref="D365">IFERROR([1]!CalculateHyphenString(C365),"")</f>
        <v/>
      </c>
      <c r="G365" s="26"/>
      <c r="H365" s="2"/>
      <c r="L365" s="21">
        <f t="shared" si="10"/>
        <v>0</v>
      </c>
      <c r="N365" s="21">
        <f t="shared" si="11"/>
        <v>0</v>
      </c>
      <c r="O365" s="2" cm="1">
        <f t="array" ref="O365:Q365">[1]!ConvertFeet(N365)</f>
        <v>0</v>
      </c>
      <c r="P365" s="2">
        <v>0</v>
      </c>
      <c r="Q365" s="2">
        <v>0</v>
      </c>
    </row>
    <row r="366" spans="1:17" x14ac:dyDescent="0.6">
      <c r="A366" s="35">
        <v>366</v>
      </c>
      <c r="D366" s="23" t="str" cm="1">
        <f t="array" ref="D366">IFERROR([1]!CalculateHyphenString(C366),"")</f>
        <v/>
      </c>
      <c r="G366" s="26"/>
      <c r="H366" s="2"/>
      <c r="L366" s="21">
        <f t="shared" si="10"/>
        <v>0</v>
      </c>
      <c r="N366" s="21">
        <f t="shared" si="11"/>
        <v>0</v>
      </c>
      <c r="O366" s="2" cm="1">
        <f t="array" ref="O366:Q366">[1]!ConvertFeet(N366)</f>
        <v>0</v>
      </c>
      <c r="P366" s="2">
        <v>0</v>
      </c>
      <c r="Q366" s="2">
        <v>0</v>
      </c>
    </row>
    <row r="367" spans="1:17" x14ac:dyDescent="0.6">
      <c r="A367" s="34">
        <v>367</v>
      </c>
      <c r="D367" s="23" t="str" cm="1">
        <f t="array" ref="D367">IFERROR([1]!CalculateHyphenString(C367),"")</f>
        <v/>
      </c>
      <c r="G367" s="26"/>
      <c r="H367" s="2"/>
      <c r="L367" s="21">
        <f t="shared" si="10"/>
        <v>0</v>
      </c>
      <c r="N367" s="21">
        <f t="shared" si="11"/>
        <v>0</v>
      </c>
      <c r="O367" s="2" cm="1">
        <f t="array" ref="O367:Q367">[1]!ConvertFeet(N367)</f>
        <v>0</v>
      </c>
      <c r="P367" s="2">
        <v>0</v>
      </c>
      <c r="Q367" s="2">
        <v>0</v>
      </c>
    </row>
    <row r="368" spans="1:17" x14ac:dyDescent="0.6">
      <c r="A368" s="35">
        <v>368</v>
      </c>
      <c r="D368" s="23" t="str" cm="1">
        <f t="array" ref="D368">IFERROR([1]!CalculateHyphenString(C368),"")</f>
        <v/>
      </c>
      <c r="G368" s="26"/>
      <c r="H368" s="2"/>
      <c r="L368" s="21">
        <f t="shared" si="10"/>
        <v>0</v>
      </c>
      <c r="N368" s="21">
        <f t="shared" si="11"/>
        <v>0</v>
      </c>
      <c r="O368" s="2" cm="1">
        <f t="array" ref="O368:Q368">[1]!ConvertFeet(N368)</f>
        <v>0</v>
      </c>
      <c r="P368" s="2">
        <v>0</v>
      </c>
      <c r="Q368" s="2">
        <v>0</v>
      </c>
    </row>
    <row r="369" spans="1:17" x14ac:dyDescent="0.6">
      <c r="A369" s="34">
        <v>369</v>
      </c>
      <c r="D369" s="23" t="str" cm="1">
        <f t="array" ref="D369">IFERROR([1]!CalculateHyphenString(C369),"")</f>
        <v/>
      </c>
      <c r="G369" s="26"/>
      <c r="H369" s="2"/>
      <c r="L369" s="21">
        <f t="shared" si="10"/>
        <v>0</v>
      </c>
      <c r="N369" s="21">
        <f t="shared" si="11"/>
        <v>0</v>
      </c>
      <c r="O369" s="2" cm="1">
        <f t="array" ref="O369:Q369">[1]!ConvertFeet(N369)</f>
        <v>0</v>
      </c>
      <c r="P369" s="2">
        <v>0</v>
      </c>
      <c r="Q369" s="2">
        <v>0</v>
      </c>
    </row>
    <row r="370" spans="1:17" x14ac:dyDescent="0.6">
      <c r="A370" s="35">
        <v>370</v>
      </c>
      <c r="D370" s="23" t="str" cm="1">
        <f t="array" ref="D370">IFERROR([1]!CalculateHyphenString(C370),"")</f>
        <v/>
      </c>
      <c r="G370" s="26"/>
      <c r="H370" s="2"/>
      <c r="L370" s="21">
        <f t="shared" si="10"/>
        <v>0</v>
      </c>
      <c r="N370" s="21">
        <f t="shared" si="11"/>
        <v>0</v>
      </c>
      <c r="O370" s="2" cm="1">
        <f t="array" ref="O370:Q370">[1]!ConvertFeet(N370)</f>
        <v>0</v>
      </c>
      <c r="P370" s="2">
        <v>0</v>
      </c>
      <c r="Q370" s="2">
        <v>0</v>
      </c>
    </row>
    <row r="371" spans="1:17" x14ac:dyDescent="0.6">
      <c r="A371" s="34">
        <v>371</v>
      </c>
      <c r="D371" s="23" t="str" cm="1">
        <f t="array" ref="D371">IFERROR([1]!CalculateHyphenString(C371),"")</f>
        <v/>
      </c>
      <c r="G371" s="26"/>
      <c r="H371" s="2"/>
      <c r="L371" s="21">
        <f t="shared" si="10"/>
        <v>0</v>
      </c>
      <c r="N371" s="21">
        <f t="shared" si="11"/>
        <v>0</v>
      </c>
      <c r="O371" s="2" cm="1">
        <f t="array" ref="O371:Q371">[1]!ConvertFeet(N371)</f>
        <v>0</v>
      </c>
      <c r="P371" s="2">
        <v>0</v>
      </c>
      <c r="Q371" s="2">
        <v>0</v>
      </c>
    </row>
    <row r="372" spans="1:17" x14ac:dyDescent="0.6">
      <c r="A372" s="35">
        <v>372</v>
      </c>
      <c r="D372" s="23" t="str" cm="1">
        <f t="array" ref="D372">IFERROR([1]!CalculateHyphenString(C372),"")</f>
        <v/>
      </c>
      <c r="G372" s="26"/>
      <c r="H372" s="2"/>
      <c r="L372" s="21">
        <f t="shared" si="10"/>
        <v>0</v>
      </c>
      <c r="N372" s="21">
        <f t="shared" si="11"/>
        <v>0</v>
      </c>
      <c r="O372" s="2" cm="1">
        <f t="array" ref="O372:Q372">[1]!ConvertFeet(N372)</f>
        <v>0</v>
      </c>
      <c r="P372" s="2">
        <v>0</v>
      </c>
      <c r="Q372" s="2">
        <v>0</v>
      </c>
    </row>
    <row r="373" spans="1:17" x14ac:dyDescent="0.6">
      <c r="A373" s="34">
        <v>373</v>
      </c>
      <c r="D373" s="23" t="str" cm="1">
        <f t="array" ref="D373">IFERROR([1]!CalculateHyphenString(C373),"")</f>
        <v/>
      </c>
      <c r="G373" s="26"/>
      <c r="H373" s="2"/>
      <c r="L373" s="21">
        <f t="shared" si="10"/>
        <v>0</v>
      </c>
      <c r="N373" s="21">
        <f t="shared" si="11"/>
        <v>0</v>
      </c>
      <c r="O373" s="2" cm="1">
        <f t="array" ref="O373:Q373">[1]!ConvertFeet(N373)</f>
        <v>0</v>
      </c>
      <c r="P373" s="2">
        <v>0</v>
      </c>
      <c r="Q373" s="2">
        <v>0</v>
      </c>
    </row>
    <row r="374" spans="1:17" x14ac:dyDescent="0.6">
      <c r="A374" s="35">
        <v>374</v>
      </c>
      <c r="D374" s="23" t="str" cm="1">
        <f t="array" ref="D374">IFERROR([1]!CalculateHyphenString(C374),"")</f>
        <v/>
      </c>
      <c r="G374" s="26"/>
      <c r="H374" s="2"/>
      <c r="L374" s="21">
        <f t="shared" si="10"/>
        <v>0</v>
      </c>
      <c r="N374" s="21">
        <f t="shared" si="11"/>
        <v>0</v>
      </c>
      <c r="O374" s="2" cm="1">
        <f t="array" ref="O374:Q374">[1]!ConvertFeet(N374)</f>
        <v>0</v>
      </c>
      <c r="P374" s="2">
        <v>0</v>
      </c>
      <c r="Q374" s="2">
        <v>0</v>
      </c>
    </row>
    <row r="375" spans="1:17" x14ac:dyDescent="0.6">
      <c r="A375" s="34">
        <v>375</v>
      </c>
      <c r="D375" s="23" t="str" cm="1">
        <f t="array" ref="D375">IFERROR([1]!CalculateHyphenString(C375),"")</f>
        <v/>
      </c>
      <c r="G375" s="26"/>
      <c r="H375" s="2"/>
      <c r="L375" s="21">
        <f t="shared" si="10"/>
        <v>0</v>
      </c>
      <c r="N375" s="21">
        <f t="shared" si="11"/>
        <v>0</v>
      </c>
      <c r="O375" s="2" cm="1">
        <f t="array" ref="O375:Q375">[1]!ConvertFeet(N375)</f>
        <v>0</v>
      </c>
      <c r="P375" s="2">
        <v>0</v>
      </c>
      <c r="Q375" s="2">
        <v>0</v>
      </c>
    </row>
    <row r="376" spans="1:17" x14ac:dyDescent="0.6">
      <c r="A376" s="35">
        <v>376</v>
      </c>
      <c r="D376" s="23" t="str" cm="1">
        <f t="array" ref="D376">IFERROR([1]!CalculateHyphenString(C376),"")</f>
        <v/>
      </c>
      <c r="G376" s="26"/>
      <c r="H376" s="2"/>
      <c r="L376" s="21">
        <f t="shared" si="10"/>
        <v>0</v>
      </c>
      <c r="N376" s="21">
        <f t="shared" si="11"/>
        <v>0</v>
      </c>
      <c r="O376" s="2" cm="1">
        <f t="array" ref="O376:Q376">[1]!ConvertFeet(N376)</f>
        <v>0</v>
      </c>
      <c r="P376" s="2">
        <v>0</v>
      </c>
      <c r="Q376" s="2">
        <v>0</v>
      </c>
    </row>
    <row r="377" spans="1:17" x14ac:dyDescent="0.6">
      <c r="A377" s="34">
        <v>377</v>
      </c>
      <c r="D377" s="23" t="str" cm="1">
        <f t="array" ref="D377">IFERROR([1]!CalculateHyphenString(C377),"")</f>
        <v/>
      </c>
      <c r="G377" s="26"/>
      <c r="H377" s="2"/>
      <c r="L377" s="21">
        <f t="shared" si="10"/>
        <v>0</v>
      </c>
      <c r="N377" s="21">
        <f t="shared" si="11"/>
        <v>0</v>
      </c>
      <c r="O377" s="2" cm="1">
        <f t="array" ref="O377:Q377">[1]!ConvertFeet(N377)</f>
        <v>0</v>
      </c>
      <c r="P377" s="2">
        <v>0</v>
      </c>
      <c r="Q377" s="2">
        <v>0</v>
      </c>
    </row>
    <row r="378" spans="1:17" x14ac:dyDescent="0.6">
      <c r="A378" s="35">
        <v>378</v>
      </c>
      <c r="D378" s="23" t="str" cm="1">
        <f t="array" ref="D378">IFERROR([1]!CalculateHyphenString(C378),"")</f>
        <v/>
      </c>
      <c r="G378" s="26"/>
      <c r="H378" s="2"/>
      <c r="L378" s="21">
        <f t="shared" si="10"/>
        <v>0</v>
      </c>
      <c r="N378" s="21">
        <f t="shared" si="11"/>
        <v>0</v>
      </c>
      <c r="O378" s="2" cm="1">
        <f t="array" ref="O378:Q378">[1]!ConvertFeet(N378)</f>
        <v>0</v>
      </c>
      <c r="P378" s="2">
        <v>0</v>
      </c>
      <c r="Q378" s="2">
        <v>0</v>
      </c>
    </row>
    <row r="379" spans="1:17" x14ac:dyDescent="0.6">
      <c r="A379" s="34">
        <v>379</v>
      </c>
      <c r="D379" s="23" t="str" cm="1">
        <f t="array" ref="D379">IFERROR([1]!CalculateHyphenString(C379),"")</f>
        <v/>
      </c>
      <c r="G379" s="26"/>
      <c r="H379" s="2"/>
      <c r="L379" s="21">
        <f t="shared" si="10"/>
        <v>0</v>
      </c>
      <c r="N379" s="21">
        <f t="shared" si="11"/>
        <v>0</v>
      </c>
      <c r="O379" s="2" cm="1">
        <f t="array" ref="O379:Q379">[1]!ConvertFeet(N379)</f>
        <v>0</v>
      </c>
      <c r="P379" s="2">
        <v>0</v>
      </c>
      <c r="Q379" s="2">
        <v>0</v>
      </c>
    </row>
    <row r="380" spans="1:17" x14ac:dyDescent="0.6">
      <c r="A380" s="35">
        <v>380</v>
      </c>
      <c r="D380" s="23" t="str" cm="1">
        <f t="array" ref="D380">IFERROR([1]!CalculateHyphenString(C380),"")</f>
        <v/>
      </c>
      <c r="G380" s="26"/>
      <c r="H380" s="2"/>
      <c r="L380" s="21">
        <f t="shared" si="10"/>
        <v>0</v>
      </c>
      <c r="N380" s="21">
        <f t="shared" si="11"/>
        <v>0</v>
      </c>
      <c r="O380" s="2" cm="1">
        <f t="array" ref="O380:Q380">[1]!ConvertFeet(N380)</f>
        <v>0</v>
      </c>
      <c r="P380" s="2">
        <v>0</v>
      </c>
      <c r="Q380" s="2">
        <v>0</v>
      </c>
    </row>
    <row r="381" spans="1:17" x14ac:dyDescent="0.6">
      <c r="A381" s="34">
        <v>381</v>
      </c>
      <c r="D381" s="23" t="str" cm="1">
        <f t="array" ref="D381">IFERROR([1]!CalculateHyphenString(C381),"")</f>
        <v/>
      </c>
      <c r="G381" s="26"/>
      <c r="H381" s="2"/>
      <c r="L381" s="21">
        <f t="shared" si="10"/>
        <v>0</v>
      </c>
      <c r="N381" s="21">
        <f t="shared" si="11"/>
        <v>0</v>
      </c>
      <c r="O381" s="2" cm="1">
        <f t="array" ref="O381:Q381">[1]!ConvertFeet(N381)</f>
        <v>0</v>
      </c>
      <c r="P381" s="2">
        <v>0</v>
      </c>
      <c r="Q381" s="2">
        <v>0</v>
      </c>
    </row>
    <row r="382" spans="1:17" x14ac:dyDescent="0.6">
      <c r="A382" s="35">
        <v>382</v>
      </c>
      <c r="D382" s="23" t="str" cm="1">
        <f t="array" ref="D382">IFERROR([1]!CalculateHyphenString(C382),"")</f>
        <v/>
      </c>
      <c r="G382" s="26"/>
      <c r="H382" s="2"/>
      <c r="L382" s="21">
        <f t="shared" si="10"/>
        <v>0</v>
      </c>
      <c r="N382" s="21">
        <f t="shared" si="11"/>
        <v>0</v>
      </c>
      <c r="O382" s="2" cm="1">
        <f t="array" ref="O382:Q382">[1]!ConvertFeet(N382)</f>
        <v>0</v>
      </c>
      <c r="P382" s="2">
        <v>0</v>
      </c>
      <c r="Q382" s="2">
        <v>0</v>
      </c>
    </row>
    <row r="383" spans="1:17" x14ac:dyDescent="0.6">
      <c r="A383" s="34">
        <v>383</v>
      </c>
      <c r="D383" s="23" t="str" cm="1">
        <f t="array" ref="D383">IFERROR([1]!CalculateHyphenString(C383),"")</f>
        <v/>
      </c>
      <c r="G383" s="26"/>
      <c r="H383" s="2"/>
      <c r="L383" s="21">
        <f t="shared" si="10"/>
        <v>0</v>
      </c>
      <c r="N383" s="21">
        <f t="shared" si="11"/>
        <v>0</v>
      </c>
      <c r="O383" s="2" cm="1">
        <f t="array" ref="O383:Q383">[1]!ConvertFeet(N383)</f>
        <v>0</v>
      </c>
      <c r="P383" s="2">
        <v>0</v>
      </c>
      <c r="Q383" s="2">
        <v>0</v>
      </c>
    </row>
    <row r="384" spans="1:17" x14ac:dyDescent="0.6">
      <c r="A384" s="35">
        <v>384</v>
      </c>
      <c r="D384" s="23" t="str" cm="1">
        <f t="array" ref="D384">IFERROR([1]!CalculateHyphenString(C384),"")</f>
        <v/>
      </c>
      <c r="G384" s="26"/>
      <c r="H384" s="2"/>
      <c r="L384" s="21">
        <f t="shared" si="10"/>
        <v>0</v>
      </c>
      <c r="N384" s="21">
        <f t="shared" si="11"/>
        <v>0</v>
      </c>
      <c r="O384" s="2" cm="1">
        <f t="array" ref="O384:Q384">[1]!ConvertFeet(N384)</f>
        <v>0</v>
      </c>
      <c r="P384" s="2">
        <v>0</v>
      </c>
      <c r="Q384" s="2">
        <v>0</v>
      </c>
    </row>
    <row r="385" spans="1:17" x14ac:dyDescent="0.6">
      <c r="A385" s="34">
        <v>385</v>
      </c>
      <c r="D385" s="23" t="str" cm="1">
        <f t="array" ref="D385">IFERROR([1]!CalculateHyphenString(C385),"")</f>
        <v/>
      </c>
      <c r="G385" s="26"/>
      <c r="H385" s="2"/>
      <c r="L385" s="21">
        <f t="shared" si="10"/>
        <v>0</v>
      </c>
      <c r="N385" s="21">
        <f t="shared" si="11"/>
        <v>0</v>
      </c>
      <c r="O385" s="2" cm="1">
        <f t="array" ref="O385:Q385">[1]!ConvertFeet(N385)</f>
        <v>0</v>
      </c>
      <c r="P385" s="2">
        <v>0</v>
      </c>
      <c r="Q385" s="2">
        <v>0</v>
      </c>
    </row>
    <row r="386" spans="1:17" x14ac:dyDescent="0.6">
      <c r="A386" s="35">
        <v>386</v>
      </c>
      <c r="D386" s="23" t="str" cm="1">
        <f t="array" ref="D386">IFERROR([1]!CalculateHyphenString(C386),"")</f>
        <v/>
      </c>
      <c r="G386" s="26"/>
      <c r="H386" s="2"/>
      <c r="L386" s="21">
        <f t="shared" si="10"/>
        <v>0</v>
      </c>
      <c r="N386" s="21">
        <f t="shared" si="11"/>
        <v>0</v>
      </c>
      <c r="O386" s="2" cm="1">
        <f t="array" ref="O386:Q386">[1]!ConvertFeet(N386)</f>
        <v>0</v>
      </c>
      <c r="P386" s="2">
        <v>0</v>
      </c>
      <c r="Q386" s="2">
        <v>0</v>
      </c>
    </row>
    <row r="387" spans="1:17" x14ac:dyDescent="0.6">
      <c r="A387" s="34">
        <v>387</v>
      </c>
      <c r="D387" s="23" t="str" cm="1">
        <f t="array" ref="D387">IFERROR([1]!CalculateHyphenString(C387),"")</f>
        <v/>
      </c>
      <c r="G387" s="26"/>
      <c r="H387" s="2"/>
      <c r="L387" s="21">
        <f t="shared" si="10"/>
        <v>0</v>
      </c>
      <c r="N387" s="21">
        <f t="shared" si="11"/>
        <v>0</v>
      </c>
      <c r="O387" s="2" cm="1">
        <f t="array" ref="O387:Q387">[1]!ConvertFeet(N387)</f>
        <v>0</v>
      </c>
      <c r="P387" s="2">
        <v>0</v>
      </c>
      <c r="Q387" s="2">
        <v>0</v>
      </c>
    </row>
    <row r="388" spans="1:17" x14ac:dyDescent="0.6">
      <c r="A388" s="35">
        <v>388</v>
      </c>
      <c r="D388" s="23" t="str" cm="1">
        <f t="array" ref="D388">IFERROR([1]!CalculateHyphenString(C388),"")</f>
        <v/>
      </c>
      <c r="G388" s="26"/>
      <c r="H388" s="2"/>
      <c r="L388" s="21">
        <f t="shared" si="10"/>
        <v>0</v>
      </c>
      <c r="N388" s="21">
        <f t="shared" si="11"/>
        <v>0</v>
      </c>
      <c r="O388" s="2" cm="1">
        <f t="array" ref="O388:Q388">[1]!ConvertFeet(N388)</f>
        <v>0</v>
      </c>
      <c r="P388" s="2">
        <v>0</v>
      </c>
      <c r="Q388" s="2">
        <v>0</v>
      </c>
    </row>
    <row r="389" spans="1:17" x14ac:dyDescent="0.6">
      <c r="A389" s="34">
        <v>389</v>
      </c>
      <c r="D389" s="23" t="str" cm="1">
        <f t="array" ref="D389">IFERROR([1]!CalculateHyphenString(C389),"")</f>
        <v/>
      </c>
      <c r="G389" s="26"/>
      <c r="H389" s="2"/>
      <c r="L389" s="21">
        <f t="shared" si="10"/>
        <v>0</v>
      </c>
      <c r="N389" s="21">
        <f t="shared" si="11"/>
        <v>0</v>
      </c>
      <c r="O389" s="2" cm="1">
        <f t="array" ref="O389:Q389">[1]!ConvertFeet(N389)</f>
        <v>0</v>
      </c>
      <c r="P389" s="2">
        <v>0</v>
      </c>
      <c r="Q389" s="2">
        <v>0</v>
      </c>
    </row>
    <row r="390" spans="1:17" x14ac:dyDescent="0.6">
      <c r="A390" s="35">
        <v>390</v>
      </c>
      <c r="D390" s="23" t="str" cm="1">
        <f t="array" ref="D390">IFERROR([1]!CalculateHyphenString(C390),"")</f>
        <v/>
      </c>
      <c r="G390" s="26"/>
      <c r="H390" s="2"/>
      <c r="L390" s="21">
        <f t="shared" si="10"/>
        <v>0</v>
      </c>
      <c r="N390" s="21">
        <f t="shared" si="11"/>
        <v>0</v>
      </c>
      <c r="O390" s="2" cm="1">
        <f t="array" ref="O390:Q390">[1]!ConvertFeet(N390)</f>
        <v>0</v>
      </c>
      <c r="P390" s="2">
        <v>0</v>
      </c>
      <c r="Q390" s="2">
        <v>0</v>
      </c>
    </row>
    <row r="391" spans="1:17" x14ac:dyDescent="0.6">
      <c r="A391" s="34">
        <v>391</v>
      </c>
      <c r="D391" s="23" t="str" cm="1">
        <f t="array" ref="D391">IFERROR([1]!CalculateHyphenString(C391),"")</f>
        <v/>
      </c>
      <c r="G391" s="26"/>
      <c r="H391" s="2"/>
      <c r="L391" s="21">
        <f t="shared" ref="L391:L454" si="12">(K391*$G$3)/100</f>
        <v>0</v>
      </c>
      <c r="N391" s="21">
        <f t="shared" ref="N391:N454" si="13">K391-(L391+M391)</f>
        <v>0</v>
      </c>
      <c r="O391" s="2" cm="1">
        <f t="array" ref="O391:Q391">[1]!ConvertFeet(N391)</f>
        <v>0</v>
      </c>
      <c r="P391" s="2">
        <v>0</v>
      </c>
      <c r="Q391" s="2">
        <v>0</v>
      </c>
    </row>
    <row r="392" spans="1:17" x14ac:dyDescent="0.6">
      <c r="A392" s="35">
        <v>392</v>
      </c>
      <c r="D392" s="23" t="str" cm="1">
        <f t="array" ref="D392">IFERROR([1]!CalculateHyphenString(C392),"")</f>
        <v/>
      </c>
      <c r="G392" s="26"/>
      <c r="H392" s="2"/>
      <c r="L392" s="21">
        <f t="shared" si="12"/>
        <v>0</v>
      </c>
      <c r="N392" s="21">
        <f t="shared" si="13"/>
        <v>0</v>
      </c>
      <c r="O392" s="2" cm="1">
        <f t="array" ref="O392:Q392">[1]!ConvertFeet(N392)</f>
        <v>0</v>
      </c>
      <c r="P392" s="2">
        <v>0</v>
      </c>
      <c r="Q392" s="2">
        <v>0</v>
      </c>
    </row>
    <row r="393" spans="1:17" x14ac:dyDescent="0.6">
      <c r="A393" s="34">
        <v>393</v>
      </c>
      <c r="D393" s="23" t="str" cm="1">
        <f t="array" ref="D393">IFERROR([1]!CalculateHyphenString(C393),"")</f>
        <v/>
      </c>
      <c r="G393" s="26"/>
      <c r="H393" s="2"/>
      <c r="L393" s="21">
        <f t="shared" si="12"/>
        <v>0</v>
      </c>
      <c r="N393" s="21">
        <f t="shared" si="13"/>
        <v>0</v>
      </c>
      <c r="O393" s="2" cm="1">
        <f t="array" ref="O393:Q393">[1]!ConvertFeet(N393)</f>
        <v>0</v>
      </c>
      <c r="P393" s="2">
        <v>0</v>
      </c>
      <c r="Q393" s="2">
        <v>0</v>
      </c>
    </row>
    <row r="394" spans="1:17" x14ac:dyDescent="0.6">
      <c r="A394" s="35">
        <v>394</v>
      </c>
      <c r="D394" s="23" t="str" cm="1">
        <f t="array" ref="D394">IFERROR([1]!CalculateHyphenString(C394),"")</f>
        <v/>
      </c>
      <c r="G394" s="26"/>
      <c r="H394" s="2"/>
      <c r="L394" s="21">
        <f t="shared" si="12"/>
        <v>0</v>
      </c>
      <c r="N394" s="21">
        <f t="shared" si="13"/>
        <v>0</v>
      </c>
      <c r="O394" s="2" cm="1">
        <f t="array" ref="O394:Q394">[1]!ConvertFeet(N394)</f>
        <v>0</v>
      </c>
      <c r="P394" s="2">
        <v>0</v>
      </c>
      <c r="Q394" s="2">
        <v>0</v>
      </c>
    </row>
    <row r="395" spans="1:17" x14ac:dyDescent="0.6">
      <c r="A395" s="34">
        <v>395</v>
      </c>
      <c r="D395" s="23" t="str" cm="1">
        <f t="array" ref="D395">IFERROR([1]!CalculateHyphenString(C395),"")</f>
        <v/>
      </c>
      <c r="G395" s="26"/>
      <c r="H395" s="2"/>
      <c r="L395" s="21">
        <f t="shared" si="12"/>
        <v>0</v>
      </c>
      <c r="N395" s="21">
        <f t="shared" si="13"/>
        <v>0</v>
      </c>
      <c r="O395" s="2" cm="1">
        <f t="array" ref="O395:Q395">[1]!ConvertFeet(N395)</f>
        <v>0</v>
      </c>
      <c r="P395" s="2">
        <v>0</v>
      </c>
      <c r="Q395" s="2">
        <v>0</v>
      </c>
    </row>
    <row r="396" spans="1:17" x14ac:dyDescent="0.6">
      <c r="A396" s="35">
        <v>396</v>
      </c>
      <c r="D396" s="23" t="str" cm="1">
        <f t="array" ref="D396">IFERROR([1]!CalculateHyphenString(C396),"")</f>
        <v/>
      </c>
      <c r="G396" s="26"/>
      <c r="H396" s="2"/>
      <c r="L396" s="21">
        <f t="shared" si="12"/>
        <v>0</v>
      </c>
      <c r="N396" s="21">
        <f t="shared" si="13"/>
        <v>0</v>
      </c>
      <c r="O396" s="2" cm="1">
        <f t="array" ref="O396:Q396">[1]!ConvertFeet(N396)</f>
        <v>0</v>
      </c>
      <c r="P396" s="2">
        <v>0</v>
      </c>
      <c r="Q396" s="2">
        <v>0</v>
      </c>
    </row>
    <row r="397" spans="1:17" x14ac:dyDescent="0.6">
      <c r="A397" s="34">
        <v>397</v>
      </c>
      <c r="D397" s="23" t="str" cm="1">
        <f t="array" ref="D397">IFERROR([1]!CalculateHyphenString(C397),"")</f>
        <v/>
      </c>
      <c r="G397" s="26"/>
      <c r="H397" s="2"/>
      <c r="L397" s="21">
        <f t="shared" si="12"/>
        <v>0</v>
      </c>
      <c r="N397" s="21">
        <f t="shared" si="13"/>
        <v>0</v>
      </c>
      <c r="O397" s="2" cm="1">
        <f t="array" ref="O397:Q397">[1]!ConvertFeet(N397)</f>
        <v>0</v>
      </c>
      <c r="P397" s="2">
        <v>0</v>
      </c>
      <c r="Q397" s="2">
        <v>0</v>
      </c>
    </row>
    <row r="398" spans="1:17" x14ac:dyDescent="0.6">
      <c r="A398" s="35">
        <v>398</v>
      </c>
      <c r="D398" s="23" t="str" cm="1">
        <f t="array" ref="D398">IFERROR([1]!CalculateHyphenString(C398),"")</f>
        <v/>
      </c>
      <c r="G398" s="26"/>
      <c r="H398" s="2"/>
      <c r="L398" s="21">
        <f t="shared" si="12"/>
        <v>0</v>
      </c>
      <c r="N398" s="21">
        <f t="shared" si="13"/>
        <v>0</v>
      </c>
      <c r="O398" s="2" cm="1">
        <f t="array" ref="O398:Q398">[1]!ConvertFeet(N398)</f>
        <v>0</v>
      </c>
      <c r="P398" s="2">
        <v>0</v>
      </c>
      <c r="Q398" s="2">
        <v>0</v>
      </c>
    </row>
    <row r="399" spans="1:17" x14ac:dyDescent="0.6">
      <c r="A399" s="34">
        <v>399</v>
      </c>
      <c r="D399" s="23" t="str" cm="1">
        <f t="array" ref="D399">IFERROR([1]!CalculateHyphenString(C399),"")</f>
        <v/>
      </c>
      <c r="G399" s="26"/>
      <c r="H399" s="2"/>
      <c r="L399" s="21">
        <f t="shared" si="12"/>
        <v>0</v>
      </c>
      <c r="N399" s="21">
        <f t="shared" si="13"/>
        <v>0</v>
      </c>
      <c r="O399" s="2" cm="1">
        <f t="array" ref="O399:Q399">[1]!ConvertFeet(N399)</f>
        <v>0</v>
      </c>
      <c r="P399" s="2">
        <v>0</v>
      </c>
      <c r="Q399" s="2">
        <v>0</v>
      </c>
    </row>
    <row r="400" spans="1:17" x14ac:dyDescent="0.6">
      <c r="A400" s="35">
        <v>400</v>
      </c>
      <c r="D400" s="23" t="str" cm="1">
        <f t="array" ref="D400">IFERROR([1]!CalculateHyphenString(C400),"")</f>
        <v/>
      </c>
      <c r="G400" s="26"/>
      <c r="H400" s="2"/>
      <c r="L400" s="21">
        <f t="shared" si="12"/>
        <v>0</v>
      </c>
      <c r="N400" s="21">
        <f t="shared" si="13"/>
        <v>0</v>
      </c>
      <c r="O400" s="2" cm="1">
        <f t="array" ref="O400:Q400">[1]!ConvertFeet(N400)</f>
        <v>0</v>
      </c>
      <c r="P400" s="2">
        <v>0</v>
      </c>
      <c r="Q400" s="2">
        <v>0</v>
      </c>
    </row>
    <row r="401" spans="1:17" x14ac:dyDescent="0.6">
      <c r="A401" s="34">
        <v>401</v>
      </c>
      <c r="D401" s="23" t="str" cm="1">
        <f t="array" ref="D401">IFERROR([1]!CalculateHyphenString(C401),"")</f>
        <v/>
      </c>
      <c r="G401" s="26"/>
      <c r="H401" s="2"/>
      <c r="L401" s="21">
        <f t="shared" si="12"/>
        <v>0</v>
      </c>
      <c r="N401" s="21">
        <f t="shared" si="13"/>
        <v>0</v>
      </c>
      <c r="O401" s="2" cm="1">
        <f t="array" ref="O401:Q401">[1]!ConvertFeet(N401)</f>
        <v>0</v>
      </c>
      <c r="P401" s="2">
        <v>0</v>
      </c>
      <c r="Q401" s="2">
        <v>0</v>
      </c>
    </row>
    <row r="402" spans="1:17" x14ac:dyDescent="0.6">
      <c r="A402" s="35">
        <v>402</v>
      </c>
      <c r="D402" s="23" t="str" cm="1">
        <f t="array" ref="D402">IFERROR([1]!CalculateHyphenString(C402),"")</f>
        <v/>
      </c>
      <c r="G402" s="26"/>
      <c r="H402" s="2"/>
      <c r="L402" s="21">
        <f t="shared" si="12"/>
        <v>0</v>
      </c>
      <c r="N402" s="21">
        <f t="shared" si="13"/>
        <v>0</v>
      </c>
      <c r="O402" s="2" cm="1">
        <f t="array" ref="O402:Q402">[1]!ConvertFeet(N402)</f>
        <v>0</v>
      </c>
      <c r="P402" s="2">
        <v>0</v>
      </c>
      <c r="Q402" s="2">
        <v>0</v>
      </c>
    </row>
    <row r="403" spans="1:17" x14ac:dyDescent="0.6">
      <c r="A403" s="34">
        <v>403</v>
      </c>
      <c r="D403" s="23" t="str" cm="1">
        <f t="array" ref="D403">IFERROR([1]!CalculateHyphenString(C403),"")</f>
        <v/>
      </c>
      <c r="G403" s="26"/>
      <c r="H403" s="2"/>
      <c r="L403" s="21">
        <f t="shared" si="12"/>
        <v>0</v>
      </c>
      <c r="N403" s="21">
        <f t="shared" si="13"/>
        <v>0</v>
      </c>
      <c r="O403" s="2" cm="1">
        <f t="array" ref="O403:Q403">[1]!ConvertFeet(N403)</f>
        <v>0</v>
      </c>
      <c r="P403" s="2">
        <v>0</v>
      </c>
      <c r="Q403" s="2">
        <v>0</v>
      </c>
    </row>
    <row r="404" spans="1:17" x14ac:dyDescent="0.6">
      <c r="A404" s="35">
        <v>404</v>
      </c>
      <c r="D404" s="23" t="str" cm="1">
        <f t="array" ref="D404">IFERROR([1]!CalculateHyphenString(C404),"")</f>
        <v/>
      </c>
      <c r="G404" s="26"/>
      <c r="H404" s="2"/>
      <c r="L404" s="21">
        <f t="shared" si="12"/>
        <v>0</v>
      </c>
      <c r="N404" s="21">
        <f t="shared" si="13"/>
        <v>0</v>
      </c>
      <c r="O404" s="2" cm="1">
        <f t="array" ref="O404:Q404">[1]!ConvertFeet(N404)</f>
        <v>0</v>
      </c>
      <c r="P404" s="2">
        <v>0</v>
      </c>
      <c r="Q404" s="2">
        <v>0</v>
      </c>
    </row>
    <row r="405" spans="1:17" x14ac:dyDescent="0.6">
      <c r="A405" s="34">
        <v>405</v>
      </c>
      <c r="D405" s="23" t="str" cm="1">
        <f t="array" ref="D405">IFERROR([1]!CalculateHyphenString(C405),"")</f>
        <v/>
      </c>
      <c r="G405" s="26"/>
      <c r="H405" s="2"/>
      <c r="L405" s="21">
        <f t="shared" si="12"/>
        <v>0</v>
      </c>
      <c r="N405" s="21">
        <f t="shared" si="13"/>
        <v>0</v>
      </c>
      <c r="O405" s="2" cm="1">
        <f t="array" ref="O405:Q405">[1]!ConvertFeet(N405)</f>
        <v>0</v>
      </c>
      <c r="P405" s="2">
        <v>0</v>
      </c>
      <c r="Q405" s="2">
        <v>0</v>
      </c>
    </row>
    <row r="406" spans="1:17" x14ac:dyDescent="0.6">
      <c r="A406" s="35">
        <v>406</v>
      </c>
      <c r="D406" s="23" t="str" cm="1">
        <f t="array" ref="D406">IFERROR([1]!CalculateHyphenString(C406),"")</f>
        <v/>
      </c>
      <c r="G406" s="26"/>
      <c r="H406" s="2"/>
      <c r="L406" s="21">
        <f t="shared" si="12"/>
        <v>0</v>
      </c>
      <c r="N406" s="21">
        <f t="shared" si="13"/>
        <v>0</v>
      </c>
      <c r="O406" s="2" cm="1">
        <f t="array" ref="O406:Q406">[1]!ConvertFeet(N406)</f>
        <v>0</v>
      </c>
      <c r="P406" s="2">
        <v>0</v>
      </c>
      <c r="Q406" s="2">
        <v>0</v>
      </c>
    </row>
    <row r="407" spans="1:17" x14ac:dyDescent="0.6">
      <c r="A407" s="34">
        <v>407</v>
      </c>
      <c r="D407" s="23" t="str" cm="1">
        <f t="array" ref="D407">IFERROR([1]!CalculateHyphenString(C407),"")</f>
        <v/>
      </c>
      <c r="G407" s="26"/>
      <c r="H407" s="2"/>
      <c r="L407" s="21">
        <f t="shared" si="12"/>
        <v>0</v>
      </c>
      <c r="N407" s="21">
        <f t="shared" si="13"/>
        <v>0</v>
      </c>
      <c r="O407" s="2" cm="1">
        <f t="array" ref="O407:Q407">[1]!ConvertFeet(N407)</f>
        <v>0</v>
      </c>
      <c r="P407" s="2">
        <v>0</v>
      </c>
      <c r="Q407" s="2">
        <v>0</v>
      </c>
    </row>
    <row r="408" spans="1:17" x14ac:dyDescent="0.6">
      <c r="A408" s="35">
        <v>408</v>
      </c>
      <c r="D408" s="23" t="str" cm="1">
        <f t="array" ref="D408">IFERROR([1]!CalculateHyphenString(C408),"")</f>
        <v/>
      </c>
      <c r="G408" s="26"/>
      <c r="H408" s="2"/>
      <c r="L408" s="21">
        <f t="shared" si="12"/>
        <v>0</v>
      </c>
      <c r="N408" s="21">
        <f t="shared" si="13"/>
        <v>0</v>
      </c>
      <c r="O408" s="2" cm="1">
        <f t="array" ref="O408:Q408">[1]!ConvertFeet(N408)</f>
        <v>0</v>
      </c>
      <c r="P408" s="2">
        <v>0</v>
      </c>
      <c r="Q408" s="2">
        <v>0</v>
      </c>
    </row>
    <row r="409" spans="1:17" x14ac:dyDescent="0.6">
      <c r="A409" s="34">
        <v>409</v>
      </c>
      <c r="D409" s="23" t="str" cm="1">
        <f t="array" ref="D409">IFERROR([1]!CalculateHyphenString(C409),"")</f>
        <v/>
      </c>
      <c r="G409" s="26"/>
      <c r="H409" s="2"/>
      <c r="L409" s="21">
        <f t="shared" si="12"/>
        <v>0</v>
      </c>
      <c r="N409" s="21">
        <f t="shared" si="13"/>
        <v>0</v>
      </c>
      <c r="O409" s="2" cm="1">
        <f t="array" ref="O409:Q409">[1]!ConvertFeet(N409)</f>
        <v>0</v>
      </c>
      <c r="P409" s="2">
        <v>0</v>
      </c>
      <c r="Q409" s="2">
        <v>0</v>
      </c>
    </row>
    <row r="410" spans="1:17" x14ac:dyDescent="0.6">
      <c r="A410" s="35">
        <v>410</v>
      </c>
      <c r="D410" s="23" t="str" cm="1">
        <f t="array" ref="D410">IFERROR([1]!CalculateHyphenString(C410),"")</f>
        <v/>
      </c>
      <c r="G410" s="26"/>
      <c r="H410" s="2"/>
      <c r="L410" s="21">
        <f t="shared" si="12"/>
        <v>0</v>
      </c>
      <c r="N410" s="21">
        <f t="shared" si="13"/>
        <v>0</v>
      </c>
      <c r="O410" s="2" cm="1">
        <f t="array" ref="O410:Q410">[1]!ConvertFeet(N410)</f>
        <v>0</v>
      </c>
      <c r="P410" s="2">
        <v>0</v>
      </c>
      <c r="Q410" s="2">
        <v>0</v>
      </c>
    </row>
    <row r="411" spans="1:17" x14ac:dyDescent="0.6">
      <c r="A411" s="34">
        <v>411</v>
      </c>
      <c r="D411" s="23" t="str" cm="1">
        <f t="array" ref="D411">IFERROR([1]!CalculateHyphenString(C411),"")</f>
        <v/>
      </c>
      <c r="G411" s="26"/>
      <c r="H411" s="2"/>
      <c r="L411" s="21">
        <f t="shared" si="12"/>
        <v>0</v>
      </c>
      <c r="N411" s="21">
        <f t="shared" si="13"/>
        <v>0</v>
      </c>
      <c r="O411" s="2" cm="1">
        <f t="array" ref="O411:Q411">[1]!ConvertFeet(N411)</f>
        <v>0</v>
      </c>
      <c r="P411" s="2">
        <v>0</v>
      </c>
      <c r="Q411" s="2">
        <v>0</v>
      </c>
    </row>
    <row r="412" spans="1:17" x14ac:dyDescent="0.6">
      <c r="A412" s="35">
        <v>412</v>
      </c>
      <c r="D412" s="23" t="str" cm="1">
        <f t="array" ref="D412">IFERROR([1]!CalculateHyphenString(C412),"")</f>
        <v/>
      </c>
      <c r="G412" s="26"/>
      <c r="H412" s="2"/>
      <c r="L412" s="21">
        <f t="shared" si="12"/>
        <v>0</v>
      </c>
      <c r="N412" s="21">
        <f t="shared" si="13"/>
        <v>0</v>
      </c>
      <c r="O412" s="2" cm="1">
        <f t="array" ref="O412:Q412">[1]!ConvertFeet(N412)</f>
        <v>0</v>
      </c>
      <c r="P412" s="2">
        <v>0</v>
      </c>
      <c r="Q412" s="2">
        <v>0</v>
      </c>
    </row>
    <row r="413" spans="1:17" x14ac:dyDescent="0.6">
      <c r="A413" s="34">
        <v>413</v>
      </c>
      <c r="D413" s="23" t="str" cm="1">
        <f t="array" ref="D413">IFERROR([1]!CalculateHyphenString(C413),"")</f>
        <v/>
      </c>
      <c r="G413" s="26"/>
      <c r="H413" s="2"/>
      <c r="L413" s="21">
        <f t="shared" si="12"/>
        <v>0</v>
      </c>
      <c r="N413" s="21">
        <f t="shared" si="13"/>
        <v>0</v>
      </c>
      <c r="O413" s="2" cm="1">
        <f t="array" ref="O413:Q413">[1]!ConvertFeet(N413)</f>
        <v>0</v>
      </c>
      <c r="P413" s="2">
        <v>0</v>
      </c>
      <c r="Q413" s="2">
        <v>0</v>
      </c>
    </row>
    <row r="414" spans="1:17" x14ac:dyDescent="0.6">
      <c r="A414" s="35">
        <v>414</v>
      </c>
      <c r="D414" s="23" t="str" cm="1">
        <f t="array" ref="D414">IFERROR([1]!CalculateHyphenString(C414),"")</f>
        <v/>
      </c>
      <c r="G414" s="26"/>
      <c r="H414" s="2"/>
      <c r="L414" s="21">
        <f t="shared" si="12"/>
        <v>0</v>
      </c>
      <c r="N414" s="21">
        <f t="shared" si="13"/>
        <v>0</v>
      </c>
      <c r="O414" s="2" cm="1">
        <f t="array" ref="O414:Q414">[1]!ConvertFeet(N414)</f>
        <v>0</v>
      </c>
      <c r="P414" s="2">
        <v>0</v>
      </c>
      <c r="Q414" s="2">
        <v>0</v>
      </c>
    </row>
    <row r="415" spans="1:17" x14ac:dyDescent="0.6">
      <c r="A415" s="34">
        <v>415</v>
      </c>
      <c r="D415" s="23" t="str" cm="1">
        <f t="array" ref="D415">IFERROR([1]!CalculateHyphenString(C415),"")</f>
        <v/>
      </c>
      <c r="G415" s="26"/>
      <c r="H415" s="2"/>
      <c r="L415" s="21">
        <f t="shared" si="12"/>
        <v>0</v>
      </c>
      <c r="N415" s="21">
        <f t="shared" si="13"/>
        <v>0</v>
      </c>
      <c r="O415" s="2" cm="1">
        <f t="array" ref="O415:Q415">[1]!ConvertFeet(N415)</f>
        <v>0</v>
      </c>
      <c r="P415" s="2">
        <v>0</v>
      </c>
      <c r="Q415" s="2">
        <v>0</v>
      </c>
    </row>
    <row r="416" spans="1:17" x14ac:dyDescent="0.6">
      <c r="A416" s="35">
        <v>416</v>
      </c>
      <c r="D416" s="23" t="str" cm="1">
        <f t="array" ref="D416">IFERROR([1]!CalculateHyphenString(C416),"")</f>
        <v/>
      </c>
      <c r="G416" s="26"/>
      <c r="H416" s="2"/>
      <c r="L416" s="21">
        <f t="shared" si="12"/>
        <v>0</v>
      </c>
      <c r="N416" s="21">
        <f t="shared" si="13"/>
        <v>0</v>
      </c>
      <c r="O416" s="2" cm="1">
        <f t="array" ref="O416:Q416">[1]!ConvertFeet(N416)</f>
        <v>0</v>
      </c>
      <c r="P416" s="2">
        <v>0</v>
      </c>
      <c r="Q416" s="2">
        <v>0</v>
      </c>
    </row>
    <row r="417" spans="1:17" x14ac:dyDescent="0.6">
      <c r="A417" s="34">
        <v>417</v>
      </c>
      <c r="D417" s="23" t="str" cm="1">
        <f t="array" ref="D417">IFERROR([1]!CalculateHyphenString(C417),"")</f>
        <v/>
      </c>
      <c r="G417" s="26"/>
      <c r="H417" s="2"/>
      <c r="L417" s="21">
        <f t="shared" si="12"/>
        <v>0</v>
      </c>
      <c r="N417" s="21">
        <f t="shared" si="13"/>
        <v>0</v>
      </c>
      <c r="O417" s="2" cm="1">
        <f t="array" ref="O417:Q417">[1]!ConvertFeet(N417)</f>
        <v>0</v>
      </c>
      <c r="P417" s="2">
        <v>0</v>
      </c>
      <c r="Q417" s="2">
        <v>0</v>
      </c>
    </row>
    <row r="418" spans="1:17" x14ac:dyDescent="0.6">
      <c r="A418" s="35">
        <v>418</v>
      </c>
      <c r="D418" s="23" t="str" cm="1">
        <f t="array" ref="D418">IFERROR([1]!CalculateHyphenString(C418),"")</f>
        <v/>
      </c>
      <c r="G418" s="26"/>
      <c r="H418" s="2"/>
      <c r="L418" s="21">
        <f t="shared" si="12"/>
        <v>0</v>
      </c>
      <c r="N418" s="21">
        <f t="shared" si="13"/>
        <v>0</v>
      </c>
      <c r="O418" s="2" cm="1">
        <f t="array" ref="O418:Q418">[1]!ConvertFeet(N418)</f>
        <v>0</v>
      </c>
      <c r="P418" s="2">
        <v>0</v>
      </c>
      <c r="Q418" s="2">
        <v>0</v>
      </c>
    </row>
    <row r="419" spans="1:17" x14ac:dyDescent="0.6">
      <c r="A419" s="34">
        <v>419</v>
      </c>
      <c r="D419" s="23" t="str" cm="1">
        <f t="array" ref="D419">IFERROR([1]!CalculateHyphenString(C419),"")</f>
        <v/>
      </c>
      <c r="G419" s="26"/>
      <c r="H419" s="2"/>
      <c r="L419" s="21">
        <f t="shared" si="12"/>
        <v>0</v>
      </c>
      <c r="N419" s="21">
        <f t="shared" si="13"/>
        <v>0</v>
      </c>
      <c r="O419" s="2" cm="1">
        <f t="array" ref="O419:Q419">[1]!ConvertFeet(N419)</f>
        <v>0</v>
      </c>
      <c r="P419" s="2">
        <v>0</v>
      </c>
      <c r="Q419" s="2">
        <v>0</v>
      </c>
    </row>
    <row r="420" spans="1:17" x14ac:dyDescent="0.6">
      <c r="A420" s="35">
        <v>420</v>
      </c>
      <c r="D420" s="23" t="str" cm="1">
        <f t="array" ref="D420">IFERROR([1]!CalculateHyphenString(C420),"")</f>
        <v/>
      </c>
      <c r="G420" s="26"/>
      <c r="H420" s="2"/>
      <c r="L420" s="21">
        <f t="shared" si="12"/>
        <v>0</v>
      </c>
      <c r="N420" s="21">
        <f t="shared" si="13"/>
        <v>0</v>
      </c>
      <c r="O420" s="2" cm="1">
        <f t="array" ref="O420:Q420">[1]!ConvertFeet(N420)</f>
        <v>0</v>
      </c>
      <c r="P420" s="2">
        <v>0</v>
      </c>
      <c r="Q420" s="2">
        <v>0</v>
      </c>
    </row>
    <row r="421" spans="1:17" x14ac:dyDescent="0.6">
      <c r="A421" s="34">
        <v>421</v>
      </c>
      <c r="D421" s="23" t="str" cm="1">
        <f t="array" ref="D421">IFERROR([1]!CalculateHyphenString(C421),"")</f>
        <v/>
      </c>
      <c r="G421" s="26"/>
      <c r="H421" s="2"/>
      <c r="L421" s="21">
        <f t="shared" si="12"/>
        <v>0</v>
      </c>
      <c r="N421" s="21">
        <f t="shared" si="13"/>
        <v>0</v>
      </c>
      <c r="O421" s="2" cm="1">
        <f t="array" ref="O421:Q421">[1]!ConvertFeet(N421)</f>
        <v>0</v>
      </c>
      <c r="P421" s="2">
        <v>0</v>
      </c>
      <c r="Q421" s="2">
        <v>0</v>
      </c>
    </row>
    <row r="422" spans="1:17" x14ac:dyDescent="0.6">
      <c r="A422" s="35">
        <v>422</v>
      </c>
      <c r="D422" s="23" t="str" cm="1">
        <f t="array" ref="D422">IFERROR([1]!CalculateHyphenString(C422),"")</f>
        <v/>
      </c>
      <c r="G422" s="26"/>
      <c r="H422" s="2"/>
      <c r="L422" s="21">
        <f t="shared" si="12"/>
        <v>0</v>
      </c>
      <c r="N422" s="21">
        <f t="shared" si="13"/>
        <v>0</v>
      </c>
      <c r="O422" s="2" cm="1">
        <f t="array" ref="O422:Q422">[1]!ConvertFeet(N422)</f>
        <v>0</v>
      </c>
      <c r="P422" s="2">
        <v>0</v>
      </c>
      <c r="Q422" s="2">
        <v>0</v>
      </c>
    </row>
    <row r="423" spans="1:17" x14ac:dyDescent="0.6">
      <c r="A423" s="34">
        <v>423</v>
      </c>
      <c r="D423" s="23" t="str" cm="1">
        <f t="array" ref="D423">IFERROR([1]!CalculateHyphenString(C423),"")</f>
        <v/>
      </c>
      <c r="G423" s="26"/>
      <c r="H423" s="2"/>
      <c r="L423" s="21">
        <f t="shared" si="12"/>
        <v>0</v>
      </c>
      <c r="N423" s="21">
        <f t="shared" si="13"/>
        <v>0</v>
      </c>
      <c r="O423" s="2" cm="1">
        <f t="array" ref="O423:Q423">[1]!ConvertFeet(N423)</f>
        <v>0</v>
      </c>
      <c r="P423" s="2">
        <v>0</v>
      </c>
      <c r="Q423" s="2">
        <v>0</v>
      </c>
    </row>
    <row r="424" spans="1:17" x14ac:dyDescent="0.6">
      <c r="A424" s="35">
        <v>424</v>
      </c>
      <c r="D424" s="23" t="str" cm="1">
        <f t="array" ref="D424">IFERROR([1]!CalculateHyphenString(C424),"")</f>
        <v/>
      </c>
      <c r="G424" s="26"/>
      <c r="H424" s="2"/>
      <c r="L424" s="21">
        <f t="shared" si="12"/>
        <v>0</v>
      </c>
      <c r="N424" s="21">
        <f t="shared" si="13"/>
        <v>0</v>
      </c>
      <c r="O424" s="2" cm="1">
        <f t="array" ref="O424:Q424">[1]!ConvertFeet(N424)</f>
        <v>0</v>
      </c>
      <c r="P424" s="2">
        <v>0</v>
      </c>
      <c r="Q424" s="2">
        <v>0</v>
      </c>
    </row>
    <row r="425" spans="1:17" x14ac:dyDescent="0.6">
      <c r="A425" s="34">
        <v>425</v>
      </c>
      <c r="D425" s="23" t="str" cm="1">
        <f t="array" ref="D425">IFERROR([1]!CalculateHyphenString(C425),"")</f>
        <v/>
      </c>
      <c r="G425" s="26"/>
      <c r="H425" s="2"/>
      <c r="L425" s="21">
        <f t="shared" si="12"/>
        <v>0</v>
      </c>
      <c r="N425" s="21">
        <f t="shared" si="13"/>
        <v>0</v>
      </c>
      <c r="O425" s="2" cm="1">
        <f t="array" ref="O425:Q425">[1]!ConvertFeet(N425)</f>
        <v>0</v>
      </c>
      <c r="P425" s="2">
        <v>0</v>
      </c>
      <c r="Q425" s="2">
        <v>0</v>
      </c>
    </row>
    <row r="426" spans="1:17" x14ac:dyDescent="0.6">
      <c r="A426" s="35">
        <v>426</v>
      </c>
      <c r="D426" s="23" t="str" cm="1">
        <f t="array" ref="D426">IFERROR([1]!CalculateHyphenString(C426),"")</f>
        <v/>
      </c>
      <c r="G426" s="26"/>
      <c r="H426" s="2"/>
      <c r="L426" s="21">
        <f t="shared" si="12"/>
        <v>0</v>
      </c>
      <c r="N426" s="21">
        <f t="shared" si="13"/>
        <v>0</v>
      </c>
      <c r="O426" s="2" cm="1">
        <f t="array" ref="O426:Q426">[1]!ConvertFeet(N426)</f>
        <v>0</v>
      </c>
      <c r="P426" s="2">
        <v>0</v>
      </c>
      <c r="Q426" s="2">
        <v>0</v>
      </c>
    </row>
    <row r="427" spans="1:17" x14ac:dyDescent="0.6">
      <c r="A427" s="34">
        <v>427</v>
      </c>
      <c r="D427" s="23" t="str" cm="1">
        <f t="array" ref="D427">IFERROR([1]!CalculateHyphenString(C427),"")</f>
        <v/>
      </c>
      <c r="G427" s="26"/>
      <c r="H427" s="2"/>
      <c r="L427" s="21">
        <f t="shared" si="12"/>
        <v>0</v>
      </c>
      <c r="N427" s="21">
        <f t="shared" si="13"/>
        <v>0</v>
      </c>
      <c r="O427" s="2" cm="1">
        <f t="array" ref="O427:Q427">[1]!ConvertFeet(N427)</f>
        <v>0</v>
      </c>
      <c r="P427" s="2">
        <v>0</v>
      </c>
      <c r="Q427" s="2">
        <v>0</v>
      </c>
    </row>
    <row r="428" spans="1:17" x14ac:dyDescent="0.6">
      <c r="A428" s="35">
        <v>428</v>
      </c>
      <c r="D428" s="23" t="str" cm="1">
        <f t="array" ref="D428">IFERROR([1]!CalculateHyphenString(C428),"")</f>
        <v/>
      </c>
      <c r="G428" s="26"/>
      <c r="H428" s="2"/>
      <c r="L428" s="21">
        <f t="shared" si="12"/>
        <v>0</v>
      </c>
      <c r="N428" s="21">
        <f t="shared" si="13"/>
        <v>0</v>
      </c>
      <c r="O428" s="2" cm="1">
        <f t="array" ref="O428:Q428">[1]!ConvertFeet(N428)</f>
        <v>0</v>
      </c>
      <c r="P428" s="2">
        <v>0</v>
      </c>
      <c r="Q428" s="2">
        <v>0</v>
      </c>
    </row>
    <row r="429" spans="1:17" x14ac:dyDescent="0.6">
      <c r="A429" s="34">
        <v>429</v>
      </c>
      <c r="D429" s="23" t="str" cm="1">
        <f t="array" ref="D429">IFERROR([1]!CalculateHyphenString(C429),"")</f>
        <v/>
      </c>
      <c r="G429" s="26"/>
      <c r="H429" s="2"/>
      <c r="L429" s="21">
        <f t="shared" si="12"/>
        <v>0</v>
      </c>
      <c r="N429" s="21">
        <f t="shared" si="13"/>
        <v>0</v>
      </c>
      <c r="O429" s="2" cm="1">
        <f t="array" ref="O429:Q429">[1]!ConvertFeet(N429)</f>
        <v>0</v>
      </c>
      <c r="P429" s="2">
        <v>0</v>
      </c>
      <c r="Q429" s="2">
        <v>0</v>
      </c>
    </row>
    <row r="430" spans="1:17" x14ac:dyDescent="0.6">
      <c r="A430" s="35">
        <v>430</v>
      </c>
      <c r="D430" s="23" t="str" cm="1">
        <f t="array" ref="D430">IFERROR([1]!CalculateHyphenString(C430),"")</f>
        <v/>
      </c>
      <c r="G430" s="26"/>
      <c r="H430" s="2"/>
      <c r="L430" s="21">
        <f t="shared" si="12"/>
        <v>0</v>
      </c>
      <c r="N430" s="21">
        <f t="shared" si="13"/>
        <v>0</v>
      </c>
      <c r="O430" s="2" cm="1">
        <f t="array" ref="O430:Q430">[1]!ConvertFeet(N430)</f>
        <v>0</v>
      </c>
      <c r="P430" s="2">
        <v>0</v>
      </c>
      <c r="Q430" s="2">
        <v>0</v>
      </c>
    </row>
    <row r="431" spans="1:17" x14ac:dyDescent="0.6">
      <c r="A431" s="34">
        <v>431</v>
      </c>
      <c r="D431" s="23" t="str" cm="1">
        <f t="array" ref="D431">IFERROR([1]!CalculateHyphenString(C431),"")</f>
        <v/>
      </c>
      <c r="G431" s="26"/>
      <c r="H431" s="2"/>
      <c r="L431" s="21">
        <f t="shared" si="12"/>
        <v>0</v>
      </c>
      <c r="N431" s="21">
        <f t="shared" si="13"/>
        <v>0</v>
      </c>
      <c r="O431" s="2" cm="1">
        <f t="array" ref="O431:Q431">[1]!ConvertFeet(N431)</f>
        <v>0</v>
      </c>
      <c r="P431" s="2">
        <v>0</v>
      </c>
      <c r="Q431" s="2">
        <v>0</v>
      </c>
    </row>
    <row r="432" spans="1:17" x14ac:dyDescent="0.6">
      <c r="A432" s="35">
        <v>432</v>
      </c>
      <c r="D432" s="23" t="str" cm="1">
        <f t="array" ref="D432">IFERROR([1]!CalculateHyphenString(C432),"")</f>
        <v/>
      </c>
      <c r="G432" s="26"/>
      <c r="H432" s="2"/>
      <c r="L432" s="21">
        <f t="shared" si="12"/>
        <v>0</v>
      </c>
      <c r="N432" s="21">
        <f t="shared" si="13"/>
        <v>0</v>
      </c>
      <c r="O432" s="2" cm="1">
        <f t="array" ref="O432:Q432">[1]!ConvertFeet(N432)</f>
        <v>0</v>
      </c>
      <c r="P432" s="2">
        <v>0</v>
      </c>
      <c r="Q432" s="2">
        <v>0</v>
      </c>
    </row>
    <row r="433" spans="1:17" x14ac:dyDescent="0.6">
      <c r="A433" s="34">
        <v>433</v>
      </c>
      <c r="D433" s="23" t="str" cm="1">
        <f t="array" ref="D433">IFERROR([1]!CalculateHyphenString(C433),"")</f>
        <v/>
      </c>
      <c r="G433" s="26"/>
      <c r="H433" s="2"/>
      <c r="L433" s="21">
        <f t="shared" si="12"/>
        <v>0</v>
      </c>
      <c r="N433" s="21">
        <f t="shared" si="13"/>
        <v>0</v>
      </c>
      <c r="O433" s="2" cm="1">
        <f t="array" ref="O433:Q433">[1]!ConvertFeet(N433)</f>
        <v>0</v>
      </c>
      <c r="P433" s="2">
        <v>0</v>
      </c>
      <c r="Q433" s="2">
        <v>0</v>
      </c>
    </row>
    <row r="434" spans="1:17" x14ac:dyDescent="0.6">
      <c r="A434" s="35">
        <v>434</v>
      </c>
      <c r="D434" s="23" t="str" cm="1">
        <f t="array" ref="D434">IFERROR([1]!CalculateHyphenString(C434),"")</f>
        <v/>
      </c>
      <c r="G434" s="26"/>
      <c r="H434" s="2"/>
      <c r="L434" s="21">
        <f t="shared" si="12"/>
        <v>0</v>
      </c>
      <c r="N434" s="21">
        <f t="shared" si="13"/>
        <v>0</v>
      </c>
      <c r="O434" s="2" cm="1">
        <f t="array" ref="O434:Q434">[1]!ConvertFeet(N434)</f>
        <v>0</v>
      </c>
      <c r="P434" s="2">
        <v>0</v>
      </c>
      <c r="Q434" s="2">
        <v>0</v>
      </c>
    </row>
    <row r="435" spans="1:17" x14ac:dyDescent="0.6">
      <c r="A435" s="34">
        <v>435</v>
      </c>
      <c r="D435" s="23" t="str" cm="1">
        <f t="array" ref="D435">IFERROR([1]!CalculateHyphenString(C435),"")</f>
        <v/>
      </c>
      <c r="G435" s="26"/>
      <c r="H435" s="2"/>
      <c r="L435" s="21">
        <f t="shared" si="12"/>
        <v>0</v>
      </c>
      <c r="N435" s="21">
        <f t="shared" si="13"/>
        <v>0</v>
      </c>
      <c r="O435" s="2" cm="1">
        <f t="array" ref="O435:Q435">[1]!ConvertFeet(N435)</f>
        <v>0</v>
      </c>
      <c r="P435" s="2">
        <v>0</v>
      </c>
      <c r="Q435" s="2">
        <v>0</v>
      </c>
    </row>
    <row r="436" spans="1:17" x14ac:dyDescent="0.6">
      <c r="A436" s="35">
        <v>436</v>
      </c>
      <c r="D436" s="23" t="str" cm="1">
        <f t="array" ref="D436">IFERROR([1]!CalculateHyphenString(C436),"")</f>
        <v/>
      </c>
      <c r="G436" s="26"/>
      <c r="H436" s="2"/>
      <c r="L436" s="21">
        <f t="shared" si="12"/>
        <v>0</v>
      </c>
      <c r="N436" s="21">
        <f t="shared" si="13"/>
        <v>0</v>
      </c>
      <c r="O436" s="2" cm="1">
        <f t="array" ref="O436:Q436">[1]!ConvertFeet(N436)</f>
        <v>0</v>
      </c>
      <c r="P436" s="2">
        <v>0</v>
      </c>
      <c r="Q436" s="2">
        <v>0</v>
      </c>
    </row>
    <row r="437" spans="1:17" x14ac:dyDescent="0.6">
      <c r="A437" s="34">
        <v>437</v>
      </c>
      <c r="D437" s="23" t="str" cm="1">
        <f t="array" ref="D437">IFERROR([1]!CalculateHyphenString(C437),"")</f>
        <v/>
      </c>
      <c r="G437" s="26"/>
      <c r="H437" s="2"/>
      <c r="L437" s="21">
        <f t="shared" si="12"/>
        <v>0</v>
      </c>
      <c r="N437" s="21">
        <f t="shared" si="13"/>
        <v>0</v>
      </c>
      <c r="O437" s="2" cm="1">
        <f t="array" ref="O437:Q437">[1]!ConvertFeet(N437)</f>
        <v>0</v>
      </c>
      <c r="P437" s="2">
        <v>0</v>
      </c>
      <c r="Q437" s="2">
        <v>0</v>
      </c>
    </row>
    <row r="438" spans="1:17" x14ac:dyDescent="0.6">
      <c r="A438" s="35">
        <v>438</v>
      </c>
      <c r="D438" s="23" t="str" cm="1">
        <f t="array" ref="D438">IFERROR([1]!CalculateHyphenString(C438),"")</f>
        <v/>
      </c>
      <c r="G438" s="26"/>
      <c r="H438" s="2"/>
      <c r="L438" s="21">
        <f t="shared" si="12"/>
        <v>0</v>
      </c>
      <c r="N438" s="21">
        <f t="shared" si="13"/>
        <v>0</v>
      </c>
      <c r="O438" s="2" cm="1">
        <f t="array" ref="O438:Q438">[1]!ConvertFeet(N438)</f>
        <v>0</v>
      </c>
      <c r="P438" s="2">
        <v>0</v>
      </c>
      <c r="Q438" s="2">
        <v>0</v>
      </c>
    </row>
    <row r="439" spans="1:17" x14ac:dyDescent="0.6">
      <c r="A439" s="34">
        <v>439</v>
      </c>
      <c r="D439" s="23" t="str" cm="1">
        <f t="array" ref="D439">IFERROR([1]!CalculateHyphenString(C439),"")</f>
        <v/>
      </c>
      <c r="G439" s="26"/>
      <c r="H439" s="2"/>
      <c r="L439" s="21">
        <f t="shared" si="12"/>
        <v>0</v>
      </c>
      <c r="N439" s="21">
        <f t="shared" si="13"/>
        <v>0</v>
      </c>
      <c r="O439" s="2" cm="1">
        <f t="array" ref="O439:Q439">[1]!ConvertFeet(N439)</f>
        <v>0</v>
      </c>
      <c r="P439" s="2">
        <v>0</v>
      </c>
      <c r="Q439" s="2">
        <v>0</v>
      </c>
    </row>
    <row r="440" spans="1:17" x14ac:dyDescent="0.6">
      <c r="A440" s="35">
        <v>440</v>
      </c>
      <c r="D440" s="23" t="str" cm="1">
        <f t="array" ref="D440">IFERROR([1]!CalculateHyphenString(C440),"")</f>
        <v/>
      </c>
      <c r="G440" s="26"/>
      <c r="H440" s="2"/>
      <c r="L440" s="21">
        <f t="shared" si="12"/>
        <v>0</v>
      </c>
      <c r="N440" s="21">
        <f t="shared" si="13"/>
        <v>0</v>
      </c>
      <c r="O440" s="2" cm="1">
        <f t="array" ref="O440:Q440">[1]!ConvertFeet(N440)</f>
        <v>0</v>
      </c>
      <c r="P440" s="2">
        <v>0</v>
      </c>
      <c r="Q440" s="2">
        <v>0</v>
      </c>
    </row>
    <row r="441" spans="1:17" x14ac:dyDescent="0.6">
      <c r="A441" s="34">
        <v>441</v>
      </c>
      <c r="D441" s="23" t="str" cm="1">
        <f t="array" ref="D441">IFERROR([1]!CalculateHyphenString(C441),"")</f>
        <v/>
      </c>
      <c r="G441" s="26"/>
      <c r="H441" s="2"/>
      <c r="L441" s="21">
        <f t="shared" si="12"/>
        <v>0</v>
      </c>
      <c r="N441" s="21">
        <f t="shared" si="13"/>
        <v>0</v>
      </c>
      <c r="O441" s="2" cm="1">
        <f t="array" ref="O441:Q441">[1]!ConvertFeet(N441)</f>
        <v>0</v>
      </c>
      <c r="P441" s="2">
        <v>0</v>
      </c>
      <c r="Q441" s="2">
        <v>0</v>
      </c>
    </row>
    <row r="442" spans="1:17" x14ac:dyDescent="0.6">
      <c r="A442" s="35">
        <v>442</v>
      </c>
      <c r="D442" s="23" t="str" cm="1">
        <f t="array" ref="D442">IFERROR([1]!CalculateHyphenString(C442),"")</f>
        <v/>
      </c>
      <c r="G442" s="26"/>
      <c r="H442" s="2"/>
      <c r="L442" s="21">
        <f t="shared" si="12"/>
        <v>0</v>
      </c>
      <c r="N442" s="21">
        <f t="shared" si="13"/>
        <v>0</v>
      </c>
      <c r="O442" s="2" cm="1">
        <f t="array" ref="O442:Q442">[1]!ConvertFeet(N442)</f>
        <v>0</v>
      </c>
      <c r="P442" s="2">
        <v>0</v>
      </c>
      <c r="Q442" s="2">
        <v>0</v>
      </c>
    </row>
    <row r="443" spans="1:17" x14ac:dyDescent="0.6">
      <c r="A443" s="34">
        <v>443</v>
      </c>
      <c r="D443" s="23" t="str" cm="1">
        <f t="array" ref="D443">IFERROR([1]!CalculateHyphenString(C443),"")</f>
        <v/>
      </c>
      <c r="G443" s="26"/>
      <c r="H443" s="2"/>
      <c r="L443" s="21">
        <f t="shared" si="12"/>
        <v>0</v>
      </c>
      <c r="N443" s="21">
        <f t="shared" si="13"/>
        <v>0</v>
      </c>
      <c r="O443" s="2" cm="1">
        <f t="array" ref="O443:Q443">[1]!ConvertFeet(N443)</f>
        <v>0</v>
      </c>
      <c r="P443" s="2">
        <v>0</v>
      </c>
      <c r="Q443" s="2">
        <v>0</v>
      </c>
    </row>
    <row r="444" spans="1:17" x14ac:dyDescent="0.6">
      <c r="A444" s="35">
        <v>444</v>
      </c>
      <c r="D444" s="23" t="str" cm="1">
        <f t="array" ref="D444">IFERROR([1]!CalculateHyphenString(C444),"")</f>
        <v/>
      </c>
      <c r="G444" s="26"/>
      <c r="H444" s="2"/>
      <c r="L444" s="21">
        <f t="shared" si="12"/>
        <v>0</v>
      </c>
      <c r="N444" s="21">
        <f t="shared" si="13"/>
        <v>0</v>
      </c>
      <c r="O444" s="2" cm="1">
        <f t="array" ref="O444:Q444">[1]!ConvertFeet(N444)</f>
        <v>0</v>
      </c>
      <c r="P444" s="2">
        <v>0</v>
      </c>
      <c r="Q444" s="2">
        <v>0</v>
      </c>
    </row>
    <row r="445" spans="1:17" x14ac:dyDescent="0.6">
      <c r="A445" s="34">
        <v>445</v>
      </c>
      <c r="D445" s="23" t="str" cm="1">
        <f t="array" ref="D445">IFERROR([1]!CalculateHyphenString(C445),"")</f>
        <v/>
      </c>
      <c r="G445" s="26"/>
      <c r="H445" s="2"/>
      <c r="L445" s="21">
        <f t="shared" si="12"/>
        <v>0</v>
      </c>
      <c r="N445" s="21">
        <f t="shared" si="13"/>
        <v>0</v>
      </c>
      <c r="O445" s="2" cm="1">
        <f t="array" ref="O445:Q445">[1]!ConvertFeet(N445)</f>
        <v>0</v>
      </c>
      <c r="P445" s="2">
        <v>0</v>
      </c>
      <c r="Q445" s="2">
        <v>0</v>
      </c>
    </row>
    <row r="446" spans="1:17" x14ac:dyDescent="0.6">
      <c r="A446" s="35">
        <v>446</v>
      </c>
      <c r="D446" s="23" t="str" cm="1">
        <f t="array" ref="D446">IFERROR([1]!CalculateHyphenString(C446),"")</f>
        <v/>
      </c>
      <c r="G446" s="26"/>
      <c r="H446" s="2"/>
      <c r="L446" s="21">
        <f t="shared" si="12"/>
        <v>0</v>
      </c>
      <c r="N446" s="21">
        <f t="shared" si="13"/>
        <v>0</v>
      </c>
      <c r="O446" s="2" cm="1">
        <f t="array" ref="O446:Q446">[1]!ConvertFeet(N446)</f>
        <v>0</v>
      </c>
      <c r="P446" s="2">
        <v>0</v>
      </c>
      <c r="Q446" s="2">
        <v>0</v>
      </c>
    </row>
    <row r="447" spans="1:17" x14ac:dyDescent="0.6">
      <c r="A447" s="34">
        <v>447</v>
      </c>
      <c r="D447" s="23" t="str" cm="1">
        <f t="array" ref="D447">IFERROR([1]!CalculateHyphenString(C447),"")</f>
        <v/>
      </c>
      <c r="G447" s="26"/>
      <c r="H447" s="2"/>
      <c r="L447" s="21">
        <f t="shared" si="12"/>
        <v>0</v>
      </c>
      <c r="N447" s="21">
        <f t="shared" si="13"/>
        <v>0</v>
      </c>
      <c r="O447" s="2" cm="1">
        <f t="array" ref="O447:Q447">[1]!ConvertFeet(N447)</f>
        <v>0</v>
      </c>
      <c r="P447" s="2">
        <v>0</v>
      </c>
      <c r="Q447" s="2">
        <v>0</v>
      </c>
    </row>
    <row r="448" spans="1:17" x14ac:dyDescent="0.6">
      <c r="A448" s="35">
        <v>448</v>
      </c>
      <c r="D448" s="23" t="str" cm="1">
        <f t="array" ref="D448">IFERROR([1]!CalculateHyphenString(C448),"")</f>
        <v/>
      </c>
      <c r="G448" s="26"/>
      <c r="H448" s="2"/>
      <c r="L448" s="21">
        <f t="shared" si="12"/>
        <v>0</v>
      </c>
      <c r="N448" s="21">
        <f t="shared" si="13"/>
        <v>0</v>
      </c>
      <c r="O448" s="2" cm="1">
        <f t="array" ref="O448:Q448">[1]!ConvertFeet(N448)</f>
        <v>0</v>
      </c>
      <c r="P448" s="2">
        <v>0</v>
      </c>
      <c r="Q448" s="2">
        <v>0</v>
      </c>
    </row>
    <row r="449" spans="1:17" x14ac:dyDescent="0.6">
      <c r="A449" s="34">
        <v>449</v>
      </c>
      <c r="D449" s="23" t="str" cm="1">
        <f t="array" ref="D449">IFERROR([1]!CalculateHyphenString(C449),"")</f>
        <v/>
      </c>
      <c r="G449" s="26"/>
      <c r="H449" s="2"/>
      <c r="L449" s="21">
        <f t="shared" si="12"/>
        <v>0</v>
      </c>
      <c r="N449" s="21">
        <f t="shared" si="13"/>
        <v>0</v>
      </c>
      <c r="O449" s="2" cm="1">
        <f t="array" ref="O449:Q449">[1]!ConvertFeet(N449)</f>
        <v>0</v>
      </c>
      <c r="P449" s="2">
        <v>0</v>
      </c>
      <c r="Q449" s="2">
        <v>0</v>
      </c>
    </row>
    <row r="450" spans="1:17" x14ac:dyDescent="0.6">
      <c r="A450" s="35">
        <v>450</v>
      </c>
      <c r="D450" s="23" t="str" cm="1">
        <f t="array" ref="D450">IFERROR([1]!CalculateHyphenString(C450),"")</f>
        <v/>
      </c>
      <c r="G450" s="26"/>
      <c r="H450" s="2"/>
      <c r="L450" s="21">
        <f t="shared" si="12"/>
        <v>0</v>
      </c>
      <c r="N450" s="21">
        <f t="shared" si="13"/>
        <v>0</v>
      </c>
      <c r="O450" s="2" cm="1">
        <f t="array" ref="O450:Q450">[1]!ConvertFeet(N450)</f>
        <v>0</v>
      </c>
      <c r="P450" s="2">
        <v>0</v>
      </c>
      <c r="Q450" s="2">
        <v>0</v>
      </c>
    </row>
    <row r="451" spans="1:17" x14ac:dyDescent="0.6">
      <c r="A451" s="34">
        <v>451</v>
      </c>
      <c r="D451" s="23" t="str" cm="1">
        <f t="array" ref="D451">IFERROR([1]!CalculateHyphenString(C451),"")</f>
        <v/>
      </c>
      <c r="G451" s="26"/>
      <c r="H451" s="2"/>
      <c r="L451" s="21">
        <f t="shared" si="12"/>
        <v>0</v>
      </c>
      <c r="N451" s="21">
        <f t="shared" si="13"/>
        <v>0</v>
      </c>
      <c r="O451" s="2" cm="1">
        <f t="array" ref="O451:Q451">[1]!ConvertFeet(N451)</f>
        <v>0</v>
      </c>
      <c r="P451" s="2">
        <v>0</v>
      </c>
      <c r="Q451" s="2">
        <v>0</v>
      </c>
    </row>
    <row r="452" spans="1:17" x14ac:dyDescent="0.6">
      <c r="A452" s="35">
        <v>452</v>
      </c>
      <c r="D452" s="23" t="str" cm="1">
        <f t="array" ref="D452">IFERROR([1]!CalculateHyphenString(C452),"")</f>
        <v/>
      </c>
      <c r="G452" s="26"/>
      <c r="H452" s="2"/>
      <c r="L452" s="21">
        <f t="shared" si="12"/>
        <v>0</v>
      </c>
      <c r="N452" s="21">
        <f t="shared" si="13"/>
        <v>0</v>
      </c>
      <c r="O452" s="2" cm="1">
        <f t="array" ref="O452:Q452">[1]!ConvertFeet(N452)</f>
        <v>0</v>
      </c>
      <c r="P452" s="2">
        <v>0</v>
      </c>
      <c r="Q452" s="2">
        <v>0</v>
      </c>
    </row>
    <row r="453" spans="1:17" x14ac:dyDescent="0.6">
      <c r="A453" s="34">
        <v>453</v>
      </c>
      <c r="D453" s="23" t="str" cm="1">
        <f t="array" ref="D453">IFERROR([1]!CalculateHyphenString(C453),"")</f>
        <v/>
      </c>
      <c r="G453" s="26"/>
      <c r="H453" s="2"/>
      <c r="L453" s="21">
        <f t="shared" si="12"/>
        <v>0</v>
      </c>
      <c r="N453" s="21">
        <f t="shared" si="13"/>
        <v>0</v>
      </c>
      <c r="O453" s="2" cm="1">
        <f t="array" ref="O453:Q453">[1]!ConvertFeet(N453)</f>
        <v>0</v>
      </c>
      <c r="P453" s="2">
        <v>0</v>
      </c>
      <c r="Q453" s="2">
        <v>0</v>
      </c>
    </row>
    <row r="454" spans="1:17" x14ac:dyDescent="0.6">
      <c r="A454" s="35">
        <v>454</v>
      </c>
      <c r="D454" s="23" t="str" cm="1">
        <f t="array" ref="D454">IFERROR([1]!CalculateHyphenString(C454),"")</f>
        <v/>
      </c>
      <c r="G454" s="26"/>
      <c r="H454" s="2"/>
      <c r="L454" s="21">
        <f t="shared" si="12"/>
        <v>0</v>
      </c>
      <c r="N454" s="21">
        <f t="shared" si="13"/>
        <v>0</v>
      </c>
      <c r="O454" s="2" cm="1">
        <f t="array" ref="O454:Q454">[1]!ConvertFeet(N454)</f>
        <v>0</v>
      </c>
      <c r="P454" s="2">
        <v>0</v>
      </c>
      <c r="Q454" s="2">
        <v>0</v>
      </c>
    </row>
    <row r="455" spans="1:17" x14ac:dyDescent="0.6">
      <c r="A455" s="34">
        <v>455</v>
      </c>
      <c r="D455" s="23" t="str" cm="1">
        <f t="array" ref="D455">IFERROR([1]!CalculateHyphenString(C455),"")</f>
        <v/>
      </c>
      <c r="G455" s="26"/>
      <c r="H455" s="2"/>
      <c r="L455" s="21">
        <f t="shared" ref="L455:L518" si="14">(K455*$G$3)/100</f>
        <v>0</v>
      </c>
      <c r="N455" s="21">
        <f t="shared" ref="N455:N518" si="15">K455-(L455+M455)</f>
        <v>0</v>
      </c>
      <c r="O455" s="2" cm="1">
        <f t="array" ref="O455:Q455">[1]!ConvertFeet(N455)</f>
        <v>0</v>
      </c>
      <c r="P455" s="2">
        <v>0</v>
      </c>
      <c r="Q455" s="2">
        <v>0</v>
      </c>
    </row>
    <row r="456" spans="1:17" x14ac:dyDescent="0.6">
      <c r="A456" s="35">
        <v>456</v>
      </c>
      <c r="D456" s="23" t="str" cm="1">
        <f t="array" ref="D456">IFERROR([1]!CalculateHyphenString(C456),"")</f>
        <v/>
      </c>
      <c r="G456" s="26"/>
      <c r="H456" s="2"/>
      <c r="L456" s="21">
        <f t="shared" si="14"/>
        <v>0</v>
      </c>
      <c r="N456" s="21">
        <f t="shared" si="15"/>
        <v>0</v>
      </c>
      <c r="O456" s="2" cm="1">
        <f t="array" ref="O456:Q456">[1]!ConvertFeet(N456)</f>
        <v>0</v>
      </c>
      <c r="P456" s="2">
        <v>0</v>
      </c>
      <c r="Q456" s="2">
        <v>0</v>
      </c>
    </row>
    <row r="457" spans="1:17" x14ac:dyDescent="0.6">
      <c r="A457" s="34">
        <v>457</v>
      </c>
      <c r="D457" s="23" t="str" cm="1">
        <f t="array" ref="D457">IFERROR([1]!CalculateHyphenString(C457),"")</f>
        <v/>
      </c>
      <c r="G457" s="26"/>
      <c r="H457" s="2"/>
      <c r="L457" s="21">
        <f t="shared" si="14"/>
        <v>0</v>
      </c>
      <c r="N457" s="21">
        <f t="shared" si="15"/>
        <v>0</v>
      </c>
      <c r="O457" s="2" cm="1">
        <f t="array" ref="O457:Q457">[1]!ConvertFeet(N457)</f>
        <v>0</v>
      </c>
      <c r="P457" s="2">
        <v>0</v>
      </c>
      <c r="Q457" s="2">
        <v>0</v>
      </c>
    </row>
    <row r="458" spans="1:17" x14ac:dyDescent="0.6">
      <c r="A458" s="35">
        <v>458</v>
      </c>
      <c r="D458" s="23" t="str" cm="1">
        <f t="array" ref="D458">IFERROR([1]!CalculateHyphenString(C458),"")</f>
        <v/>
      </c>
      <c r="G458" s="26"/>
      <c r="H458" s="2"/>
      <c r="L458" s="21">
        <f t="shared" si="14"/>
        <v>0</v>
      </c>
      <c r="N458" s="21">
        <f t="shared" si="15"/>
        <v>0</v>
      </c>
      <c r="O458" s="2" cm="1">
        <f t="array" ref="O458:Q458">[1]!ConvertFeet(N458)</f>
        <v>0</v>
      </c>
      <c r="P458" s="2">
        <v>0</v>
      </c>
      <c r="Q458" s="2">
        <v>0</v>
      </c>
    </row>
    <row r="459" spans="1:17" x14ac:dyDescent="0.6">
      <c r="A459" s="34">
        <v>459</v>
      </c>
      <c r="D459" s="23" t="str" cm="1">
        <f t="array" ref="D459">IFERROR([1]!CalculateHyphenString(C459),"")</f>
        <v/>
      </c>
      <c r="G459" s="26"/>
      <c r="H459" s="2"/>
      <c r="L459" s="21">
        <f t="shared" si="14"/>
        <v>0</v>
      </c>
      <c r="N459" s="21">
        <f t="shared" si="15"/>
        <v>0</v>
      </c>
      <c r="O459" s="2" cm="1">
        <f t="array" ref="O459:Q459">[1]!ConvertFeet(N459)</f>
        <v>0</v>
      </c>
      <c r="P459" s="2">
        <v>0</v>
      </c>
      <c r="Q459" s="2">
        <v>0</v>
      </c>
    </row>
    <row r="460" spans="1:17" x14ac:dyDescent="0.6">
      <c r="A460" s="35">
        <v>460</v>
      </c>
      <c r="D460" s="23" t="str" cm="1">
        <f t="array" ref="D460">IFERROR([1]!CalculateHyphenString(C460),"")</f>
        <v/>
      </c>
      <c r="G460" s="26"/>
      <c r="H460" s="2"/>
      <c r="L460" s="21">
        <f t="shared" si="14"/>
        <v>0</v>
      </c>
      <c r="N460" s="21">
        <f t="shared" si="15"/>
        <v>0</v>
      </c>
      <c r="O460" s="2" cm="1">
        <f t="array" ref="O460:Q460">[1]!ConvertFeet(N460)</f>
        <v>0</v>
      </c>
      <c r="P460" s="2">
        <v>0</v>
      </c>
      <c r="Q460" s="2">
        <v>0</v>
      </c>
    </row>
    <row r="461" spans="1:17" x14ac:dyDescent="0.6">
      <c r="A461" s="34">
        <v>461</v>
      </c>
      <c r="D461" s="23" t="str" cm="1">
        <f t="array" ref="D461">IFERROR([1]!CalculateHyphenString(C461),"")</f>
        <v/>
      </c>
      <c r="G461" s="26"/>
      <c r="H461" s="2"/>
      <c r="L461" s="21">
        <f t="shared" si="14"/>
        <v>0</v>
      </c>
      <c r="N461" s="21">
        <f t="shared" si="15"/>
        <v>0</v>
      </c>
      <c r="O461" s="2" cm="1">
        <f t="array" ref="O461:Q461">[1]!ConvertFeet(N461)</f>
        <v>0</v>
      </c>
      <c r="P461" s="2">
        <v>0</v>
      </c>
      <c r="Q461" s="2">
        <v>0</v>
      </c>
    </row>
    <row r="462" spans="1:17" x14ac:dyDescent="0.6">
      <c r="A462" s="35">
        <v>462</v>
      </c>
      <c r="D462" s="23" t="str" cm="1">
        <f t="array" ref="D462">IFERROR([1]!CalculateHyphenString(C462),"")</f>
        <v/>
      </c>
      <c r="G462" s="26"/>
      <c r="H462" s="2"/>
      <c r="L462" s="21">
        <f t="shared" si="14"/>
        <v>0</v>
      </c>
      <c r="N462" s="21">
        <f t="shared" si="15"/>
        <v>0</v>
      </c>
      <c r="O462" s="2" cm="1">
        <f t="array" ref="O462:Q462">[1]!ConvertFeet(N462)</f>
        <v>0</v>
      </c>
      <c r="P462" s="2">
        <v>0</v>
      </c>
      <c r="Q462" s="2">
        <v>0</v>
      </c>
    </row>
    <row r="463" spans="1:17" x14ac:dyDescent="0.6">
      <c r="A463" s="34">
        <v>463</v>
      </c>
      <c r="D463" s="23" t="str" cm="1">
        <f t="array" ref="D463">IFERROR([1]!CalculateHyphenString(C463),"")</f>
        <v/>
      </c>
      <c r="G463" s="26"/>
      <c r="H463" s="2"/>
      <c r="L463" s="21">
        <f t="shared" si="14"/>
        <v>0</v>
      </c>
      <c r="N463" s="21">
        <f t="shared" si="15"/>
        <v>0</v>
      </c>
      <c r="O463" s="2" cm="1">
        <f t="array" ref="O463:Q463">[1]!ConvertFeet(N463)</f>
        <v>0</v>
      </c>
      <c r="P463" s="2">
        <v>0</v>
      </c>
      <c r="Q463" s="2">
        <v>0</v>
      </c>
    </row>
    <row r="464" spans="1:17" x14ac:dyDescent="0.6">
      <c r="A464" s="35">
        <v>464</v>
      </c>
      <c r="D464" s="23" t="str" cm="1">
        <f t="array" ref="D464">IFERROR([1]!CalculateHyphenString(C464),"")</f>
        <v/>
      </c>
      <c r="G464" s="26"/>
      <c r="H464" s="2"/>
      <c r="L464" s="21">
        <f t="shared" si="14"/>
        <v>0</v>
      </c>
      <c r="N464" s="21">
        <f t="shared" si="15"/>
        <v>0</v>
      </c>
      <c r="O464" s="2" cm="1">
        <f t="array" ref="O464:Q464">[1]!ConvertFeet(N464)</f>
        <v>0</v>
      </c>
      <c r="P464" s="2">
        <v>0</v>
      </c>
      <c r="Q464" s="2">
        <v>0</v>
      </c>
    </row>
    <row r="465" spans="1:17" x14ac:dyDescent="0.6">
      <c r="A465" s="34">
        <v>465</v>
      </c>
      <c r="D465" s="23" t="str" cm="1">
        <f t="array" ref="D465">IFERROR([1]!CalculateHyphenString(C465),"")</f>
        <v/>
      </c>
      <c r="G465" s="26"/>
      <c r="H465" s="2"/>
      <c r="L465" s="21">
        <f t="shared" si="14"/>
        <v>0</v>
      </c>
      <c r="N465" s="21">
        <f t="shared" si="15"/>
        <v>0</v>
      </c>
      <c r="O465" s="2" cm="1">
        <f t="array" ref="O465:Q465">[1]!ConvertFeet(N465)</f>
        <v>0</v>
      </c>
      <c r="P465" s="2">
        <v>0</v>
      </c>
      <c r="Q465" s="2">
        <v>0</v>
      </c>
    </row>
    <row r="466" spans="1:17" x14ac:dyDescent="0.6">
      <c r="A466" s="35">
        <v>466</v>
      </c>
      <c r="D466" s="23" t="str" cm="1">
        <f t="array" ref="D466">IFERROR([1]!CalculateHyphenString(C466),"")</f>
        <v/>
      </c>
      <c r="G466" s="26"/>
      <c r="H466" s="2"/>
      <c r="L466" s="21">
        <f t="shared" si="14"/>
        <v>0</v>
      </c>
      <c r="N466" s="21">
        <f t="shared" si="15"/>
        <v>0</v>
      </c>
      <c r="O466" s="2" cm="1">
        <f t="array" ref="O466:Q466">[1]!ConvertFeet(N466)</f>
        <v>0</v>
      </c>
      <c r="P466" s="2">
        <v>0</v>
      </c>
      <c r="Q466" s="2">
        <v>0</v>
      </c>
    </row>
    <row r="467" spans="1:17" x14ac:dyDescent="0.6">
      <c r="A467" s="34">
        <v>467</v>
      </c>
      <c r="D467" s="23" t="str" cm="1">
        <f t="array" ref="D467">IFERROR([1]!CalculateHyphenString(C467),"")</f>
        <v/>
      </c>
      <c r="G467" s="26"/>
      <c r="H467" s="2"/>
      <c r="L467" s="21">
        <f t="shared" si="14"/>
        <v>0</v>
      </c>
      <c r="N467" s="21">
        <f t="shared" si="15"/>
        <v>0</v>
      </c>
      <c r="O467" s="2" cm="1">
        <f t="array" ref="O467:Q467">[1]!ConvertFeet(N467)</f>
        <v>0</v>
      </c>
      <c r="P467" s="2">
        <v>0</v>
      </c>
      <c r="Q467" s="2">
        <v>0</v>
      </c>
    </row>
    <row r="468" spans="1:17" x14ac:dyDescent="0.6">
      <c r="A468" s="35">
        <v>468</v>
      </c>
      <c r="D468" s="23" t="str" cm="1">
        <f t="array" ref="D468">IFERROR([1]!CalculateHyphenString(C468),"")</f>
        <v/>
      </c>
      <c r="G468" s="26"/>
      <c r="H468" s="2"/>
      <c r="L468" s="21">
        <f t="shared" si="14"/>
        <v>0</v>
      </c>
      <c r="N468" s="21">
        <f t="shared" si="15"/>
        <v>0</v>
      </c>
      <c r="O468" s="2" cm="1">
        <f t="array" ref="O468:Q468">[1]!ConvertFeet(N468)</f>
        <v>0</v>
      </c>
      <c r="P468" s="2">
        <v>0</v>
      </c>
      <c r="Q468" s="2">
        <v>0</v>
      </c>
    </row>
    <row r="469" spans="1:17" x14ac:dyDescent="0.6">
      <c r="A469" s="34">
        <v>469</v>
      </c>
      <c r="D469" s="23" t="str" cm="1">
        <f t="array" ref="D469">IFERROR([1]!CalculateHyphenString(C469),"")</f>
        <v/>
      </c>
      <c r="G469" s="26"/>
      <c r="H469" s="2"/>
      <c r="L469" s="21">
        <f t="shared" si="14"/>
        <v>0</v>
      </c>
      <c r="N469" s="21">
        <f t="shared" si="15"/>
        <v>0</v>
      </c>
      <c r="O469" s="2" cm="1">
        <f t="array" ref="O469:Q469">[1]!ConvertFeet(N469)</f>
        <v>0</v>
      </c>
      <c r="P469" s="2">
        <v>0</v>
      </c>
      <c r="Q469" s="2">
        <v>0</v>
      </c>
    </row>
    <row r="470" spans="1:17" x14ac:dyDescent="0.6">
      <c r="A470" s="35">
        <v>470</v>
      </c>
      <c r="D470" s="23" t="str" cm="1">
        <f t="array" ref="D470">IFERROR([1]!CalculateHyphenString(C470),"")</f>
        <v/>
      </c>
      <c r="G470" s="26"/>
      <c r="H470" s="2"/>
      <c r="L470" s="21">
        <f t="shared" si="14"/>
        <v>0</v>
      </c>
      <c r="N470" s="21">
        <f t="shared" si="15"/>
        <v>0</v>
      </c>
      <c r="O470" s="2" cm="1">
        <f t="array" ref="O470:Q470">[1]!ConvertFeet(N470)</f>
        <v>0</v>
      </c>
      <c r="P470" s="2">
        <v>0</v>
      </c>
      <c r="Q470" s="2">
        <v>0</v>
      </c>
    </row>
    <row r="471" spans="1:17" x14ac:dyDescent="0.6">
      <c r="A471" s="34">
        <v>471</v>
      </c>
      <c r="D471" s="23" t="str" cm="1">
        <f t="array" ref="D471">IFERROR([1]!CalculateHyphenString(C471),"")</f>
        <v/>
      </c>
      <c r="G471" s="26"/>
      <c r="H471" s="2"/>
      <c r="L471" s="21">
        <f t="shared" si="14"/>
        <v>0</v>
      </c>
      <c r="N471" s="21">
        <f t="shared" si="15"/>
        <v>0</v>
      </c>
      <c r="O471" s="2" cm="1">
        <f t="array" ref="O471:Q471">[1]!ConvertFeet(N471)</f>
        <v>0</v>
      </c>
      <c r="P471" s="2">
        <v>0</v>
      </c>
      <c r="Q471" s="2">
        <v>0</v>
      </c>
    </row>
    <row r="472" spans="1:17" x14ac:dyDescent="0.6">
      <c r="A472" s="35">
        <v>472</v>
      </c>
      <c r="D472" s="23" t="str" cm="1">
        <f t="array" ref="D472">IFERROR([1]!CalculateHyphenString(C472),"")</f>
        <v/>
      </c>
      <c r="G472" s="26"/>
      <c r="H472" s="2"/>
      <c r="L472" s="21">
        <f t="shared" si="14"/>
        <v>0</v>
      </c>
      <c r="N472" s="21">
        <f t="shared" si="15"/>
        <v>0</v>
      </c>
      <c r="O472" s="2" cm="1">
        <f t="array" ref="O472:Q472">[1]!ConvertFeet(N472)</f>
        <v>0</v>
      </c>
      <c r="P472" s="2">
        <v>0</v>
      </c>
      <c r="Q472" s="2">
        <v>0</v>
      </c>
    </row>
    <row r="473" spans="1:17" x14ac:dyDescent="0.6">
      <c r="A473" s="34">
        <v>473</v>
      </c>
      <c r="D473" s="23" t="str" cm="1">
        <f t="array" ref="D473">IFERROR([1]!CalculateHyphenString(C473),"")</f>
        <v/>
      </c>
      <c r="G473" s="26"/>
      <c r="H473" s="2"/>
      <c r="L473" s="21">
        <f t="shared" si="14"/>
        <v>0</v>
      </c>
      <c r="N473" s="21">
        <f t="shared" si="15"/>
        <v>0</v>
      </c>
      <c r="O473" s="2" cm="1">
        <f t="array" ref="O473:Q473">[1]!ConvertFeet(N473)</f>
        <v>0</v>
      </c>
      <c r="P473" s="2">
        <v>0</v>
      </c>
      <c r="Q473" s="2">
        <v>0</v>
      </c>
    </row>
    <row r="474" spans="1:17" x14ac:dyDescent="0.6">
      <c r="A474" s="35">
        <v>474</v>
      </c>
      <c r="D474" s="23" t="str" cm="1">
        <f t="array" ref="D474">IFERROR([1]!CalculateHyphenString(C474),"")</f>
        <v/>
      </c>
      <c r="G474" s="26"/>
      <c r="H474" s="2"/>
      <c r="L474" s="21">
        <f t="shared" si="14"/>
        <v>0</v>
      </c>
      <c r="N474" s="21">
        <f t="shared" si="15"/>
        <v>0</v>
      </c>
      <c r="O474" s="2" cm="1">
        <f t="array" ref="O474:Q474">[1]!ConvertFeet(N474)</f>
        <v>0</v>
      </c>
      <c r="P474" s="2">
        <v>0</v>
      </c>
      <c r="Q474" s="2">
        <v>0</v>
      </c>
    </row>
    <row r="475" spans="1:17" x14ac:dyDescent="0.6">
      <c r="A475" s="34">
        <v>475</v>
      </c>
      <c r="D475" s="23" t="str" cm="1">
        <f t="array" ref="D475">IFERROR([1]!CalculateHyphenString(C475),"")</f>
        <v/>
      </c>
      <c r="G475" s="26"/>
      <c r="H475" s="2"/>
      <c r="L475" s="21">
        <f t="shared" si="14"/>
        <v>0</v>
      </c>
      <c r="N475" s="21">
        <f t="shared" si="15"/>
        <v>0</v>
      </c>
      <c r="O475" s="2" cm="1">
        <f t="array" ref="O475:Q475">[1]!ConvertFeet(N475)</f>
        <v>0</v>
      </c>
      <c r="P475" s="2">
        <v>0</v>
      </c>
      <c r="Q475" s="2">
        <v>0</v>
      </c>
    </row>
    <row r="476" spans="1:17" x14ac:dyDescent="0.6">
      <c r="A476" s="35">
        <v>476</v>
      </c>
      <c r="D476" s="23" t="str" cm="1">
        <f t="array" ref="D476">IFERROR([1]!CalculateHyphenString(C476),"")</f>
        <v/>
      </c>
      <c r="G476" s="26"/>
      <c r="H476" s="2"/>
      <c r="L476" s="21">
        <f t="shared" si="14"/>
        <v>0</v>
      </c>
      <c r="N476" s="21">
        <f t="shared" si="15"/>
        <v>0</v>
      </c>
      <c r="O476" s="2" cm="1">
        <f t="array" ref="O476:Q476">[1]!ConvertFeet(N476)</f>
        <v>0</v>
      </c>
      <c r="P476" s="2">
        <v>0</v>
      </c>
      <c r="Q476" s="2">
        <v>0</v>
      </c>
    </row>
    <row r="477" spans="1:17" x14ac:dyDescent="0.6">
      <c r="A477" s="34">
        <v>477</v>
      </c>
      <c r="D477" s="23" t="str" cm="1">
        <f t="array" ref="D477">IFERROR([1]!CalculateHyphenString(C477),"")</f>
        <v/>
      </c>
      <c r="G477" s="26"/>
      <c r="H477" s="2"/>
      <c r="L477" s="21">
        <f t="shared" si="14"/>
        <v>0</v>
      </c>
      <c r="N477" s="21">
        <f t="shared" si="15"/>
        <v>0</v>
      </c>
      <c r="O477" s="2" cm="1">
        <f t="array" ref="O477:Q477">[1]!ConvertFeet(N477)</f>
        <v>0</v>
      </c>
      <c r="P477" s="2">
        <v>0</v>
      </c>
      <c r="Q477" s="2">
        <v>0</v>
      </c>
    </row>
    <row r="478" spans="1:17" x14ac:dyDescent="0.6">
      <c r="A478" s="35">
        <v>478</v>
      </c>
      <c r="D478" s="23" t="str" cm="1">
        <f t="array" ref="D478">IFERROR([1]!CalculateHyphenString(C478),"")</f>
        <v/>
      </c>
      <c r="G478" s="26"/>
      <c r="H478" s="2"/>
      <c r="L478" s="21">
        <f t="shared" si="14"/>
        <v>0</v>
      </c>
      <c r="N478" s="21">
        <f t="shared" si="15"/>
        <v>0</v>
      </c>
      <c r="O478" s="2" cm="1">
        <f t="array" ref="O478:Q478">[1]!ConvertFeet(N478)</f>
        <v>0</v>
      </c>
      <c r="P478" s="2">
        <v>0</v>
      </c>
      <c r="Q478" s="2">
        <v>0</v>
      </c>
    </row>
    <row r="479" spans="1:17" x14ac:dyDescent="0.6">
      <c r="A479" s="34">
        <v>479</v>
      </c>
      <c r="D479" s="23" t="str" cm="1">
        <f t="array" ref="D479">IFERROR([1]!CalculateHyphenString(C479),"")</f>
        <v/>
      </c>
      <c r="G479" s="26"/>
      <c r="H479" s="2"/>
      <c r="L479" s="21">
        <f t="shared" si="14"/>
        <v>0</v>
      </c>
      <c r="N479" s="21">
        <f t="shared" si="15"/>
        <v>0</v>
      </c>
      <c r="O479" s="2" cm="1">
        <f t="array" ref="O479:Q479">[1]!ConvertFeet(N479)</f>
        <v>0</v>
      </c>
      <c r="P479" s="2">
        <v>0</v>
      </c>
      <c r="Q479" s="2">
        <v>0</v>
      </c>
    </row>
    <row r="480" spans="1:17" x14ac:dyDescent="0.6">
      <c r="A480" s="35">
        <v>480</v>
      </c>
      <c r="D480" s="23" t="str" cm="1">
        <f t="array" ref="D480">IFERROR([1]!CalculateHyphenString(C480),"")</f>
        <v/>
      </c>
      <c r="G480" s="26"/>
      <c r="H480" s="2"/>
      <c r="L480" s="21">
        <f t="shared" si="14"/>
        <v>0</v>
      </c>
      <c r="N480" s="21">
        <f t="shared" si="15"/>
        <v>0</v>
      </c>
      <c r="O480" s="2" cm="1">
        <f t="array" ref="O480:Q480">[1]!ConvertFeet(N480)</f>
        <v>0</v>
      </c>
      <c r="P480" s="2">
        <v>0</v>
      </c>
      <c r="Q480" s="2">
        <v>0</v>
      </c>
    </row>
    <row r="481" spans="1:17" x14ac:dyDescent="0.6">
      <c r="A481" s="34">
        <v>481</v>
      </c>
      <c r="D481" s="23" t="str" cm="1">
        <f t="array" ref="D481">IFERROR([1]!CalculateHyphenString(C481),"")</f>
        <v/>
      </c>
      <c r="G481" s="26"/>
      <c r="H481" s="2"/>
      <c r="L481" s="21">
        <f t="shared" si="14"/>
        <v>0</v>
      </c>
      <c r="N481" s="21">
        <f t="shared" si="15"/>
        <v>0</v>
      </c>
      <c r="O481" s="2" cm="1">
        <f t="array" ref="O481:Q481">[1]!ConvertFeet(N481)</f>
        <v>0</v>
      </c>
      <c r="P481" s="2">
        <v>0</v>
      </c>
      <c r="Q481" s="2">
        <v>0</v>
      </c>
    </row>
    <row r="482" spans="1:17" x14ac:dyDescent="0.6">
      <c r="A482" s="35">
        <v>482</v>
      </c>
      <c r="D482" s="23" t="str" cm="1">
        <f t="array" ref="D482">IFERROR([1]!CalculateHyphenString(C482),"")</f>
        <v/>
      </c>
      <c r="G482" s="26"/>
      <c r="H482" s="2"/>
      <c r="L482" s="21">
        <f t="shared" si="14"/>
        <v>0</v>
      </c>
      <c r="N482" s="21">
        <f t="shared" si="15"/>
        <v>0</v>
      </c>
      <c r="O482" s="2" cm="1">
        <f t="array" ref="O482:Q482">[1]!ConvertFeet(N482)</f>
        <v>0</v>
      </c>
      <c r="P482" s="2">
        <v>0</v>
      </c>
      <c r="Q482" s="2">
        <v>0</v>
      </c>
    </row>
    <row r="483" spans="1:17" x14ac:dyDescent="0.6">
      <c r="A483" s="34">
        <v>483</v>
      </c>
      <c r="D483" s="23" t="str" cm="1">
        <f t="array" ref="D483">IFERROR([1]!CalculateHyphenString(C483),"")</f>
        <v/>
      </c>
      <c r="G483" s="26"/>
      <c r="H483" s="2"/>
      <c r="L483" s="21">
        <f t="shared" si="14"/>
        <v>0</v>
      </c>
      <c r="N483" s="21">
        <f t="shared" si="15"/>
        <v>0</v>
      </c>
      <c r="O483" s="2" cm="1">
        <f t="array" ref="O483:Q483">[1]!ConvertFeet(N483)</f>
        <v>0</v>
      </c>
      <c r="P483" s="2">
        <v>0</v>
      </c>
      <c r="Q483" s="2">
        <v>0</v>
      </c>
    </row>
    <row r="484" spans="1:17" x14ac:dyDescent="0.6">
      <c r="A484" s="35">
        <v>484</v>
      </c>
      <c r="D484" s="23" t="str" cm="1">
        <f t="array" ref="D484">IFERROR([1]!CalculateHyphenString(C484),"")</f>
        <v/>
      </c>
      <c r="G484" s="26"/>
      <c r="H484" s="2"/>
      <c r="L484" s="21">
        <f t="shared" si="14"/>
        <v>0</v>
      </c>
      <c r="N484" s="21">
        <f t="shared" si="15"/>
        <v>0</v>
      </c>
      <c r="O484" s="2" cm="1">
        <f t="array" ref="O484:Q484">[1]!ConvertFeet(N484)</f>
        <v>0</v>
      </c>
      <c r="P484" s="2">
        <v>0</v>
      </c>
      <c r="Q484" s="2">
        <v>0</v>
      </c>
    </row>
    <row r="485" spans="1:17" x14ac:dyDescent="0.6">
      <c r="A485" s="34">
        <v>485</v>
      </c>
      <c r="D485" s="23" t="str" cm="1">
        <f t="array" ref="D485">IFERROR([1]!CalculateHyphenString(C485),"")</f>
        <v/>
      </c>
      <c r="G485" s="26"/>
      <c r="H485" s="2"/>
      <c r="L485" s="21">
        <f t="shared" si="14"/>
        <v>0</v>
      </c>
      <c r="N485" s="21">
        <f t="shared" si="15"/>
        <v>0</v>
      </c>
      <c r="O485" s="2" cm="1">
        <f t="array" ref="O485:Q485">[1]!ConvertFeet(N485)</f>
        <v>0</v>
      </c>
      <c r="P485" s="2">
        <v>0</v>
      </c>
      <c r="Q485" s="2">
        <v>0</v>
      </c>
    </row>
    <row r="486" spans="1:17" x14ac:dyDescent="0.6">
      <c r="A486" s="35">
        <v>486</v>
      </c>
      <c r="D486" s="23" t="str" cm="1">
        <f t="array" ref="D486">IFERROR([1]!CalculateHyphenString(C486),"")</f>
        <v/>
      </c>
      <c r="G486" s="26"/>
      <c r="H486" s="2"/>
      <c r="L486" s="21">
        <f t="shared" si="14"/>
        <v>0</v>
      </c>
      <c r="N486" s="21">
        <f t="shared" si="15"/>
        <v>0</v>
      </c>
      <c r="O486" s="2" cm="1">
        <f t="array" ref="O486:Q486">[1]!ConvertFeet(N486)</f>
        <v>0</v>
      </c>
      <c r="P486" s="2">
        <v>0</v>
      </c>
      <c r="Q486" s="2">
        <v>0</v>
      </c>
    </row>
    <row r="487" spans="1:17" x14ac:dyDescent="0.6">
      <c r="A487" s="34">
        <v>487</v>
      </c>
      <c r="D487" s="23" t="str" cm="1">
        <f t="array" ref="D487">IFERROR([1]!CalculateHyphenString(C487),"")</f>
        <v/>
      </c>
      <c r="G487" s="26"/>
      <c r="H487" s="2"/>
      <c r="L487" s="21">
        <f t="shared" si="14"/>
        <v>0</v>
      </c>
      <c r="N487" s="21">
        <f t="shared" si="15"/>
        <v>0</v>
      </c>
      <c r="O487" s="2" cm="1">
        <f t="array" ref="O487:Q487">[1]!ConvertFeet(N487)</f>
        <v>0</v>
      </c>
      <c r="P487" s="2">
        <v>0</v>
      </c>
      <c r="Q487" s="2">
        <v>0</v>
      </c>
    </row>
    <row r="488" spans="1:17" x14ac:dyDescent="0.6">
      <c r="A488" s="35">
        <v>488</v>
      </c>
      <c r="D488" s="23" t="str" cm="1">
        <f t="array" ref="D488">IFERROR([1]!CalculateHyphenString(C488),"")</f>
        <v/>
      </c>
      <c r="G488" s="26"/>
      <c r="H488" s="2"/>
      <c r="L488" s="21">
        <f t="shared" si="14"/>
        <v>0</v>
      </c>
      <c r="N488" s="21">
        <f t="shared" si="15"/>
        <v>0</v>
      </c>
      <c r="O488" s="2" cm="1">
        <f t="array" ref="O488:Q488">[1]!ConvertFeet(N488)</f>
        <v>0</v>
      </c>
      <c r="P488" s="2">
        <v>0</v>
      </c>
      <c r="Q488" s="2">
        <v>0</v>
      </c>
    </row>
    <row r="489" spans="1:17" x14ac:dyDescent="0.6">
      <c r="A489" s="34">
        <v>489</v>
      </c>
      <c r="D489" s="23" t="str" cm="1">
        <f t="array" ref="D489">IFERROR([1]!CalculateHyphenString(C489),"")</f>
        <v/>
      </c>
      <c r="G489" s="26"/>
      <c r="H489" s="2"/>
      <c r="L489" s="21">
        <f t="shared" si="14"/>
        <v>0</v>
      </c>
      <c r="N489" s="21">
        <f t="shared" si="15"/>
        <v>0</v>
      </c>
      <c r="O489" s="2" cm="1">
        <f t="array" ref="O489:Q489">[1]!ConvertFeet(N489)</f>
        <v>0</v>
      </c>
      <c r="P489" s="2">
        <v>0</v>
      </c>
      <c r="Q489" s="2">
        <v>0</v>
      </c>
    </row>
    <row r="490" spans="1:17" x14ac:dyDescent="0.6">
      <c r="A490" s="35">
        <v>490</v>
      </c>
      <c r="D490" s="23" t="str" cm="1">
        <f t="array" ref="D490">IFERROR([1]!CalculateHyphenString(C490),"")</f>
        <v/>
      </c>
      <c r="G490" s="26"/>
      <c r="H490" s="2"/>
      <c r="L490" s="21">
        <f t="shared" si="14"/>
        <v>0</v>
      </c>
      <c r="N490" s="21">
        <f t="shared" si="15"/>
        <v>0</v>
      </c>
      <c r="O490" s="2" cm="1">
        <f t="array" ref="O490:Q490">[1]!ConvertFeet(N490)</f>
        <v>0</v>
      </c>
      <c r="P490" s="2">
        <v>0</v>
      </c>
      <c r="Q490" s="2">
        <v>0</v>
      </c>
    </row>
    <row r="491" spans="1:17" x14ac:dyDescent="0.6">
      <c r="A491" s="34">
        <v>491</v>
      </c>
      <c r="D491" s="23" t="str" cm="1">
        <f t="array" ref="D491">IFERROR([1]!CalculateHyphenString(C491),"")</f>
        <v/>
      </c>
      <c r="G491" s="26"/>
      <c r="H491" s="2"/>
      <c r="L491" s="21">
        <f t="shared" si="14"/>
        <v>0</v>
      </c>
      <c r="N491" s="21">
        <f t="shared" si="15"/>
        <v>0</v>
      </c>
      <c r="O491" s="2" cm="1">
        <f t="array" ref="O491:Q491">[1]!ConvertFeet(N491)</f>
        <v>0</v>
      </c>
      <c r="P491" s="2">
        <v>0</v>
      </c>
      <c r="Q491" s="2">
        <v>0</v>
      </c>
    </row>
    <row r="492" spans="1:17" x14ac:dyDescent="0.6">
      <c r="A492" s="35">
        <v>492</v>
      </c>
      <c r="D492" s="23" t="str" cm="1">
        <f t="array" ref="D492">IFERROR([1]!CalculateHyphenString(C492),"")</f>
        <v/>
      </c>
      <c r="G492" s="26"/>
      <c r="H492" s="2"/>
      <c r="L492" s="21">
        <f t="shared" si="14"/>
        <v>0</v>
      </c>
      <c r="N492" s="21">
        <f t="shared" si="15"/>
        <v>0</v>
      </c>
      <c r="O492" s="2" cm="1">
        <f t="array" ref="O492:Q492">[1]!ConvertFeet(N492)</f>
        <v>0</v>
      </c>
      <c r="P492" s="2">
        <v>0</v>
      </c>
      <c r="Q492" s="2">
        <v>0</v>
      </c>
    </row>
    <row r="493" spans="1:17" x14ac:dyDescent="0.6">
      <c r="A493" s="34">
        <v>493</v>
      </c>
      <c r="D493" s="23" t="str" cm="1">
        <f t="array" ref="D493">IFERROR([1]!CalculateHyphenString(C493),"")</f>
        <v/>
      </c>
      <c r="G493" s="26"/>
      <c r="H493" s="2"/>
      <c r="L493" s="21">
        <f t="shared" si="14"/>
        <v>0</v>
      </c>
      <c r="N493" s="21">
        <f t="shared" si="15"/>
        <v>0</v>
      </c>
      <c r="O493" s="2" cm="1">
        <f t="array" ref="O493:Q493">[1]!ConvertFeet(N493)</f>
        <v>0</v>
      </c>
      <c r="P493" s="2">
        <v>0</v>
      </c>
      <c r="Q493" s="2">
        <v>0</v>
      </c>
    </row>
    <row r="494" spans="1:17" x14ac:dyDescent="0.6">
      <c r="A494" s="35">
        <v>494</v>
      </c>
      <c r="D494" s="23" t="str" cm="1">
        <f t="array" ref="D494">IFERROR([1]!CalculateHyphenString(C494),"")</f>
        <v/>
      </c>
      <c r="G494" s="26"/>
      <c r="H494" s="2"/>
      <c r="L494" s="21">
        <f t="shared" si="14"/>
        <v>0</v>
      </c>
      <c r="N494" s="21">
        <f t="shared" si="15"/>
        <v>0</v>
      </c>
      <c r="O494" s="2" cm="1">
        <f t="array" ref="O494:Q494">[1]!ConvertFeet(N494)</f>
        <v>0</v>
      </c>
      <c r="P494" s="2">
        <v>0</v>
      </c>
      <c r="Q494" s="2">
        <v>0</v>
      </c>
    </row>
    <row r="495" spans="1:17" x14ac:dyDescent="0.6">
      <c r="A495" s="34">
        <v>495</v>
      </c>
      <c r="D495" s="23" t="str" cm="1">
        <f t="array" ref="D495">IFERROR([1]!CalculateHyphenString(C495),"")</f>
        <v/>
      </c>
      <c r="G495" s="26"/>
      <c r="H495" s="2"/>
      <c r="L495" s="21">
        <f t="shared" si="14"/>
        <v>0</v>
      </c>
      <c r="N495" s="21">
        <f t="shared" si="15"/>
        <v>0</v>
      </c>
      <c r="O495" s="2" cm="1">
        <f t="array" ref="O495:Q495">[1]!ConvertFeet(N495)</f>
        <v>0</v>
      </c>
      <c r="P495" s="2">
        <v>0</v>
      </c>
      <c r="Q495" s="2">
        <v>0</v>
      </c>
    </row>
    <row r="496" spans="1:17" x14ac:dyDescent="0.6">
      <c r="A496" s="35">
        <v>496</v>
      </c>
      <c r="D496" s="23" t="str" cm="1">
        <f t="array" ref="D496">IFERROR([1]!CalculateHyphenString(C496),"")</f>
        <v/>
      </c>
      <c r="G496" s="26"/>
      <c r="H496" s="2"/>
      <c r="L496" s="21">
        <f t="shared" si="14"/>
        <v>0</v>
      </c>
      <c r="N496" s="21">
        <f t="shared" si="15"/>
        <v>0</v>
      </c>
      <c r="O496" s="2" cm="1">
        <f t="array" ref="O496:Q496">[1]!ConvertFeet(N496)</f>
        <v>0</v>
      </c>
      <c r="P496" s="2">
        <v>0</v>
      </c>
      <c r="Q496" s="2">
        <v>0</v>
      </c>
    </row>
    <row r="497" spans="1:17" x14ac:dyDescent="0.6">
      <c r="A497" s="34">
        <v>497</v>
      </c>
      <c r="D497" s="23" t="str" cm="1">
        <f t="array" ref="D497">IFERROR([1]!CalculateHyphenString(C497),"")</f>
        <v/>
      </c>
      <c r="G497" s="26"/>
      <c r="H497" s="2"/>
      <c r="L497" s="21">
        <f t="shared" si="14"/>
        <v>0</v>
      </c>
      <c r="N497" s="21">
        <f t="shared" si="15"/>
        <v>0</v>
      </c>
      <c r="O497" s="2" cm="1">
        <f t="array" ref="O497:Q497">[1]!ConvertFeet(N497)</f>
        <v>0</v>
      </c>
      <c r="P497" s="2">
        <v>0</v>
      </c>
      <c r="Q497" s="2">
        <v>0</v>
      </c>
    </row>
    <row r="498" spans="1:17" x14ac:dyDescent="0.6">
      <c r="A498" s="35">
        <v>498</v>
      </c>
      <c r="D498" s="23" t="str" cm="1">
        <f t="array" ref="D498">IFERROR([1]!CalculateHyphenString(C498),"")</f>
        <v/>
      </c>
      <c r="G498" s="26"/>
      <c r="H498" s="2"/>
      <c r="L498" s="21">
        <f t="shared" si="14"/>
        <v>0</v>
      </c>
      <c r="N498" s="21">
        <f t="shared" si="15"/>
        <v>0</v>
      </c>
      <c r="O498" s="2" cm="1">
        <f t="array" ref="O498:Q498">[1]!ConvertFeet(N498)</f>
        <v>0</v>
      </c>
      <c r="P498" s="2">
        <v>0</v>
      </c>
      <c r="Q498" s="2">
        <v>0</v>
      </c>
    </row>
    <row r="499" spans="1:17" x14ac:dyDescent="0.6">
      <c r="A499" s="34">
        <v>499</v>
      </c>
      <c r="D499" s="23" t="str" cm="1">
        <f t="array" ref="D499">IFERROR([1]!CalculateHyphenString(C499),"")</f>
        <v/>
      </c>
      <c r="G499" s="26"/>
      <c r="H499" s="2"/>
      <c r="L499" s="21">
        <f t="shared" si="14"/>
        <v>0</v>
      </c>
      <c r="N499" s="21">
        <f t="shared" si="15"/>
        <v>0</v>
      </c>
      <c r="O499" s="2" cm="1">
        <f t="array" ref="O499:Q499">[1]!ConvertFeet(N499)</f>
        <v>0</v>
      </c>
      <c r="P499" s="2">
        <v>0</v>
      </c>
      <c r="Q499" s="2">
        <v>0</v>
      </c>
    </row>
    <row r="500" spans="1:17" x14ac:dyDescent="0.6">
      <c r="A500" s="35">
        <v>500</v>
      </c>
      <c r="D500" s="23" t="str" cm="1">
        <f t="array" ref="D500">IFERROR([1]!CalculateHyphenString(C500),"")</f>
        <v/>
      </c>
      <c r="G500" s="26"/>
      <c r="H500" s="2"/>
      <c r="L500" s="21">
        <f t="shared" si="14"/>
        <v>0</v>
      </c>
      <c r="N500" s="21">
        <f t="shared" si="15"/>
        <v>0</v>
      </c>
      <c r="O500" s="2" cm="1">
        <f t="array" ref="O500:Q500">[1]!ConvertFeet(N500)</f>
        <v>0</v>
      </c>
      <c r="P500" s="2">
        <v>0</v>
      </c>
      <c r="Q500" s="2">
        <v>0</v>
      </c>
    </row>
    <row r="501" spans="1:17" x14ac:dyDescent="0.6">
      <c r="A501" s="34">
        <v>501</v>
      </c>
      <c r="D501" s="23" t="str" cm="1">
        <f t="array" ref="D501">IFERROR([1]!CalculateHyphenString(C501),"")</f>
        <v/>
      </c>
      <c r="G501" s="26"/>
      <c r="H501" s="2"/>
      <c r="L501" s="21">
        <f t="shared" si="14"/>
        <v>0</v>
      </c>
      <c r="N501" s="21">
        <f t="shared" si="15"/>
        <v>0</v>
      </c>
      <c r="O501" s="2" cm="1">
        <f t="array" ref="O501:Q501">[1]!ConvertFeet(N501)</f>
        <v>0</v>
      </c>
      <c r="P501" s="2">
        <v>0</v>
      </c>
      <c r="Q501" s="2">
        <v>0</v>
      </c>
    </row>
    <row r="502" spans="1:17" x14ac:dyDescent="0.6">
      <c r="A502" s="35">
        <v>502</v>
      </c>
      <c r="D502" s="23" t="str" cm="1">
        <f t="array" ref="D502">IFERROR([1]!CalculateHyphenString(C502),"")</f>
        <v/>
      </c>
      <c r="G502" s="26"/>
      <c r="H502" s="2"/>
      <c r="L502" s="21">
        <f t="shared" si="14"/>
        <v>0</v>
      </c>
      <c r="N502" s="21">
        <f t="shared" si="15"/>
        <v>0</v>
      </c>
      <c r="O502" s="2" cm="1">
        <f t="array" ref="O502:Q502">[1]!ConvertFeet(N502)</f>
        <v>0</v>
      </c>
      <c r="P502" s="2">
        <v>0</v>
      </c>
      <c r="Q502" s="2">
        <v>0</v>
      </c>
    </row>
    <row r="503" spans="1:17" x14ac:dyDescent="0.6">
      <c r="A503" s="34">
        <v>503</v>
      </c>
      <c r="D503" s="23" t="str" cm="1">
        <f t="array" ref="D503">IFERROR([1]!CalculateHyphenString(C503),"")</f>
        <v/>
      </c>
      <c r="G503" s="26"/>
      <c r="H503" s="2"/>
      <c r="L503" s="21">
        <f t="shared" si="14"/>
        <v>0</v>
      </c>
      <c r="N503" s="21">
        <f t="shared" si="15"/>
        <v>0</v>
      </c>
      <c r="O503" s="2" cm="1">
        <f t="array" ref="O503:Q503">[1]!ConvertFeet(N503)</f>
        <v>0</v>
      </c>
      <c r="P503" s="2">
        <v>0</v>
      </c>
      <c r="Q503" s="2">
        <v>0</v>
      </c>
    </row>
    <row r="504" spans="1:17" x14ac:dyDescent="0.6">
      <c r="A504" s="35">
        <v>504</v>
      </c>
      <c r="D504" s="23" t="str" cm="1">
        <f t="array" ref="D504">IFERROR([1]!CalculateHyphenString(C504),"")</f>
        <v/>
      </c>
      <c r="G504" s="26"/>
      <c r="H504" s="2"/>
      <c r="L504" s="21">
        <f t="shared" si="14"/>
        <v>0</v>
      </c>
      <c r="N504" s="21">
        <f t="shared" si="15"/>
        <v>0</v>
      </c>
      <c r="O504" s="2" cm="1">
        <f t="array" ref="O504:Q504">[1]!ConvertFeet(N504)</f>
        <v>0</v>
      </c>
      <c r="P504" s="2">
        <v>0</v>
      </c>
      <c r="Q504" s="2">
        <v>0</v>
      </c>
    </row>
    <row r="505" spans="1:17" x14ac:dyDescent="0.6">
      <c r="A505" s="34">
        <v>505</v>
      </c>
      <c r="D505" s="23" t="str" cm="1">
        <f t="array" ref="D505">IFERROR([1]!CalculateHyphenString(C505),"")</f>
        <v/>
      </c>
      <c r="G505" s="26"/>
      <c r="H505" s="2"/>
      <c r="L505" s="21">
        <f t="shared" si="14"/>
        <v>0</v>
      </c>
      <c r="N505" s="21">
        <f t="shared" si="15"/>
        <v>0</v>
      </c>
      <c r="O505" s="2" cm="1">
        <f t="array" ref="O505:Q505">[1]!ConvertFeet(N505)</f>
        <v>0</v>
      </c>
      <c r="P505" s="2">
        <v>0</v>
      </c>
      <c r="Q505" s="2">
        <v>0</v>
      </c>
    </row>
    <row r="506" spans="1:17" x14ac:dyDescent="0.6">
      <c r="A506" s="35">
        <v>506</v>
      </c>
      <c r="D506" s="23" t="str" cm="1">
        <f t="array" ref="D506">IFERROR([1]!CalculateHyphenString(C506),"")</f>
        <v/>
      </c>
      <c r="G506" s="26"/>
      <c r="H506" s="2"/>
      <c r="L506" s="21">
        <f t="shared" si="14"/>
        <v>0</v>
      </c>
      <c r="N506" s="21">
        <f t="shared" si="15"/>
        <v>0</v>
      </c>
      <c r="O506" s="2" cm="1">
        <f t="array" ref="O506:Q506">[1]!ConvertFeet(N506)</f>
        <v>0</v>
      </c>
      <c r="P506" s="2">
        <v>0</v>
      </c>
      <c r="Q506" s="2">
        <v>0</v>
      </c>
    </row>
    <row r="507" spans="1:17" x14ac:dyDescent="0.6">
      <c r="A507" s="34">
        <v>507</v>
      </c>
      <c r="D507" s="23" t="str" cm="1">
        <f t="array" ref="D507">IFERROR([1]!CalculateHyphenString(C507),"")</f>
        <v/>
      </c>
      <c r="G507" s="26"/>
      <c r="H507" s="2"/>
      <c r="L507" s="21">
        <f t="shared" si="14"/>
        <v>0</v>
      </c>
      <c r="N507" s="21">
        <f t="shared" si="15"/>
        <v>0</v>
      </c>
      <c r="O507" s="2" cm="1">
        <f t="array" ref="O507:Q507">[1]!ConvertFeet(N507)</f>
        <v>0</v>
      </c>
      <c r="P507" s="2">
        <v>0</v>
      </c>
      <c r="Q507" s="2">
        <v>0</v>
      </c>
    </row>
    <row r="508" spans="1:17" x14ac:dyDescent="0.6">
      <c r="A508" s="35">
        <v>508</v>
      </c>
      <c r="D508" s="23" t="str" cm="1">
        <f t="array" ref="D508">IFERROR([1]!CalculateHyphenString(C508),"")</f>
        <v/>
      </c>
      <c r="G508" s="26"/>
      <c r="H508" s="2"/>
      <c r="L508" s="21">
        <f t="shared" si="14"/>
        <v>0</v>
      </c>
      <c r="N508" s="21">
        <f t="shared" si="15"/>
        <v>0</v>
      </c>
      <c r="O508" s="2" cm="1">
        <f t="array" ref="O508:Q508">[1]!ConvertFeet(N508)</f>
        <v>0</v>
      </c>
      <c r="P508" s="2">
        <v>0</v>
      </c>
      <c r="Q508" s="2">
        <v>0</v>
      </c>
    </row>
    <row r="509" spans="1:17" x14ac:dyDescent="0.6">
      <c r="A509" s="34">
        <v>509</v>
      </c>
      <c r="D509" s="23" t="str" cm="1">
        <f t="array" ref="D509">IFERROR([1]!CalculateHyphenString(C509),"")</f>
        <v/>
      </c>
      <c r="G509" s="26"/>
      <c r="H509" s="2"/>
      <c r="L509" s="21">
        <f t="shared" si="14"/>
        <v>0</v>
      </c>
      <c r="N509" s="21">
        <f t="shared" si="15"/>
        <v>0</v>
      </c>
      <c r="O509" s="2" cm="1">
        <f t="array" ref="O509:Q509">[1]!ConvertFeet(N509)</f>
        <v>0</v>
      </c>
      <c r="P509" s="2">
        <v>0</v>
      </c>
      <c r="Q509" s="2">
        <v>0</v>
      </c>
    </row>
    <row r="510" spans="1:17" x14ac:dyDescent="0.6">
      <c r="A510" s="35">
        <v>510</v>
      </c>
      <c r="D510" s="23" t="str" cm="1">
        <f t="array" ref="D510">IFERROR([1]!CalculateHyphenString(C510),"")</f>
        <v/>
      </c>
      <c r="G510" s="26"/>
      <c r="H510" s="2"/>
      <c r="L510" s="21">
        <f t="shared" si="14"/>
        <v>0</v>
      </c>
      <c r="N510" s="21">
        <f t="shared" si="15"/>
        <v>0</v>
      </c>
      <c r="O510" s="2" cm="1">
        <f t="array" ref="O510:Q510">[1]!ConvertFeet(N510)</f>
        <v>0</v>
      </c>
      <c r="P510" s="2">
        <v>0</v>
      </c>
      <c r="Q510" s="2">
        <v>0</v>
      </c>
    </row>
    <row r="511" spans="1:17" x14ac:dyDescent="0.6">
      <c r="A511" s="34">
        <v>511</v>
      </c>
      <c r="D511" s="23" t="str" cm="1">
        <f t="array" ref="D511">IFERROR([1]!CalculateHyphenString(C511),"")</f>
        <v/>
      </c>
      <c r="G511" s="26"/>
      <c r="H511" s="2"/>
      <c r="L511" s="21">
        <f t="shared" si="14"/>
        <v>0</v>
      </c>
      <c r="N511" s="21">
        <f t="shared" si="15"/>
        <v>0</v>
      </c>
      <c r="O511" s="2" cm="1">
        <f t="array" ref="O511:Q511">[1]!ConvertFeet(N511)</f>
        <v>0</v>
      </c>
      <c r="P511" s="2">
        <v>0</v>
      </c>
      <c r="Q511" s="2">
        <v>0</v>
      </c>
    </row>
    <row r="512" spans="1:17" x14ac:dyDescent="0.6">
      <c r="A512" s="35">
        <v>512</v>
      </c>
      <c r="D512" s="23" t="str" cm="1">
        <f t="array" ref="D512">IFERROR([1]!CalculateHyphenString(C512),"")</f>
        <v/>
      </c>
      <c r="G512" s="26"/>
      <c r="H512" s="2"/>
      <c r="L512" s="21">
        <f t="shared" si="14"/>
        <v>0</v>
      </c>
      <c r="N512" s="21">
        <f t="shared" si="15"/>
        <v>0</v>
      </c>
      <c r="O512" s="2" cm="1">
        <f t="array" ref="O512:Q512">[1]!ConvertFeet(N512)</f>
        <v>0</v>
      </c>
      <c r="P512" s="2">
        <v>0</v>
      </c>
      <c r="Q512" s="2">
        <v>0</v>
      </c>
    </row>
    <row r="513" spans="1:17" x14ac:dyDescent="0.6">
      <c r="A513" s="34">
        <v>513</v>
      </c>
      <c r="D513" s="23" t="str" cm="1">
        <f t="array" ref="D513">IFERROR([1]!CalculateHyphenString(C513),"")</f>
        <v/>
      </c>
      <c r="G513" s="26"/>
      <c r="H513" s="2"/>
      <c r="L513" s="21">
        <f t="shared" si="14"/>
        <v>0</v>
      </c>
      <c r="N513" s="21">
        <f t="shared" si="15"/>
        <v>0</v>
      </c>
      <c r="O513" s="2" cm="1">
        <f t="array" ref="O513:Q513">[1]!ConvertFeet(N513)</f>
        <v>0</v>
      </c>
      <c r="P513" s="2">
        <v>0</v>
      </c>
      <c r="Q513" s="2">
        <v>0</v>
      </c>
    </row>
    <row r="514" spans="1:17" x14ac:dyDescent="0.6">
      <c r="A514" s="35">
        <v>514</v>
      </c>
      <c r="D514" s="23" t="str" cm="1">
        <f t="array" ref="D514">IFERROR([1]!CalculateHyphenString(C514),"")</f>
        <v/>
      </c>
      <c r="G514" s="26"/>
      <c r="H514" s="2"/>
      <c r="L514" s="21">
        <f t="shared" si="14"/>
        <v>0</v>
      </c>
      <c r="N514" s="21">
        <f t="shared" si="15"/>
        <v>0</v>
      </c>
      <c r="O514" s="2" cm="1">
        <f t="array" ref="O514:Q514">[1]!ConvertFeet(N514)</f>
        <v>0</v>
      </c>
      <c r="P514" s="2">
        <v>0</v>
      </c>
      <c r="Q514" s="2">
        <v>0</v>
      </c>
    </row>
    <row r="515" spans="1:17" x14ac:dyDescent="0.6">
      <c r="A515" s="34">
        <v>515</v>
      </c>
      <c r="D515" s="23" t="str" cm="1">
        <f t="array" ref="D515">IFERROR([1]!CalculateHyphenString(C515),"")</f>
        <v/>
      </c>
      <c r="G515" s="26"/>
      <c r="H515" s="2"/>
      <c r="L515" s="21">
        <f t="shared" si="14"/>
        <v>0</v>
      </c>
      <c r="N515" s="21">
        <f t="shared" si="15"/>
        <v>0</v>
      </c>
      <c r="O515" s="2" cm="1">
        <f t="array" ref="O515:Q515">[1]!ConvertFeet(N515)</f>
        <v>0</v>
      </c>
      <c r="P515" s="2">
        <v>0</v>
      </c>
      <c r="Q515" s="2">
        <v>0</v>
      </c>
    </row>
    <row r="516" spans="1:17" x14ac:dyDescent="0.6">
      <c r="A516" s="35">
        <v>516</v>
      </c>
      <c r="D516" s="23" t="str" cm="1">
        <f t="array" ref="D516">IFERROR([1]!CalculateHyphenString(C516),"")</f>
        <v/>
      </c>
      <c r="G516" s="26"/>
      <c r="H516" s="2"/>
      <c r="L516" s="21">
        <f t="shared" si="14"/>
        <v>0</v>
      </c>
      <c r="N516" s="21">
        <f t="shared" si="15"/>
        <v>0</v>
      </c>
      <c r="O516" s="2" cm="1">
        <f t="array" ref="O516:Q516">[1]!ConvertFeet(N516)</f>
        <v>0</v>
      </c>
      <c r="P516" s="2">
        <v>0</v>
      </c>
      <c r="Q516" s="2">
        <v>0</v>
      </c>
    </row>
    <row r="517" spans="1:17" x14ac:dyDescent="0.6">
      <c r="A517" s="34">
        <v>517</v>
      </c>
      <c r="D517" s="23" t="str" cm="1">
        <f t="array" ref="D517">IFERROR([1]!CalculateHyphenString(C517),"")</f>
        <v/>
      </c>
      <c r="G517" s="26"/>
      <c r="H517" s="2"/>
      <c r="L517" s="21">
        <f t="shared" si="14"/>
        <v>0</v>
      </c>
      <c r="N517" s="21">
        <f t="shared" si="15"/>
        <v>0</v>
      </c>
      <c r="O517" s="2" cm="1">
        <f t="array" ref="O517:Q517">[1]!ConvertFeet(N517)</f>
        <v>0</v>
      </c>
      <c r="P517" s="2">
        <v>0</v>
      </c>
      <c r="Q517" s="2">
        <v>0</v>
      </c>
    </row>
    <row r="518" spans="1:17" x14ac:dyDescent="0.6">
      <c r="A518" s="35">
        <v>518</v>
      </c>
      <c r="D518" s="23" t="str" cm="1">
        <f t="array" ref="D518">IFERROR([1]!CalculateHyphenString(C518),"")</f>
        <v/>
      </c>
      <c r="G518" s="26"/>
      <c r="H518" s="2"/>
      <c r="L518" s="21">
        <f t="shared" si="14"/>
        <v>0</v>
      </c>
      <c r="N518" s="21">
        <f t="shared" si="15"/>
        <v>0</v>
      </c>
      <c r="O518" s="2" cm="1">
        <f t="array" ref="O518:Q518">[1]!ConvertFeet(N518)</f>
        <v>0</v>
      </c>
      <c r="P518" s="2">
        <v>0</v>
      </c>
      <c r="Q518" s="2">
        <v>0</v>
      </c>
    </row>
    <row r="519" spans="1:17" x14ac:dyDescent="0.6">
      <c r="A519" s="34">
        <v>519</v>
      </c>
      <c r="D519" s="23" t="str" cm="1">
        <f t="array" ref="D519">IFERROR([1]!CalculateHyphenString(C519),"")</f>
        <v/>
      </c>
      <c r="G519" s="26"/>
      <c r="H519" s="2"/>
      <c r="L519" s="21">
        <f t="shared" ref="L519:L582" si="16">(K519*$G$3)/100</f>
        <v>0</v>
      </c>
      <c r="N519" s="21">
        <f t="shared" ref="N519:N582" si="17">K519-(L519+M519)</f>
        <v>0</v>
      </c>
      <c r="O519" s="2" cm="1">
        <f t="array" ref="O519:Q519">[1]!ConvertFeet(N519)</f>
        <v>0</v>
      </c>
      <c r="P519" s="2">
        <v>0</v>
      </c>
      <c r="Q519" s="2">
        <v>0</v>
      </c>
    </row>
    <row r="520" spans="1:17" x14ac:dyDescent="0.6">
      <c r="A520" s="35">
        <v>520</v>
      </c>
      <c r="D520" s="23" t="str" cm="1">
        <f t="array" ref="D520">IFERROR([1]!CalculateHyphenString(C520),"")</f>
        <v/>
      </c>
      <c r="G520" s="26"/>
      <c r="H520" s="2"/>
      <c r="L520" s="21">
        <f t="shared" si="16"/>
        <v>0</v>
      </c>
      <c r="N520" s="21">
        <f t="shared" si="17"/>
        <v>0</v>
      </c>
      <c r="O520" s="2" cm="1">
        <f t="array" ref="O520:Q520">[1]!ConvertFeet(N520)</f>
        <v>0</v>
      </c>
      <c r="P520" s="2">
        <v>0</v>
      </c>
      <c r="Q520" s="2">
        <v>0</v>
      </c>
    </row>
    <row r="521" spans="1:17" x14ac:dyDescent="0.6">
      <c r="A521" s="34">
        <v>521</v>
      </c>
      <c r="D521" s="23" t="str" cm="1">
        <f t="array" ref="D521">IFERROR([1]!CalculateHyphenString(C521),"")</f>
        <v/>
      </c>
      <c r="G521" s="26"/>
      <c r="H521" s="2"/>
      <c r="L521" s="21">
        <f t="shared" si="16"/>
        <v>0</v>
      </c>
      <c r="N521" s="21">
        <f t="shared" si="17"/>
        <v>0</v>
      </c>
      <c r="O521" s="2" cm="1">
        <f t="array" ref="O521:Q521">[1]!ConvertFeet(N521)</f>
        <v>0</v>
      </c>
      <c r="P521" s="2">
        <v>0</v>
      </c>
      <c r="Q521" s="2">
        <v>0</v>
      </c>
    </row>
    <row r="522" spans="1:17" x14ac:dyDescent="0.6">
      <c r="A522" s="35">
        <v>522</v>
      </c>
      <c r="D522" s="23" t="str" cm="1">
        <f t="array" ref="D522">IFERROR([1]!CalculateHyphenString(C522),"")</f>
        <v/>
      </c>
      <c r="G522" s="26"/>
      <c r="H522" s="2"/>
      <c r="L522" s="21">
        <f t="shared" si="16"/>
        <v>0</v>
      </c>
      <c r="N522" s="21">
        <f t="shared" si="17"/>
        <v>0</v>
      </c>
      <c r="O522" s="2" cm="1">
        <f t="array" ref="O522:Q522">[1]!ConvertFeet(N522)</f>
        <v>0</v>
      </c>
      <c r="P522" s="2">
        <v>0</v>
      </c>
      <c r="Q522" s="2">
        <v>0</v>
      </c>
    </row>
    <row r="523" spans="1:17" x14ac:dyDescent="0.6">
      <c r="A523" s="34">
        <v>523</v>
      </c>
      <c r="D523" s="23" t="str" cm="1">
        <f t="array" ref="D523">IFERROR([1]!CalculateHyphenString(C523),"")</f>
        <v/>
      </c>
      <c r="G523" s="26"/>
      <c r="H523" s="2"/>
      <c r="L523" s="21">
        <f t="shared" si="16"/>
        <v>0</v>
      </c>
      <c r="N523" s="21">
        <f t="shared" si="17"/>
        <v>0</v>
      </c>
      <c r="O523" s="2" cm="1">
        <f t="array" ref="O523:Q523">[1]!ConvertFeet(N523)</f>
        <v>0</v>
      </c>
      <c r="P523" s="2">
        <v>0</v>
      </c>
      <c r="Q523" s="2">
        <v>0</v>
      </c>
    </row>
    <row r="524" spans="1:17" x14ac:dyDescent="0.6">
      <c r="A524" s="35">
        <v>524</v>
      </c>
      <c r="D524" s="23" t="str" cm="1">
        <f t="array" ref="D524">IFERROR([1]!CalculateHyphenString(C524),"")</f>
        <v/>
      </c>
      <c r="G524" s="26"/>
      <c r="H524" s="2"/>
      <c r="L524" s="21">
        <f t="shared" si="16"/>
        <v>0</v>
      </c>
      <c r="N524" s="21">
        <f t="shared" si="17"/>
        <v>0</v>
      </c>
      <c r="O524" s="2" cm="1">
        <f t="array" ref="O524:Q524">[1]!ConvertFeet(N524)</f>
        <v>0</v>
      </c>
      <c r="P524" s="2">
        <v>0</v>
      </c>
      <c r="Q524" s="2">
        <v>0</v>
      </c>
    </row>
    <row r="525" spans="1:17" x14ac:dyDescent="0.6">
      <c r="A525" s="34">
        <v>525</v>
      </c>
      <c r="D525" s="23" t="str" cm="1">
        <f t="array" ref="D525">IFERROR([1]!CalculateHyphenString(C525),"")</f>
        <v/>
      </c>
      <c r="G525" s="26"/>
      <c r="H525" s="2"/>
      <c r="L525" s="21">
        <f t="shared" si="16"/>
        <v>0</v>
      </c>
      <c r="N525" s="21">
        <f t="shared" si="17"/>
        <v>0</v>
      </c>
      <c r="O525" s="2" cm="1">
        <f t="array" ref="O525:Q525">[1]!ConvertFeet(N525)</f>
        <v>0</v>
      </c>
      <c r="P525" s="2">
        <v>0</v>
      </c>
      <c r="Q525" s="2">
        <v>0</v>
      </c>
    </row>
    <row r="526" spans="1:17" x14ac:dyDescent="0.6">
      <c r="A526" s="35">
        <v>526</v>
      </c>
      <c r="D526" s="23" t="str" cm="1">
        <f t="array" ref="D526">IFERROR([1]!CalculateHyphenString(C526),"")</f>
        <v/>
      </c>
      <c r="G526" s="26"/>
      <c r="H526" s="2"/>
      <c r="L526" s="21">
        <f t="shared" si="16"/>
        <v>0</v>
      </c>
      <c r="N526" s="21">
        <f t="shared" si="17"/>
        <v>0</v>
      </c>
      <c r="O526" s="2" cm="1">
        <f t="array" ref="O526:Q526">[1]!ConvertFeet(N526)</f>
        <v>0</v>
      </c>
      <c r="P526" s="2">
        <v>0</v>
      </c>
      <c r="Q526" s="2">
        <v>0</v>
      </c>
    </row>
    <row r="527" spans="1:17" x14ac:dyDescent="0.6">
      <c r="A527" s="34">
        <v>527</v>
      </c>
      <c r="D527" s="23" t="str" cm="1">
        <f t="array" ref="D527">IFERROR([1]!CalculateHyphenString(C527),"")</f>
        <v/>
      </c>
      <c r="G527" s="26"/>
      <c r="H527" s="2"/>
      <c r="L527" s="21">
        <f t="shared" si="16"/>
        <v>0</v>
      </c>
      <c r="N527" s="21">
        <f t="shared" si="17"/>
        <v>0</v>
      </c>
      <c r="O527" s="2" cm="1">
        <f t="array" ref="O527:Q527">[1]!ConvertFeet(N527)</f>
        <v>0</v>
      </c>
      <c r="P527" s="2">
        <v>0</v>
      </c>
      <c r="Q527" s="2">
        <v>0</v>
      </c>
    </row>
    <row r="528" spans="1:17" x14ac:dyDescent="0.6">
      <c r="A528" s="35">
        <v>528</v>
      </c>
      <c r="D528" s="23" t="str" cm="1">
        <f t="array" ref="D528">IFERROR([1]!CalculateHyphenString(C528),"")</f>
        <v/>
      </c>
      <c r="G528" s="26"/>
      <c r="H528" s="2"/>
      <c r="L528" s="21">
        <f t="shared" si="16"/>
        <v>0</v>
      </c>
      <c r="N528" s="21">
        <f t="shared" si="17"/>
        <v>0</v>
      </c>
      <c r="O528" s="2" cm="1">
        <f t="array" ref="O528:Q528">[1]!ConvertFeet(N528)</f>
        <v>0</v>
      </c>
      <c r="P528" s="2">
        <v>0</v>
      </c>
      <c r="Q528" s="2">
        <v>0</v>
      </c>
    </row>
    <row r="529" spans="1:17" x14ac:dyDescent="0.6">
      <c r="A529" s="34">
        <v>529</v>
      </c>
      <c r="D529" s="23" t="str" cm="1">
        <f t="array" ref="D529">IFERROR([1]!CalculateHyphenString(C529),"")</f>
        <v/>
      </c>
      <c r="G529" s="26"/>
      <c r="H529" s="2"/>
      <c r="L529" s="21">
        <f t="shared" si="16"/>
        <v>0</v>
      </c>
      <c r="N529" s="21">
        <f t="shared" si="17"/>
        <v>0</v>
      </c>
      <c r="O529" s="2" cm="1">
        <f t="array" ref="O529:Q529">[1]!ConvertFeet(N529)</f>
        <v>0</v>
      </c>
      <c r="P529" s="2">
        <v>0</v>
      </c>
      <c r="Q529" s="2">
        <v>0</v>
      </c>
    </row>
    <row r="530" spans="1:17" x14ac:dyDescent="0.6">
      <c r="A530" s="35">
        <v>530</v>
      </c>
      <c r="D530" s="23" t="str" cm="1">
        <f t="array" ref="D530">IFERROR([1]!CalculateHyphenString(C530),"")</f>
        <v/>
      </c>
      <c r="G530" s="26"/>
      <c r="H530" s="2"/>
      <c r="L530" s="21">
        <f t="shared" si="16"/>
        <v>0</v>
      </c>
      <c r="N530" s="21">
        <f t="shared" si="17"/>
        <v>0</v>
      </c>
      <c r="O530" s="2" cm="1">
        <f t="array" ref="O530:Q530">[1]!ConvertFeet(N530)</f>
        <v>0</v>
      </c>
      <c r="P530" s="2">
        <v>0</v>
      </c>
      <c r="Q530" s="2">
        <v>0</v>
      </c>
    </row>
    <row r="531" spans="1:17" x14ac:dyDescent="0.6">
      <c r="A531" s="34">
        <v>531</v>
      </c>
      <c r="D531" s="23" t="str" cm="1">
        <f t="array" ref="D531">IFERROR([1]!CalculateHyphenString(C531),"")</f>
        <v/>
      </c>
      <c r="G531" s="26"/>
      <c r="H531" s="2"/>
      <c r="L531" s="21">
        <f t="shared" si="16"/>
        <v>0</v>
      </c>
      <c r="N531" s="21">
        <f t="shared" si="17"/>
        <v>0</v>
      </c>
      <c r="O531" s="2" cm="1">
        <f t="array" ref="O531:Q531">[1]!ConvertFeet(N531)</f>
        <v>0</v>
      </c>
      <c r="P531" s="2">
        <v>0</v>
      </c>
      <c r="Q531" s="2">
        <v>0</v>
      </c>
    </row>
    <row r="532" spans="1:17" x14ac:dyDescent="0.6">
      <c r="A532" s="35">
        <v>532</v>
      </c>
      <c r="D532" s="23" t="str" cm="1">
        <f t="array" ref="D532">IFERROR([1]!CalculateHyphenString(C532),"")</f>
        <v/>
      </c>
      <c r="G532" s="26"/>
      <c r="H532" s="2"/>
      <c r="L532" s="21">
        <f t="shared" si="16"/>
        <v>0</v>
      </c>
      <c r="N532" s="21">
        <f t="shared" si="17"/>
        <v>0</v>
      </c>
      <c r="O532" s="2" cm="1">
        <f t="array" ref="O532:Q532">[1]!ConvertFeet(N532)</f>
        <v>0</v>
      </c>
      <c r="P532" s="2">
        <v>0</v>
      </c>
      <c r="Q532" s="2">
        <v>0</v>
      </c>
    </row>
    <row r="533" spans="1:17" x14ac:dyDescent="0.6">
      <c r="A533" s="34">
        <v>533</v>
      </c>
      <c r="D533" s="23" t="str" cm="1">
        <f t="array" ref="D533">IFERROR([1]!CalculateHyphenString(C533),"")</f>
        <v/>
      </c>
      <c r="G533" s="26"/>
      <c r="H533" s="2"/>
      <c r="L533" s="21">
        <f t="shared" si="16"/>
        <v>0</v>
      </c>
      <c r="N533" s="21">
        <f t="shared" si="17"/>
        <v>0</v>
      </c>
      <c r="O533" s="2" cm="1">
        <f t="array" ref="O533:Q533">[1]!ConvertFeet(N533)</f>
        <v>0</v>
      </c>
      <c r="P533" s="2">
        <v>0</v>
      </c>
      <c r="Q533" s="2">
        <v>0</v>
      </c>
    </row>
    <row r="534" spans="1:17" x14ac:dyDescent="0.6">
      <c r="A534" s="35">
        <v>534</v>
      </c>
      <c r="D534" s="23" t="str" cm="1">
        <f t="array" ref="D534">IFERROR([1]!CalculateHyphenString(C534),"")</f>
        <v/>
      </c>
      <c r="G534" s="26"/>
      <c r="H534" s="2"/>
      <c r="L534" s="21">
        <f t="shared" si="16"/>
        <v>0</v>
      </c>
      <c r="N534" s="21">
        <f t="shared" si="17"/>
        <v>0</v>
      </c>
      <c r="O534" s="2" cm="1">
        <f t="array" ref="O534:Q534">[1]!ConvertFeet(N534)</f>
        <v>0</v>
      </c>
      <c r="P534" s="2">
        <v>0</v>
      </c>
      <c r="Q534" s="2">
        <v>0</v>
      </c>
    </row>
    <row r="535" spans="1:17" x14ac:dyDescent="0.6">
      <c r="A535" s="34">
        <v>535</v>
      </c>
      <c r="D535" s="23" t="str" cm="1">
        <f t="array" ref="D535">IFERROR([1]!CalculateHyphenString(C535),"")</f>
        <v/>
      </c>
      <c r="G535" s="26"/>
      <c r="H535" s="2"/>
      <c r="L535" s="21">
        <f t="shared" si="16"/>
        <v>0</v>
      </c>
      <c r="N535" s="21">
        <f t="shared" si="17"/>
        <v>0</v>
      </c>
      <c r="O535" s="2" cm="1">
        <f t="array" ref="O535:Q535">[1]!ConvertFeet(N535)</f>
        <v>0</v>
      </c>
      <c r="P535" s="2">
        <v>0</v>
      </c>
      <c r="Q535" s="2">
        <v>0</v>
      </c>
    </row>
    <row r="536" spans="1:17" x14ac:dyDescent="0.6">
      <c r="A536" s="35">
        <v>536</v>
      </c>
      <c r="D536" s="23" t="str" cm="1">
        <f t="array" ref="D536">IFERROR([1]!CalculateHyphenString(C536),"")</f>
        <v/>
      </c>
      <c r="G536" s="26"/>
      <c r="H536" s="2"/>
      <c r="L536" s="21">
        <f t="shared" si="16"/>
        <v>0</v>
      </c>
      <c r="N536" s="21">
        <f t="shared" si="17"/>
        <v>0</v>
      </c>
      <c r="O536" s="2" cm="1">
        <f t="array" ref="O536:Q536">[1]!ConvertFeet(N536)</f>
        <v>0</v>
      </c>
      <c r="P536" s="2">
        <v>0</v>
      </c>
      <c r="Q536" s="2">
        <v>0</v>
      </c>
    </row>
    <row r="537" spans="1:17" x14ac:dyDescent="0.6">
      <c r="A537" s="34">
        <v>537</v>
      </c>
      <c r="D537" s="23" t="str" cm="1">
        <f t="array" ref="D537">IFERROR([1]!CalculateHyphenString(C537),"")</f>
        <v/>
      </c>
      <c r="G537" s="26"/>
      <c r="H537" s="2"/>
      <c r="L537" s="21">
        <f t="shared" si="16"/>
        <v>0</v>
      </c>
      <c r="N537" s="21">
        <f t="shared" si="17"/>
        <v>0</v>
      </c>
      <c r="O537" s="2" cm="1">
        <f t="array" ref="O537:Q537">[1]!ConvertFeet(N537)</f>
        <v>0</v>
      </c>
      <c r="P537" s="2">
        <v>0</v>
      </c>
      <c r="Q537" s="2">
        <v>0</v>
      </c>
    </row>
    <row r="538" spans="1:17" x14ac:dyDescent="0.6">
      <c r="A538" s="35">
        <v>538</v>
      </c>
      <c r="D538" s="23" t="str" cm="1">
        <f t="array" ref="D538">IFERROR([1]!CalculateHyphenString(C538),"")</f>
        <v/>
      </c>
      <c r="G538" s="26"/>
      <c r="H538" s="2"/>
      <c r="L538" s="21">
        <f t="shared" si="16"/>
        <v>0</v>
      </c>
      <c r="N538" s="21">
        <f t="shared" si="17"/>
        <v>0</v>
      </c>
      <c r="O538" s="2" cm="1">
        <f t="array" ref="O538:Q538">[1]!ConvertFeet(N538)</f>
        <v>0</v>
      </c>
      <c r="P538" s="2">
        <v>0</v>
      </c>
      <c r="Q538" s="2">
        <v>0</v>
      </c>
    </row>
    <row r="539" spans="1:17" x14ac:dyDescent="0.6">
      <c r="A539" s="34">
        <v>539</v>
      </c>
      <c r="D539" s="23" t="str" cm="1">
        <f t="array" ref="D539">IFERROR([1]!CalculateHyphenString(C539),"")</f>
        <v/>
      </c>
      <c r="G539" s="26"/>
      <c r="H539" s="2"/>
      <c r="L539" s="21">
        <f t="shared" si="16"/>
        <v>0</v>
      </c>
      <c r="N539" s="21">
        <f t="shared" si="17"/>
        <v>0</v>
      </c>
      <c r="O539" s="2" cm="1">
        <f t="array" ref="O539:Q539">[1]!ConvertFeet(N539)</f>
        <v>0</v>
      </c>
      <c r="P539" s="2">
        <v>0</v>
      </c>
      <c r="Q539" s="2">
        <v>0</v>
      </c>
    </row>
    <row r="540" spans="1:17" x14ac:dyDescent="0.6">
      <c r="A540" s="35">
        <v>540</v>
      </c>
      <c r="D540" s="23" t="str" cm="1">
        <f t="array" ref="D540">IFERROR([1]!CalculateHyphenString(C540),"")</f>
        <v/>
      </c>
      <c r="G540" s="26"/>
      <c r="H540" s="2"/>
      <c r="L540" s="21">
        <f t="shared" si="16"/>
        <v>0</v>
      </c>
      <c r="N540" s="21">
        <f t="shared" si="17"/>
        <v>0</v>
      </c>
      <c r="O540" s="2" cm="1">
        <f t="array" ref="O540:Q540">[1]!ConvertFeet(N540)</f>
        <v>0</v>
      </c>
      <c r="P540" s="2">
        <v>0</v>
      </c>
      <c r="Q540" s="2">
        <v>0</v>
      </c>
    </row>
    <row r="541" spans="1:17" x14ac:dyDescent="0.6">
      <c r="A541" s="34">
        <v>541</v>
      </c>
      <c r="D541" s="23" t="str" cm="1">
        <f t="array" ref="D541">IFERROR([1]!CalculateHyphenString(C541),"")</f>
        <v/>
      </c>
      <c r="G541" s="26"/>
      <c r="H541" s="2"/>
      <c r="L541" s="21">
        <f t="shared" si="16"/>
        <v>0</v>
      </c>
      <c r="N541" s="21">
        <f t="shared" si="17"/>
        <v>0</v>
      </c>
      <c r="O541" s="2" cm="1">
        <f t="array" ref="O541:Q541">[1]!ConvertFeet(N541)</f>
        <v>0</v>
      </c>
      <c r="P541" s="2">
        <v>0</v>
      </c>
      <c r="Q541" s="2">
        <v>0</v>
      </c>
    </row>
    <row r="542" spans="1:17" x14ac:dyDescent="0.6">
      <c r="A542" s="35">
        <v>542</v>
      </c>
      <c r="D542" s="23" t="str" cm="1">
        <f t="array" ref="D542">IFERROR([1]!CalculateHyphenString(C542),"")</f>
        <v/>
      </c>
      <c r="G542" s="26"/>
      <c r="H542" s="2"/>
      <c r="L542" s="21">
        <f t="shared" si="16"/>
        <v>0</v>
      </c>
      <c r="N542" s="21">
        <f t="shared" si="17"/>
        <v>0</v>
      </c>
      <c r="O542" s="2" cm="1">
        <f t="array" ref="O542:Q542">[1]!ConvertFeet(N542)</f>
        <v>0</v>
      </c>
      <c r="P542" s="2">
        <v>0</v>
      </c>
      <c r="Q542" s="2">
        <v>0</v>
      </c>
    </row>
    <row r="543" spans="1:17" x14ac:dyDescent="0.6">
      <c r="A543" s="34">
        <v>543</v>
      </c>
      <c r="D543" s="23" t="str" cm="1">
        <f t="array" ref="D543">IFERROR([1]!CalculateHyphenString(C543),"")</f>
        <v/>
      </c>
      <c r="G543" s="26"/>
      <c r="H543" s="2"/>
      <c r="L543" s="21">
        <f t="shared" si="16"/>
        <v>0</v>
      </c>
      <c r="N543" s="21">
        <f t="shared" si="17"/>
        <v>0</v>
      </c>
      <c r="O543" s="2" cm="1">
        <f t="array" ref="O543:Q543">[1]!ConvertFeet(N543)</f>
        <v>0</v>
      </c>
      <c r="P543" s="2">
        <v>0</v>
      </c>
      <c r="Q543" s="2">
        <v>0</v>
      </c>
    </row>
    <row r="544" spans="1:17" x14ac:dyDescent="0.6">
      <c r="A544" s="35">
        <v>544</v>
      </c>
      <c r="D544" s="23" t="str" cm="1">
        <f t="array" ref="D544">IFERROR([1]!CalculateHyphenString(C544),"")</f>
        <v/>
      </c>
      <c r="G544" s="26"/>
      <c r="H544" s="2"/>
      <c r="L544" s="21">
        <f t="shared" si="16"/>
        <v>0</v>
      </c>
      <c r="N544" s="21">
        <f t="shared" si="17"/>
        <v>0</v>
      </c>
      <c r="O544" s="2" cm="1">
        <f t="array" ref="O544:Q544">[1]!ConvertFeet(N544)</f>
        <v>0</v>
      </c>
      <c r="P544" s="2">
        <v>0</v>
      </c>
      <c r="Q544" s="2">
        <v>0</v>
      </c>
    </row>
    <row r="545" spans="1:17" x14ac:dyDescent="0.6">
      <c r="A545" s="34">
        <v>545</v>
      </c>
      <c r="D545" s="23" t="str" cm="1">
        <f t="array" ref="D545">IFERROR([1]!CalculateHyphenString(C545),"")</f>
        <v/>
      </c>
      <c r="G545" s="26"/>
      <c r="H545" s="2"/>
      <c r="L545" s="21">
        <f t="shared" si="16"/>
        <v>0</v>
      </c>
      <c r="N545" s="21">
        <f t="shared" si="17"/>
        <v>0</v>
      </c>
      <c r="O545" s="2" cm="1">
        <f t="array" ref="O545:Q545">[1]!ConvertFeet(N545)</f>
        <v>0</v>
      </c>
      <c r="P545" s="2">
        <v>0</v>
      </c>
      <c r="Q545" s="2">
        <v>0</v>
      </c>
    </row>
    <row r="546" spans="1:17" x14ac:dyDescent="0.6">
      <c r="A546" s="35">
        <v>546</v>
      </c>
      <c r="D546" s="23" t="str" cm="1">
        <f t="array" ref="D546">IFERROR([1]!CalculateHyphenString(C546),"")</f>
        <v/>
      </c>
      <c r="G546" s="26"/>
      <c r="H546" s="2"/>
      <c r="L546" s="21">
        <f t="shared" si="16"/>
        <v>0</v>
      </c>
      <c r="N546" s="21">
        <f t="shared" si="17"/>
        <v>0</v>
      </c>
      <c r="O546" s="2" cm="1">
        <f t="array" ref="O546:Q546">[1]!ConvertFeet(N546)</f>
        <v>0</v>
      </c>
      <c r="P546" s="2">
        <v>0</v>
      </c>
      <c r="Q546" s="2">
        <v>0</v>
      </c>
    </row>
    <row r="547" spans="1:17" x14ac:dyDescent="0.6">
      <c r="A547" s="34">
        <v>547</v>
      </c>
      <c r="D547" s="23" t="str" cm="1">
        <f t="array" ref="D547">IFERROR([1]!CalculateHyphenString(C547),"")</f>
        <v/>
      </c>
      <c r="G547" s="26"/>
      <c r="H547" s="2"/>
      <c r="L547" s="21">
        <f t="shared" si="16"/>
        <v>0</v>
      </c>
      <c r="N547" s="21">
        <f t="shared" si="17"/>
        <v>0</v>
      </c>
      <c r="O547" s="2" cm="1">
        <f t="array" ref="O547:Q547">[1]!ConvertFeet(N547)</f>
        <v>0</v>
      </c>
      <c r="P547" s="2">
        <v>0</v>
      </c>
      <c r="Q547" s="2">
        <v>0</v>
      </c>
    </row>
    <row r="548" spans="1:17" x14ac:dyDescent="0.6">
      <c r="A548" s="35">
        <v>548</v>
      </c>
      <c r="D548" s="23" t="str" cm="1">
        <f t="array" ref="D548">IFERROR([1]!CalculateHyphenString(C548),"")</f>
        <v/>
      </c>
      <c r="G548" s="26"/>
      <c r="H548" s="2"/>
      <c r="L548" s="21">
        <f t="shared" si="16"/>
        <v>0</v>
      </c>
      <c r="N548" s="21">
        <f t="shared" si="17"/>
        <v>0</v>
      </c>
      <c r="O548" s="2" cm="1">
        <f t="array" ref="O548:Q548">[1]!ConvertFeet(N548)</f>
        <v>0</v>
      </c>
      <c r="P548" s="2">
        <v>0</v>
      </c>
      <c r="Q548" s="2">
        <v>0</v>
      </c>
    </row>
    <row r="549" spans="1:17" x14ac:dyDescent="0.6">
      <c r="A549" s="34">
        <v>549</v>
      </c>
      <c r="D549" s="23" t="str" cm="1">
        <f t="array" ref="D549">IFERROR([1]!CalculateHyphenString(C549),"")</f>
        <v/>
      </c>
      <c r="G549" s="26"/>
      <c r="H549" s="2"/>
      <c r="L549" s="21">
        <f t="shared" si="16"/>
        <v>0</v>
      </c>
      <c r="N549" s="21">
        <f t="shared" si="17"/>
        <v>0</v>
      </c>
      <c r="O549" s="2" cm="1">
        <f t="array" ref="O549:Q549">[1]!ConvertFeet(N549)</f>
        <v>0</v>
      </c>
      <c r="P549" s="2">
        <v>0</v>
      </c>
      <c r="Q549" s="2">
        <v>0</v>
      </c>
    </row>
    <row r="550" spans="1:17" x14ac:dyDescent="0.6">
      <c r="A550" s="35">
        <v>550</v>
      </c>
      <c r="D550" s="23" t="str" cm="1">
        <f t="array" ref="D550">IFERROR([1]!CalculateHyphenString(C550),"")</f>
        <v/>
      </c>
      <c r="G550" s="26"/>
      <c r="H550" s="2"/>
      <c r="L550" s="21">
        <f t="shared" si="16"/>
        <v>0</v>
      </c>
      <c r="N550" s="21">
        <f t="shared" si="17"/>
        <v>0</v>
      </c>
      <c r="O550" s="2" cm="1">
        <f t="array" ref="O550:Q550">[1]!ConvertFeet(N550)</f>
        <v>0</v>
      </c>
      <c r="P550" s="2">
        <v>0</v>
      </c>
      <c r="Q550" s="2">
        <v>0</v>
      </c>
    </row>
    <row r="551" spans="1:17" x14ac:dyDescent="0.6">
      <c r="A551" s="34">
        <v>551</v>
      </c>
      <c r="D551" s="23" t="str" cm="1">
        <f t="array" ref="D551">IFERROR([1]!CalculateHyphenString(C551),"")</f>
        <v/>
      </c>
      <c r="G551" s="26"/>
      <c r="H551" s="2"/>
      <c r="L551" s="21">
        <f t="shared" si="16"/>
        <v>0</v>
      </c>
      <c r="N551" s="21">
        <f t="shared" si="17"/>
        <v>0</v>
      </c>
      <c r="O551" s="2" cm="1">
        <f t="array" ref="O551:Q551">[1]!ConvertFeet(N551)</f>
        <v>0</v>
      </c>
      <c r="P551" s="2">
        <v>0</v>
      </c>
      <c r="Q551" s="2">
        <v>0</v>
      </c>
    </row>
    <row r="552" spans="1:17" x14ac:dyDescent="0.6">
      <c r="A552" s="35">
        <v>552</v>
      </c>
      <c r="D552" s="23" t="str" cm="1">
        <f t="array" ref="D552">IFERROR([1]!CalculateHyphenString(C552),"")</f>
        <v/>
      </c>
      <c r="G552" s="26"/>
      <c r="H552" s="2"/>
      <c r="L552" s="21">
        <f t="shared" si="16"/>
        <v>0</v>
      </c>
      <c r="N552" s="21">
        <f t="shared" si="17"/>
        <v>0</v>
      </c>
      <c r="O552" s="2" cm="1">
        <f t="array" ref="O552:Q552">[1]!ConvertFeet(N552)</f>
        <v>0</v>
      </c>
      <c r="P552" s="2">
        <v>0</v>
      </c>
      <c r="Q552" s="2">
        <v>0</v>
      </c>
    </row>
    <row r="553" spans="1:17" x14ac:dyDescent="0.6">
      <c r="A553" s="34">
        <v>553</v>
      </c>
      <c r="D553" s="23" t="str" cm="1">
        <f t="array" ref="D553">IFERROR([1]!CalculateHyphenString(C553),"")</f>
        <v/>
      </c>
      <c r="G553" s="26"/>
      <c r="H553" s="2"/>
      <c r="L553" s="21">
        <f t="shared" si="16"/>
        <v>0</v>
      </c>
      <c r="N553" s="21">
        <f t="shared" si="17"/>
        <v>0</v>
      </c>
      <c r="O553" s="2" cm="1">
        <f t="array" ref="O553:Q553">[1]!ConvertFeet(N553)</f>
        <v>0</v>
      </c>
      <c r="P553" s="2">
        <v>0</v>
      </c>
      <c r="Q553" s="2">
        <v>0</v>
      </c>
    </row>
    <row r="554" spans="1:17" x14ac:dyDescent="0.6">
      <c r="A554" s="35">
        <v>554</v>
      </c>
      <c r="D554" s="23" t="str" cm="1">
        <f t="array" ref="D554">IFERROR([1]!CalculateHyphenString(C554),"")</f>
        <v/>
      </c>
      <c r="G554" s="26"/>
      <c r="H554" s="2"/>
      <c r="L554" s="21">
        <f t="shared" si="16"/>
        <v>0</v>
      </c>
      <c r="N554" s="21">
        <f t="shared" si="17"/>
        <v>0</v>
      </c>
      <c r="O554" s="2" cm="1">
        <f t="array" ref="O554:Q554">[1]!ConvertFeet(N554)</f>
        <v>0</v>
      </c>
      <c r="P554" s="2">
        <v>0</v>
      </c>
      <c r="Q554" s="2">
        <v>0</v>
      </c>
    </row>
    <row r="555" spans="1:17" x14ac:dyDescent="0.6">
      <c r="A555" s="34">
        <v>555</v>
      </c>
      <c r="D555" s="23" t="str" cm="1">
        <f t="array" ref="D555">IFERROR([1]!CalculateHyphenString(C555),"")</f>
        <v/>
      </c>
      <c r="G555" s="26"/>
      <c r="H555" s="2"/>
      <c r="L555" s="21">
        <f t="shared" si="16"/>
        <v>0</v>
      </c>
      <c r="N555" s="21">
        <f t="shared" si="17"/>
        <v>0</v>
      </c>
      <c r="O555" s="2" cm="1">
        <f t="array" ref="O555:Q555">[1]!ConvertFeet(N555)</f>
        <v>0</v>
      </c>
      <c r="P555" s="2">
        <v>0</v>
      </c>
      <c r="Q555" s="2">
        <v>0</v>
      </c>
    </row>
    <row r="556" spans="1:17" x14ac:dyDescent="0.6">
      <c r="A556" s="35">
        <v>556</v>
      </c>
      <c r="D556" s="23" t="str" cm="1">
        <f t="array" ref="D556">IFERROR([1]!CalculateHyphenString(C556),"")</f>
        <v/>
      </c>
      <c r="G556" s="26"/>
      <c r="H556" s="2"/>
      <c r="L556" s="21">
        <f t="shared" si="16"/>
        <v>0</v>
      </c>
      <c r="N556" s="21">
        <f t="shared" si="17"/>
        <v>0</v>
      </c>
      <c r="O556" s="2" cm="1">
        <f t="array" ref="O556:Q556">[1]!ConvertFeet(N556)</f>
        <v>0</v>
      </c>
      <c r="P556" s="2">
        <v>0</v>
      </c>
      <c r="Q556" s="2">
        <v>0</v>
      </c>
    </row>
    <row r="557" spans="1:17" x14ac:dyDescent="0.6">
      <c r="A557" s="34">
        <v>557</v>
      </c>
      <c r="D557" s="23" t="str" cm="1">
        <f t="array" ref="D557">IFERROR([1]!CalculateHyphenString(C557),"")</f>
        <v/>
      </c>
      <c r="G557" s="26"/>
      <c r="H557" s="2"/>
      <c r="L557" s="21">
        <f t="shared" si="16"/>
        <v>0</v>
      </c>
      <c r="N557" s="21">
        <f t="shared" si="17"/>
        <v>0</v>
      </c>
      <c r="O557" s="2" cm="1">
        <f t="array" ref="O557:Q557">[1]!ConvertFeet(N557)</f>
        <v>0</v>
      </c>
      <c r="P557" s="2">
        <v>0</v>
      </c>
      <c r="Q557" s="2">
        <v>0</v>
      </c>
    </row>
    <row r="558" spans="1:17" x14ac:dyDescent="0.6">
      <c r="A558" s="35">
        <v>558</v>
      </c>
      <c r="D558" s="23" t="str" cm="1">
        <f t="array" ref="D558">IFERROR([1]!CalculateHyphenString(C558),"")</f>
        <v/>
      </c>
      <c r="G558" s="26"/>
      <c r="H558" s="2"/>
      <c r="L558" s="21">
        <f t="shared" si="16"/>
        <v>0</v>
      </c>
      <c r="N558" s="21">
        <f t="shared" si="17"/>
        <v>0</v>
      </c>
      <c r="O558" s="2" cm="1">
        <f t="array" ref="O558:Q558">[1]!ConvertFeet(N558)</f>
        <v>0</v>
      </c>
      <c r="P558" s="2">
        <v>0</v>
      </c>
      <c r="Q558" s="2">
        <v>0</v>
      </c>
    </row>
    <row r="559" spans="1:17" x14ac:dyDescent="0.6">
      <c r="A559" s="34">
        <v>559</v>
      </c>
      <c r="D559" s="23" t="str" cm="1">
        <f t="array" ref="D559">IFERROR([1]!CalculateHyphenString(C559),"")</f>
        <v/>
      </c>
      <c r="G559" s="26"/>
      <c r="H559" s="2"/>
      <c r="L559" s="21">
        <f t="shared" si="16"/>
        <v>0</v>
      </c>
      <c r="N559" s="21">
        <f t="shared" si="17"/>
        <v>0</v>
      </c>
      <c r="O559" s="2" cm="1">
        <f t="array" ref="O559:Q559">[1]!ConvertFeet(N559)</f>
        <v>0</v>
      </c>
      <c r="P559" s="2">
        <v>0</v>
      </c>
      <c r="Q559" s="2">
        <v>0</v>
      </c>
    </row>
    <row r="560" spans="1:17" x14ac:dyDescent="0.6">
      <c r="A560" s="35">
        <v>560</v>
      </c>
      <c r="D560" s="23" t="str" cm="1">
        <f t="array" ref="D560">IFERROR([1]!CalculateHyphenString(C560),"")</f>
        <v/>
      </c>
      <c r="G560" s="26"/>
      <c r="H560" s="2"/>
      <c r="L560" s="21">
        <f t="shared" si="16"/>
        <v>0</v>
      </c>
      <c r="N560" s="21">
        <f t="shared" si="17"/>
        <v>0</v>
      </c>
      <c r="O560" s="2" cm="1">
        <f t="array" ref="O560:Q560">[1]!ConvertFeet(N560)</f>
        <v>0</v>
      </c>
      <c r="P560" s="2">
        <v>0</v>
      </c>
      <c r="Q560" s="2">
        <v>0</v>
      </c>
    </row>
    <row r="561" spans="1:17" x14ac:dyDescent="0.6">
      <c r="A561" s="34">
        <v>561</v>
      </c>
      <c r="D561" s="23" t="str" cm="1">
        <f t="array" ref="D561">IFERROR([1]!CalculateHyphenString(C561),"")</f>
        <v/>
      </c>
      <c r="G561" s="26"/>
      <c r="H561" s="2"/>
      <c r="L561" s="21">
        <f t="shared" si="16"/>
        <v>0</v>
      </c>
      <c r="N561" s="21">
        <f t="shared" si="17"/>
        <v>0</v>
      </c>
      <c r="O561" s="2" cm="1">
        <f t="array" ref="O561:Q561">[1]!ConvertFeet(N561)</f>
        <v>0</v>
      </c>
      <c r="P561" s="2">
        <v>0</v>
      </c>
      <c r="Q561" s="2">
        <v>0</v>
      </c>
    </row>
    <row r="562" spans="1:17" x14ac:dyDescent="0.6">
      <c r="A562" s="35">
        <v>562</v>
      </c>
      <c r="D562" s="23" t="str" cm="1">
        <f t="array" ref="D562">IFERROR([1]!CalculateHyphenString(C562),"")</f>
        <v/>
      </c>
      <c r="G562" s="26"/>
      <c r="H562" s="2"/>
      <c r="L562" s="21">
        <f t="shared" si="16"/>
        <v>0</v>
      </c>
      <c r="N562" s="21">
        <f t="shared" si="17"/>
        <v>0</v>
      </c>
      <c r="O562" s="2" cm="1">
        <f t="array" ref="O562:Q562">[1]!ConvertFeet(N562)</f>
        <v>0</v>
      </c>
      <c r="P562" s="2">
        <v>0</v>
      </c>
      <c r="Q562" s="2">
        <v>0</v>
      </c>
    </row>
    <row r="563" spans="1:17" x14ac:dyDescent="0.6">
      <c r="A563" s="34">
        <v>563</v>
      </c>
      <c r="D563" s="23" t="str" cm="1">
        <f t="array" ref="D563">IFERROR([1]!CalculateHyphenString(C563),"")</f>
        <v/>
      </c>
      <c r="G563" s="26"/>
      <c r="H563" s="2"/>
      <c r="L563" s="21">
        <f t="shared" si="16"/>
        <v>0</v>
      </c>
      <c r="N563" s="21">
        <f t="shared" si="17"/>
        <v>0</v>
      </c>
      <c r="O563" s="2" cm="1">
        <f t="array" ref="O563:Q563">[1]!ConvertFeet(N563)</f>
        <v>0</v>
      </c>
      <c r="P563" s="2">
        <v>0</v>
      </c>
      <c r="Q563" s="2">
        <v>0</v>
      </c>
    </row>
    <row r="564" spans="1:17" x14ac:dyDescent="0.6">
      <c r="A564" s="35">
        <v>564</v>
      </c>
      <c r="D564" s="23" t="str" cm="1">
        <f t="array" ref="D564">IFERROR([1]!CalculateHyphenString(C564),"")</f>
        <v/>
      </c>
      <c r="G564" s="26"/>
      <c r="H564" s="2"/>
      <c r="L564" s="21">
        <f t="shared" si="16"/>
        <v>0</v>
      </c>
      <c r="N564" s="21">
        <f t="shared" si="17"/>
        <v>0</v>
      </c>
      <c r="O564" s="2" cm="1">
        <f t="array" ref="O564:Q564">[1]!ConvertFeet(N564)</f>
        <v>0</v>
      </c>
      <c r="P564" s="2">
        <v>0</v>
      </c>
      <c r="Q564" s="2">
        <v>0</v>
      </c>
    </row>
    <row r="565" spans="1:17" x14ac:dyDescent="0.6">
      <c r="A565" s="34">
        <v>565</v>
      </c>
      <c r="D565" s="23" t="str" cm="1">
        <f t="array" ref="D565">IFERROR([1]!CalculateHyphenString(C565),"")</f>
        <v/>
      </c>
      <c r="G565" s="26"/>
      <c r="H565" s="2"/>
      <c r="L565" s="21">
        <f t="shared" si="16"/>
        <v>0</v>
      </c>
      <c r="N565" s="21">
        <f t="shared" si="17"/>
        <v>0</v>
      </c>
      <c r="O565" s="2" cm="1">
        <f t="array" ref="O565:Q565">[1]!ConvertFeet(N565)</f>
        <v>0</v>
      </c>
      <c r="P565" s="2">
        <v>0</v>
      </c>
      <c r="Q565" s="2">
        <v>0</v>
      </c>
    </row>
    <row r="566" spans="1:17" x14ac:dyDescent="0.6">
      <c r="A566" s="35">
        <v>566</v>
      </c>
      <c r="D566" s="23" t="str" cm="1">
        <f t="array" ref="D566">IFERROR([1]!CalculateHyphenString(C566),"")</f>
        <v/>
      </c>
      <c r="G566" s="26"/>
      <c r="H566" s="2"/>
      <c r="L566" s="21">
        <f t="shared" si="16"/>
        <v>0</v>
      </c>
      <c r="N566" s="21">
        <f t="shared" si="17"/>
        <v>0</v>
      </c>
      <c r="O566" s="2" cm="1">
        <f t="array" ref="O566:Q566">[1]!ConvertFeet(N566)</f>
        <v>0</v>
      </c>
      <c r="P566" s="2">
        <v>0</v>
      </c>
      <c r="Q566" s="2">
        <v>0</v>
      </c>
    </row>
    <row r="567" spans="1:17" x14ac:dyDescent="0.6">
      <c r="A567" s="34">
        <v>567</v>
      </c>
      <c r="D567" s="23" t="str" cm="1">
        <f t="array" ref="D567">IFERROR([1]!CalculateHyphenString(C567),"")</f>
        <v/>
      </c>
      <c r="G567" s="26"/>
      <c r="H567" s="2"/>
      <c r="L567" s="21">
        <f t="shared" si="16"/>
        <v>0</v>
      </c>
      <c r="N567" s="21">
        <f t="shared" si="17"/>
        <v>0</v>
      </c>
      <c r="O567" s="2" cm="1">
        <f t="array" ref="O567:Q567">[1]!ConvertFeet(N567)</f>
        <v>0</v>
      </c>
      <c r="P567" s="2">
        <v>0</v>
      </c>
      <c r="Q567" s="2">
        <v>0</v>
      </c>
    </row>
    <row r="568" spans="1:17" x14ac:dyDescent="0.6">
      <c r="A568" s="35">
        <v>568</v>
      </c>
      <c r="D568" s="23" t="str" cm="1">
        <f t="array" ref="D568">IFERROR([1]!CalculateHyphenString(C568),"")</f>
        <v/>
      </c>
      <c r="G568" s="26"/>
      <c r="H568" s="2"/>
      <c r="L568" s="21">
        <f t="shared" si="16"/>
        <v>0</v>
      </c>
      <c r="N568" s="21">
        <f t="shared" si="17"/>
        <v>0</v>
      </c>
      <c r="O568" s="2" cm="1">
        <f t="array" ref="O568:Q568">[1]!ConvertFeet(N568)</f>
        <v>0</v>
      </c>
      <c r="P568" s="2">
        <v>0</v>
      </c>
      <c r="Q568" s="2">
        <v>0</v>
      </c>
    </row>
    <row r="569" spans="1:17" x14ac:dyDescent="0.6">
      <c r="A569" s="34">
        <v>569</v>
      </c>
      <c r="D569" s="23" t="str" cm="1">
        <f t="array" ref="D569">IFERROR([1]!CalculateHyphenString(C569),"")</f>
        <v/>
      </c>
      <c r="G569" s="26"/>
      <c r="H569" s="2"/>
      <c r="L569" s="21">
        <f t="shared" si="16"/>
        <v>0</v>
      </c>
      <c r="N569" s="21">
        <f t="shared" si="17"/>
        <v>0</v>
      </c>
      <c r="O569" s="2" cm="1">
        <f t="array" ref="O569:Q569">[1]!ConvertFeet(N569)</f>
        <v>0</v>
      </c>
      <c r="P569" s="2">
        <v>0</v>
      </c>
      <c r="Q569" s="2">
        <v>0</v>
      </c>
    </row>
    <row r="570" spans="1:17" x14ac:dyDescent="0.6">
      <c r="A570" s="35">
        <v>570</v>
      </c>
      <c r="D570" s="23" t="str" cm="1">
        <f t="array" ref="D570">IFERROR([1]!CalculateHyphenString(C570),"")</f>
        <v/>
      </c>
      <c r="G570" s="26"/>
      <c r="H570" s="2"/>
      <c r="L570" s="21">
        <f t="shared" si="16"/>
        <v>0</v>
      </c>
      <c r="N570" s="21">
        <f t="shared" si="17"/>
        <v>0</v>
      </c>
      <c r="O570" s="2" cm="1">
        <f t="array" ref="O570:Q570">[1]!ConvertFeet(N570)</f>
        <v>0</v>
      </c>
      <c r="P570" s="2">
        <v>0</v>
      </c>
      <c r="Q570" s="2">
        <v>0</v>
      </c>
    </row>
    <row r="571" spans="1:17" x14ac:dyDescent="0.6">
      <c r="A571" s="34">
        <v>571</v>
      </c>
      <c r="D571" s="23" t="str" cm="1">
        <f t="array" ref="D571">IFERROR([1]!CalculateHyphenString(C571),"")</f>
        <v/>
      </c>
      <c r="G571" s="26"/>
      <c r="H571" s="2"/>
      <c r="L571" s="21">
        <f t="shared" si="16"/>
        <v>0</v>
      </c>
      <c r="N571" s="21">
        <f t="shared" si="17"/>
        <v>0</v>
      </c>
      <c r="O571" s="2" cm="1">
        <f t="array" ref="O571:Q571">[1]!ConvertFeet(N571)</f>
        <v>0</v>
      </c>
      <c r="P571" s="2">
        <v>0</v>
      </c>
      <c r="Q571" s="2">
        <v>0</v>
      </c>
    </row>
    <row r="572" spans="1:17" x14ac:dyDescent="0.6">
      <c r="A572" s="35">
        <v>572</v>
      </c>
      <c r="D572" s="23" t="str" cm="1">
        <f t="array" ref="D572">IFERROR([1]!CalculateHyphenString(C572),"")</f>
        <v/>
      </c>
      <c r="G572" s="26"/>
      <c r="H572" s="2"/>
      <c r="L572" s="21">
        <f t="shared" si="16"/>
        <v>0</v>
      </c>
      <c r="N572" s="21">
        <f t="shared" si="17"/>
        <v>0</v>
      </c>
      <c r="O572" s="2" cm="1">
        <f t="array" ref="O572:Q572">[1]!ConvertFeet(N572)</f>
        <v>0</v>
      </c>
      <c r="P572" s="2">
        <v>0</v>
      </c>
      <c r="Q572" s="2">
        <v>0</v>
      </c>
    </row>
    <row r="573" spans="1:17" x14ac:dyDescent="0.6">
      <c r="A573" s="34">
        <v>573</v>
      </c>
      <c r="D573" s="23" t="str" cm="1">
        <f t="array" ref="D573">IFERROR([1]!CalculateHyphenString(C573),"")</f>
        <v/>
      </c>
      <c r="G573" s="26"/>
      <c r="H573" s="2"/>
      <c r="L573" s="21">
        <f t="shared" si="16"/>
        <v>0</v>
      </c>
      <c r="N573" s="21">
        <f t="shared" si="17"/>
        <v>0</v>
      </c>
      <c r="O573" s="2" cm="1">
        <f t="array" ref="O573:Q573">[1]!ConvertFeet(N573)</f>
        <v>0</v>
      </c>
      <c r="P573" s="2">
        <v>0</v>
      </c>
      <c r="Q573" s="2">
        <v>0</v>
      </c>
    </row>
    <row r="574" spans="1:17" x14ac:dyDescent="0.6">
      <c r="A574" s="35">
        <v>574</v>
      </c>
      <c r="D574" s="23" t="str" cm="1">
        <f t="array" ref="D574">IFERROR([1]!CalculateHyphenString(C574),"")</f>
        <v/>
      </c>
      <c r="G574" s="26"/>
      <c r="H574" s="2"/>
      <c r="L574" s="21">
        <f t="shared" si="16"/>
        <v>0</v>
      </c>
      <c r="N574" s="21">
        <f t="shared" si="17"/>
        <v>0</v>
      </c>
      <c r="O574" s="2" cm="1">
        <f t="array" ref="O574:Q574">[1]!ConvertFeet(N574)</f>
        <v>0</v>
      </c>
      <c r="P574" s="2">
        <v>0</v>
      </c>
      <c r="Q574" s="2">
        <v>0</v>
      </c>
    </row>
    <row r="575" spans="1:17" x14ac:dyDescent="0.6">
      <c r="A575" s="34">
        <v>575</v>
      </c>
      <c r="D575" s="23" t="str" cm="1">
        <f t="array" ref="D575">IFERROR([1]!CalculateHyphenString(C575),"")</f>
        <v/>
      </c>
      <c r="G575" s="26"/>
      <c r="H575" s="2"/>
      <c r="L575" s="21">
        <f t="shared" si="16"/>
        <v>0</v>
      </c>
      <c r="N575" s="21">
        <f t="shared" si="17"/>
        <v>0</v>
      </c>
      <c r="O575" s="2" cm="1">
        <f t="array" ref="O575:Q575">[1]!ConvertFeet(N575)</f>
        <v>0</v>
      </c>
      <c r="P575" s="2">
        <v>0</v>
      </c>
      <c r="Q575" s="2">
        <v>0</v>
      </c>
    </row>
    <row r="576" spans="1:17" x14ac:dyDescent="0.6">
      <c r="A576" s="35">
        <v>576</v>
      </c>
      <c r="D576" s="23" t="str" cm="1">
        <f t="array" ref="D576">IFERROR([1]!CalculateHyphenString(C576),"")</f>
        <v/>
      </c>
      <c r="G576" s="26"/>
      <c r="H576" s="2"/>
      <c r="L576" s="21">
        <f t="shared" si="16"/>
        <v>0</v>
      </c>
      <c r="N576" s="21">
        <f t="shared" si="17"/>
        <v>0</v>
      </c>
      <c r="O576" s="2" cm="1">
        <f t="array" ref="O576:Q576">[1]!ConvertFeet(N576)</f>
        <v>0</v>
      </c>
      <c r="P576" s="2">
        <v>0</v>
      </c>
      <c r="Q576" s="2">
        <v>0</v>
      </c>
    </row>
    <row r="577" spans="1:17" x14ac:dyDescent="0.6">
      <c r="A577" s="34">
        <v>577</v>
      </c>
      <c r="D577" s="23" t="str" cm="1">
        <f t="array" ref="D577">IFERROR([1]!CalculateHyphenString(C577),"")</f>
        <v/>
      </c>
      <c r="G577" s="26"/>
      <c r="H577" s="2"/>
      <c r="L577" s="21">
        <f t="shared" si="16"/>
        <v>0</v>
      </c>
      <c r="N577" s="21">
        <f t="shared" si="17"/>
        <v>0</v>
      </c>
      <c r="O577" s="2" cm="1">
        <f t="array" ref="O577:Q577">[1]!ConvertFeet(N577)</f>
        <v>0</v>
      </c>
      <c r="P577" s="2">
        <v>0</v>
      </c>
      <c r="Q577" s="2">
        <v>0</v>
      </c>
    </row>
    <row r="578" spans="1:17" x14ac:dyDescent="0.6">
      <c r="A578" s="35">
        <v>578</v>
      </c>
      <c r="D578" s="23" t="str" cm="1">
        <f t="array" ref="D578">IFERROR([1]!CalculateHyphenString(C578),"")</f>
        <v/>
      </c>
      <c r="G578" s="26"/>
      <c r="H578" s="2"/>
      <c r="L578" s="21">
        <f t="shared" si="16"/>
        <v>0</v>
      </c>
      <c r="N578" s="21">
        <f t="shared" si="17"/>
        <v>0</v>
      </c>
      <c r="O578" s="2" cm="1">
        <f t="array" ref="O578:Q578">[1]!ConvertFeet(N578)</f>
        <v>0</v>
      </c>
      <c r="P578" s="2">
        <v>0</v>
      </c>
      <c r="Q578" s="2">
        <v>0</v>
      </c>
    </row>
    <row r="579" spans="1:17" x14ac:dyDescent="0.6">
      <c r="A579" s="34">
        <v>579</v>
      </c>
      <c r="D579" s="23" t="str" cm="1">
        <f t="array" ref="D579">IFERROR([1]!CalculateHyphenString(C579),"")</f>
        <v/>
      </c>
      <c r="G579" s="26"/>
      <c r="H579" s="2"/>
      <c r="L579" s="21">
        <f t="shared" si="16"/>
        <v>0</v>
      </c>
      <c r="N579" s="21">
        <f t="shared" si="17"/>
        <v>0</v>
      </c>
      <c r="O579" s="2" cm="1">
        <f t="array" ref="O579:Q579">[1]!ConvertFeet(N579)</f>
        <v>0</v>
      </c>
      <c r="P579" s="2">
        <v>0</v>
      </c>
      <c r="Q579" s="2">
        <v>0</v>
      </c>
    </row>
    <row r="580" spans="1:17" x14ac:dyDescent="0.6">
      <c r="A580" s="35">
        <v>580</v>
      </c>
      <c r="D580" s="23" t="str" cm="1">
        <f t="array" ref="D580">IFERROR([1]!CalculateHyphenString(C580),"")</f>
        <v/>
      </c>
      <c r="G580" s="26"/>
      <c r="H580" s="2"/>
      <c r="L580" s="21">
        <f t="shared" si="16"/>
        <v>0</v>
      </c>
      <c r="N580" s="21">
        <f t="shared" si="17"/>
        <v>0</v>
      </c>
      <c r="O580" s="2" cm="1">
        <f t="array" ref="O580:Q580">[1]!ConvertFeet(N580)</f>
        <v>0</v>
      </c>
      <c r="P580" s="2">
        <v>0</v>
      </c>
      <c r="Q580" s="2">
        <v>0</v>
      </c>
    </row>
    <row r="581" spans="1:17" x14ac:dyDescent="0.6">
      <c r="A581" s="34">
        <v>581</v>
      </c>
      <c r="D581" s="23" t="str" cm="1">
        <f t="array" ref="D581">IFERROR([1]!CalculateHyphenString(C581),"")</f>
        <v/>
      </c>
      <c r="G581" s="26"/>
      <c r="H581" s="2"/>
      <c r="L581" s="21">
        <f t="shared" si="16"/>
        <v>0</v>
      </c>
      <c r="N581" s="21">
        <f t="shared" si="17"/>
        <v>0</v>
      </c>
      <c r="O581" s="2" cm="1">
        <f t="array" ref="O581:Q581">[1]!ConvertFeet(N581)</f>
        <v>0</v>
      </c>
      <c r="P581" s="2">
        <v>0</v>
      </c>
      <c r="Q581" s="2">
        <v>0</v>
      </c>
    </row>
    <row r="582" spans="1:17" x14ac:dyDescent="0.6">
      <c r="A582" s="35">
        <v>582</v>
      </c>
      <c r="D582" s="23" t="str" cm="1">
        <f t="array" ref="D582">IFERROR([1]!CalculateHyphenString(C582),"")</f>
        <v/>
      </c>
      <c r="G582" s="26"/>
      <c r="H582" s="2"/>
      <c r="L582" s="21">
        <f t="shared" si="16"/>
        <v>0</v>
      </c>
      <c r="N582" s="21">
        <f t="shared" si="17"/>
        <v>0</v>
      </c>
      <c r="O582" s="2" cm="1">
        <f t="array" ref="O582:Q582">[1]!ConvertFeet(N582)</f>
        <v>0</v>
      </c>
      <c r="P582" s="2">
        <v>0</v>
      </c>
      <c r="Q582" s="2">
        <v>0</v>
      </c>
    </row>
    <row r="583" spans="1:17" x14ac:dyDescent="0.6">
      <c r="A583" s="34">
        <v>583</v>
      </c>
      <c r="D583" s="23" t="str" cm="1">
        <f t="array" ref="D583">IFERROR([1]!CalculateHyphenString(C583),"")</f>
        <v/>
      </c>
      <c r="G583" s="26"/>
      <c r="H583" s="2"/>
      <c r="L583" s="21">
        <f t="shared" ref="L583:L646" si="18">(K583*$G$3)/100</f>
        <v>0</v>
      </c>
      <c r="N583" s="21">
        <f t="shared" ref="N583:N646" si="19">K583-(L583+M583)</f>
        <v>0</v>
      </c>
      <c r="O583" s="2" cm="1">
        <f t="array" ref="O583:Q583">[1]!ConvertFeet(N583)</f>
        <v>0</v>
      </c>
      <c r="P583" s="2">
        <v>0</v>
      </c>
      <c r="Q583" s="2">
        <v>0</v>
      </c>
    </row>
    <row r="584" spans="1:17" x14ac:dyDescent="0.6">
      <c r="A584" s="35">
        <v>584</v>
      </c>
      <c r="D584" s="23" t="str" cm="1">
        <f t="array" ref="D584">IFERROR([1]!CalculateHyphenString(C584),"")</f>
        <v/>
      </c>
      <c r="G584" s="26"/>
      <c r="H584" s="2"/>
      <c r="L584" s="21">
        <f t="shared" si="18"/>
        <v>0</v>
      </c>
      <c r="N584" s="21">
        <f t="shared" si="19"/>
        <v>0</v>
      </c>
      <c r="O584" s="2" cm="1">
        <f t="array" ref="O584:Q584">[1]!ConvertFeet(N584)</f>
        <v>0</v>
      </c>
      <c r="P584" s="2">
        <v>0</v>
      </c>
      <c r="Q584" s="2">
        <v>0</v>
      </c>
    </row>
    <row r="585" spans="1:17" x14ac:dyDescent="0.6">
      <c r="A585" s="34">
        <v>585</v>
      </c>
      <c r="D585" s="23" t="str" cm="1">
        <f t="array" ref="D585">IFERROR([1]!CalculateHyphenString(C585),"")</f>
        <v/>
      </c>
      <c r="G585" s="26"/>
      <c r="H585" s="2"/>
      <c r="L585" s="21">
        <f t="shared" si="18"/>
        <v>0</v>
      </c>
      <c r="N585" s="21">
        <f t="shared" si="19"/>
        <v>0</v>
      </c>
      <c r="O585" s="2" cm="1">
        <f t="array" ref="O585:Q585">[1]!ConvertFeet(N585)</f>
        <v>0</v>
      </c>
      <c r="P585" s="2">
        <v>0</v>
      </c>
      <c r="Q585" s="2">
        <v>0</v>
      </c>
    </row>
    <row r="586" spans="1:17" x14ac:dyDescent="0.6">
      <c r="A586" s="35">
        <v>586</v>
      </c>
      <c r="D586" s="23" t="str" cm="1">
        <f t="array" ref="D586">IFERROR([1]!CalculateHyphenString(C586),"")</f>
        <v/>
      </c>
      <c r="G586" s="26"/>
      <c r="H586" s="2"/>
      <c r="L586" s="21">
        <f t="shared" si="18"/>
        <v>0</v>
      </c>
      <c r="N586" s="21">
        <f t="shared" si="19"/>
        <v>0</v>
      </c>
      <c r="O586" s="2" cm="1">
        <f t="array" ref="O586:Q586">[1]!ConvertFeet(N586)</f>
        <v>0</v>
      </c>
      <c r="P586" s="2">
        <v>0</v>
      </c>
      <c r="Q586" s="2">
        <v>0</v>
      </c>
    </row>
    <row r="587" spans="1:17" x14ac:dyDescent="0.6">
      <c r="A587" s="34">
        <v>587</v>
      </c>
      <c r="D587" s="23" t="str" cm="1">
        <f t="array" ref="D587">IFERROR([1]!CalculateHyphenString(C587),"")</f>
        <v/>
      </c>
      <c r="G587" s="26"/>
      <c r="H587" s="2"/>
      <c r="L587" s="21">
        <f t="shared" si="18"/>
        <v>0</v>
      </c>
      <c r="N587" s="21">
        <f t="shared" si="19"/>
        <v>0</v>
      </c>
      <c r="O587" s="2" cm="1">
        <f t="array" ref="O587:Q587">[1]!ConvertFeet(N587)</f>
        <v>0</v>
      </c>
      <c r="P587" s="2">
        <v>0</v>
      </c>
      <c r="Q587" s="2">
        <v>0</v>
      </c>
    </row>
    <row r="588" spans="1:17" x14ac:dyDescent="0.6">
      <c r="A588" s="35">
        <v>588</v>
      </c>
      <c r="D588" s="23" t="str" cm="1">
        <f t="array" ref="D588">IFERROR([1]!CalculateHyphenString(C588),"")</f>
        <v/>
      </c>
      <c r="G588" s="26"/>
      <c r="H588" s="2"/>
      <c r="L588" s="21">
        <f t="shared" si="18"/>
        <v>0</v>
      </c>
      <c r="N588" s="21">
        <f t="shared" si="19"/>
        <v>0</v>
      </c>
      <c r="O588" s="2" cm="1">
        <f t="array" ref="O588:Q588">[1]!ConvertFeet(N588)</f>
        <v>0</v>
      </c>
      <c r="P588" s="2">
        <v>0</v>
      </c>
      <c r="Q588" s="2">
        <v>0</v>
      </c>
    </row>
    <row r="589" spans="1:17" x14ac:dyDescent="0.6">
      <c r="A589" s="34">
        <v>589</v>
      </c>
      <c r="D589" s="23" t="str" cm="1">
        <f t="array" ref="D589">IFERROR([1]!CalculateHyphenString(C589),"")</f>
        <v/>
      </c>
      <c r="G589" s="26"/>
      <c r="H589" s="2"/>
      <c r="L589" s="21">
        <f t="shared" si="18"/>
        <v>0</v>
      </c>
      <c r="N589" s="21">
        <f t="shared" si="19"/>
        <v>0</v>
      </c>
      <c r="O589" s="2" cm="1">
        <f t="array" ref="O589:Q589">[1]!ConvertFeet(N589)</f>
        <v>0</v>
      </c>
      <c r="P589" s="2">
        <v>0</v>
      </c>
      <c r="Q589" s="2">
        <v>0</v>
      </c>
    </row>
    <row r="590" spans="1:17" x14ac:dyDescent="0.6">
      <c r="A590" s="35">
        <v>590</v>
      </c>
      <c r="D590" s="23" t="str" cm="1">
        <f t="array" ref="D590">IFERROR([1]!CalculateHyphenString(C590),"")</f>
        <v/>
      </c>
      <c r="G590" s="26"/>
      <c r="H590" s="2"/>
      <c r="L590" s="21">
        <f t="shared" si="18"/>
        <v>0</v>
      </c>
      <c r="N590" s="21">
        <f t="shared" si="19"/>
        <v>0</v>
      </c>
      <c r="O590" s="2" cm="1">
        <f t="array" ref="O590:Q590">[1]!ConvertFeet(N590)</f>
        <v>0</v>
      </c>
      <c r="P590" s="2">
        <v>0</v>
      </c>
      <c r="Q590" s="2">
        <v>0</v>
      </c>
    </row>
    <row r="591" spans="1:17" x14ac:dyDescent="0.6">
      <c r="A591" s="34">
        <v>591</v>
      </c>
      <c r="D591" s="23" t="str" cm="1">
        <f t="array" ref="D591">IFERROR([1]!CalculateHyphenString(C591),"")</f>
        <v/>
      </c>
      <c r="G591" s="26"/>
      <c r="H591" s="2"/>
      <c r="L591" s="21">
        <f t="shared" si="18"/>
        <v>0</v>
      </c>
      <c r="N591" s="21">
        <f t="shared" si="19"/>
        <v>0</v>
      </c>
      <c r="O591" s="2" cm="1">
        <f t="array" ref="O591:Q591">[1]!ConvertFeet(N591)</f>
        <v>0</v>
      </c>
      <c r="P591" s="2">
        <v>0</v>
      </c>
      <c r="Q591" s="2">
        <v>0</v>
      </c>
    </row>
    <row r="592" spans="1:17" x14ac:dyDescent="0.6">
      <c r="A592" s="35">
        <v>592</v>
      </c>
      <c r="D592" s="23" t="str" cm="1">
        <f t="array" ref="D592">IFERROR([1]!CalculateHyphenString(C592),"")</f>
        <v/>
      </c>
      <c r="G592" s="26"/>
      <c r="H592" s="2"/>
      <c r="L592" s="21">
        <f t="shared" si="18"/>
        <v>0</v>
      </c>
      <c r="N592" s="21">
        <f t="shared" si="19"/>
        <v>0</v>
      </c>
      <c r="O592" s="2" cm="1">
        <f t="array" ref="O592:Q592">[1]!ConvertFeet(N592)</f>
        <v>0</v>
      </c>
      <c r="P592" s="2">
        <v>0</v>
      </c>
      <c r="Q592" s="2">
        <v>0</v>
      </c>
    </row>
    <row r="593" spans="1:17" x14ac:dyDescent="0.6">
      <c r="A593" s="34">
        <v>593</v>
      </c>
      <c r="D593" s="23" t="str" cm="1">
        <f t="array" ref="D593">IFERROR([1]!CalculateHyphenString(C593),"")</f>
        <v/>
      </c>
      <c r="G593" s="26"/>
      <c r="H593" s="2"/>
      <c r="L593" s="21">
        <f t="shared" si="18"/>
        <v>0</v>
      </c>
      <c r="N593" s="21">
        <f t="shared" si="19"/>
        <v>0</v>
      </c>
      <c r="O593" s="2" cm="1">
        <f t="array" ref="O593:Q593">[1]!ConvertFeet(N593)</f>
        <v>0</v>
      </c>
      <c r="P593" s="2">
        <v>0</v>
      </c>
      <c r="Q593" s="2">
        <v>0</v>
      </c>
    </row>
    <row r="594" spans="1:17" x14ac:dyDescent="0.6">
      <c r="A594" s="35">
        <v>594</v>
      </c>
      <c r="D594" s="23" t="str" cm="1">
        <f t="array" ref="D594">IFERROR([1]!CalculateHyphenString(C594),"")</f>
        <v/>
      </c>
      <c r="G594" s="26"/>
      <c r="H594" s="2"/>
      <c r="L594" s="21">
        <f t="shared" si="18"/>
        <v>0</v>
      </c>
      <c r="N594" s="21">
        <f t="shared" si="19"/>
        <v>0</v>
      </c>
      <c r="O594" s="2" cm="1">
        <f t="array" ref="O594:Q594">[1]!ConvertFeet(N594)</f>
        <v>0</v>
      </c>
      <c r="P594" s="2">
        <v>0</v>
      </c>
      <c r="Q594" s="2">
        <v>0</v>
      </c>
    </row>
    <row r="595" spans="1:17" x14ac:dyDescent="0.6">
      <c r="A595" s="34">
        <v>595</v>
      </c>
      <c r="D595" s="23" t="str" cm="1">
        <f t="array" ref="D595">IFERROR([1]!CalculateHyphenString(C595),"")</f>
        <v/>
      </c>
      <c r="G595" s="26"/>
      <c r="H595" s="2"/>
      <c r="L595" s="21">
        <f t="shared" si="18"/>
        <v>0</v>
      </c>
      <c r="N595" s="21">
        <f t="shared" si="19"/>
        <v>0</v>
      </c>
      <c r="O595" s="2" cm="1">
        <f t="array" ref="O595:Q595">[1]!ConvertFeet(N595)</f>
        <v>0</v>
      </c>
      <c r="P595" s="2">
        <v>0</v>
      </c>
      <c r="Q595" s="2">
        <v>0</v>
      </c>
    </row>
    <row r="596" spans="1:17" x14ac:dyDescent="0.6">
      <c r="A596" s="35">
        <v>596</v>
      </c>
      <c r="D596" s="23" t="str" cm="1">
        <f t="array" ref="D596">IFERROR([1]!CalculateHyphenString(C596),"")</f>
        <v/>
      </c>
      <c r="G596" s="26"/>
      <c r="H596" s="2"/>
      <c r="L596" s="21">
        <f t="shared" si="18"/>
        <v>0</v>
      </c>
      <c r="N596" s="21">
        <f t="shared" si="19"/>
        <v>0</v>
      </c>
      <c r="O596" s="2" cm="1">
        <f t="array" ref="O596:Q596">[1]!ConvertFeet(N596)</f>
        <v>0</v>
      </c>
      <c r="P596" s="2">
        <v>0</v>
      </c>
      <c r="Q596" s="2">
        <v>0</v>
      </c>
    </row>
    <row r="597" spans="1:17" x14ac:dyDescent="0.6">
      <c r="A597" s="34">
        <v>597</v>
      </c>
      <c r="D597" s="23" t="str" cm="1">
        <f t="array" ref="D597">IFERROR([1]!CalculateHyphenString(C597),"")</f>
        <v/>
      </c>
      <c r="G597" s="26"/>
      <c r="H597" s="2"/>
      <c r="L597" s="21">
        <f t="shared" si="18"/>
        <v>0</v>
      </c>
      <c r="N597" s="21">
        <f t="shared" si="19"/>
        <v>0</v>
      </c>
      <c r="O597" s="2" cm="1">
        <f t="array" ref="O597:Q597">[1]!ConvertFeet(N597)</f>
        <v>0</v>
      </c>
      <c r="P597" s="2">
        <v>0</v>
      </c>
      <c r="Q597" s="2">
        <v>0</v>
      </c>
    </row>
    <row r="598" spans="1:17" x14ac:dyDescent="0.6">
      <c r="A598" s="35">
        <v>598</v>
      </c>
      <c r="D598" s="23" t="str" cm="1">
        <f t="array" ref="D598">IFERROR([1]!CalculateHyphenString(C598),"")</f>
        <v/>
      </c>
      <c r="G598" s="26"/>
      <c r="H598" s="2"/>
      <c r="L598" s="21">
        <f t="shared" si="18"/>
        <v>0</v>
      </c>
      <c r="N598" s="21">
        <f t="shared" si="19"/>
        <v>0</v>
      </c>
      <c r="O598" s="2" cm="1">
        <f t="array" ref="O598:Q598">[1]!ConvertFeet(N598)</f>
        <v>0</v>
      </c>
      <c r="P598" s="2">
        <v>0</v>
      </c>
      <c r="Q598" s="2">
        <v>0</v>
      </c>
    </row>
    <row r="599" spans="1:17" x14ac:dyDescent="0.6">
      <c r="A599" s="34">
        <v>599</v>
      </c>
      <c r="D599" s="23" t="str" cm="1">
        <f t="array" ref="D599">IFERROR([1]!CalculateHyphenString(C599),"")</f>
        <v/>
      </c>
      <c r="G599" s="26"/>
      <c r="H599" s="2"/>
      <c r="L599" s="21">
        <f t="shared" si="18"/>
        <v>0</v>
      </c>
      <c r="N599" s="21">
        <f t="shared" si="19"/>
        <v>0</v>
      </c>
      <c r="O599" s="2" cm="1">
        <f t="array" ref="O599:Q599">[1]!ConvertFeet(N599)</f>
        <v>0</v>
      </c>
      <c r="P599" s="2">
        <v>0</v>
      </c>
      <c r="Q599" s="2">
        <v>0</v>
      </c>
    </row>
    <row r="600" spans="1:17" x14ac:dyDescent="0.6">
      <c r="A600" s="35">
        <v>600</v>
      </c>
      <c r="D600" s="23" t="str" cm="1">
        <f t="array" ref="D600">IFERROR([1]!CalculateHyphenString(C600),"")</f>
        <v/>
      </c>
      <c r="G600" s="26"/>
      <c r="H600" s="2"/>
      <c r="L600" s="21">
        <f t="shared" si="18"/>
        <v>0</v>
      </c>
      <c r="N600" s="21">
        <f t="shared" si="19"/>
        <v>0</v>
      </c>
      <c r="O600" s="2" cm="1">
        <f t="array" ref="O600:Q600">[1]!ConvertFeet(N600)</f>
        <v>0</v>
      </c>
      <c r="P600" s="2">
        <v>0</v>
      </c>
      <c r="Q600" s="2">
        <v>0</v>
      </c>
    </row>
    <row r="601" spans="1:17" x14ac:dyDescent="0.6">
      <c r="A601" s="34">
        <v>601</v>
      </c>
      <c r="D601" s="23" t="str" cm="1">
        <f t="array" ref="D601">IFERROR([1]!CalculateHyphenString(C601),"")</f>
        <v/>
      </c>
      <c r="G601" s="26"/>
      <c r="H601" s="2"/>
      <c r="L601" s="21">
        <f t="shared" si="18"/>
        <v>0</v>
      </c>
      <c r="N601" s="21">
        <f t="shared" si="19"/>
        <v>0</v>
      </c>
      <c r="O601" s="2" cm="1">
        <f t="array" ref="O601:Q601">[1]!ConvertFeet(N601)</f>
        <v>0</v>
      </c>
      <c r="P601" s="2">
        <v>0</v>
      </c>
      <c r="Q601" s="2">
        <v>0</v>
      </c>
    </row>
    <row r="602" spans="1:17" x14ac:dyDescent="0.6">
      <c r="A602" s="35">
        <v>602</v>
      </c>
      <c r="D602" s="23" t="str" cm="1">
        <f t="array" ref="D602">IFERROR([1]!CalculateHyphenString(C602),"")</f>
        <v/>
      </c>
      <c r="G602" s="26"/>
      <c r="H602" s="2"/>
      <c r="L602" s="21">
        <f t="shared" si="18"/>
        <v>0</v>
      </c>
      <c r="N602" s="21">
        <f t="shared" si="19"/>
        <v>0</v>
      </c>
      <c r="O602" s="2" cm="1">
        <f t="array" ref="O602:Q602">[1]!ConvertFeet(N602)</f>
        <v>0</v>
      </c>
      <c r="P602" s="2">
        <v>0</v>
      </c>
      <c r="Q602" s="2">
        <v>0</v>
      </c>
    </row>
    <row r="603" spans="1:17" x14ac:dyDescent="0.6">
      <c r="A603" s="34">
        <v>603</v>
      </c>
      <c r="D603" s="23" t="str" cm="1">
        <f t="array" ref="D603">IFERROR([1]!CalculateHyphenString(C603),"")</f>
        <v/>
      </c>
      <c r="G603" s="26"/>
      <c r="H603" s="2"/>
      <c r="L603" s="21">
        <f t="shared" si="18"/>
        <v>0</v>
      </c>
      <c r="N603" s="21">
        <f t="shared" si="19"/>
        <v>0</v>
      </c>
      <c r="O603" s="2" cm="1">
        <f t="array" ref="O603:Q603">[1]!ConvertFeet(N603)</f>
        <v>0</v>
      </c>
      <c r="P603" s="2">
        <v>0</v>
      </c>
      <c r="Q603" s="2">
        <v>0</v>
      </c>
    </row>
    <row r="604" spans="1:17" x14ac:dyDescent="0.6">
      <c r="A604" s="35">
        <v>604</v>
      </c>
      <c r="D604" s="23" t="str" cm="1">
        <f t="array" ref="D604">IFERROR([1]!CalculateHyphenString(C604),"")</f>
        <v/>
      </c>
      <c r="G604" s="26"/>
      <c r="H604" s="2"/>
      <c r="L604" s="21">
        <f t="shared" si="18"/>
        <v>0</v>
      </c>
      <c r="N604" s="21">
        <f t="shared" si="19"/>
        <v>0</v>
      </c>
      <c r="O604" s="2" cm="1">
        <f t="array" ref="O604:Q604">[1]!ConvertFeet(N604)</f>
        <v>0</v>
      </c>
      <c r="P604" s="2">
        <v>0</v>
      </c>
      <c r="Q604" s="2">
        <v>0</v>
      </c>
    </row>
    <row r="605" spans="1:17" x14ac:dyDescent="0.6">
      <c r="A605" s="34">
        <v>605</v>
      </c>
      <c r="D605" s="23" t="str" cm="1">
        <f t="array" ref="D605">IFERROR([1]!CalculateHyphenString(C605),"")</f>
        <v/>
      </c>
      <c r="G605" s="26"/>
      <c r="H605" s="2"/>
      <c r="L605" s="21">
        <f t="shared" si="18"/>
        <v>0</v>
      </c>
      <c r="N605" s="21">
        <f t="shared" si="19"/>
        <v>0</v>
      </c>
      <c r="O605" s="2" cm="1">
        <f t="array" ref="O605:Q605">[1]!ConvertFeet(N605)</f>
        <v>0</v>
      </c>
      <c r="P605" s="2">
        <v>0</v>
      </c>
      <c r="Q605" s="2">
        <v>0</v>
      </c>
    </row>
    <row r="606" spans="1:17" x14ac:dyDescent="0.6">
      <c r="A606" s="35">
        <v>606</v>
      </c>
      <c r="D606" s="23" t="str" cm="1">
        <f t="array" ref="D606">IFERROR([1]!CalculateHyphenString(C606),"")</f>
        <v/>
      </c>
      <c r="G606" s="26"/>
      <c r="H606" s="2"/>
      <c r="L606" s="21">
        <f t="shared" si="18"/>
        <v>0</v>
      </c>
      <c r="N606" s="21">
        <f t="shared" si="19"/>
        <v>0</v>
      </c>
      <c r="O606" s="2" cm="1">
        <f t="array" ref="O606:Q606">[1]!ConvertFeet(N606)</f>
        <v>0</v>
      </c>
      <c r="P606" s="2">
        <v>0</v>
      </c>
      <c r="Q606" s="2">
        <v>0</v>
      </c>
    </row>
    <row r="607" spans="1:17" x14ac:dyDescent="0.6">
      <c r="A607" s="34">
        <v>607</v>
      </c>
      <c r="D607" s="23" t="str" cm="1">
        <f t="array" ref="D607">IFERROR([1]!CalculateHyphenString(C607),"")</f>
        <v/>
      </c>
      <c r="G607" s="26"/>
      <c r="H607" s="2"/>
      <c r="L607" s="21">
        <f t="shared" si="18"/>
        <v>0</v>
      </c>
      <c r="N607" s="21">
        <f t="shared" si="19"/>
        <v>0</v>
      </c>
      <c r="O607" s="2" cm="1">
        <f t="array" ref="O607:Q607">[1]!ConvertFeet(N607)</f>
        <v>0</v>
      </c>
      <c r="P607" s="2">
        <v>0</v>
      </c>
      <c r="Q607" s="2">
        <v>0</v>
      </c>
    </row>
    <row r="608" spans="1:17" x14ac:dyDescent="0.6">
      <c r="A608" s="35">
        <v>608</v>
      </c>
      <c r="D608" s="23" t="str" cm="1">
        <f t="array" ref="D608">IFERROR([1]!CalculateHyphenString(C608),"")</f>
        <v/>
      </c>
      <c r="G608" s="26"/>
      <c r="H608" s="2"/>
      <c r="L608" s="21">
        <f t="shared" si="18"/>
        <v>0</v>
      </c>
      <c r="N608" s="21">
        <f t="shared" si="19"/>
        <v>0</v>
      </c>
      <c r="O608" s="2" cm="1">
        <f t="array" ref="O608:Q608">[1]!ConvertFeet(N608)</f>
        <v>0</v>
      </c>
      <c r="P608" s="2">
        <v>0</v>
      </c>
      <c r="Q608" s="2">
        <v>0</v>
      </c>
    </row>
    <row r="609" spans="1:17" x14ac:dyDescent="0.6">
      <c r="A609" s="34">
        <v>609</v>
      </c>
      <c r="D609" s="23" t="str" cm="1">
        <f t="array" ref="D609">IFERROR([1]!CalculateHyphenString(C609),"")</f>
        <v/>
      </c>
      <c r="G609" s="26"/>
      <c r="H609" s="2"/>
      <c r="L609" s="21">
        <f t="shared" si="18"/>
        <v>0</v>
      </c>
      <c r="N609" s="21">
        <f t="shared" si="19"/>
        <v>0</v>
      </c>
      <c r="O609" s="2" cm="1">
        <f t="array" ref="O609:Q609">[1]!ConvertFeet(N609)</f>
        <v>0</v>
      </c>
      <c r="P609" s="2">
        <v>0</v>
      </c>
      <c r="Q609" s="2">
        <v>0</v>
      </c>
    </row>
    <row r="610" spans="1:17" x14ac:dyDescent="0.6">
      <c r="A610" s="35">
        <v>610</v>
      </c>
      <c r="D610" s="23" t="str" cm="1">
        <f t="array" ref="D610">IFERROR([1]!CalculateHyphenString(C610),"")</f>
        <v/>
      </c>
      <c r="G610" s="26"/>
      <c r="H610" s="2"/>
      <c r="L610" s="21">
        <f t="shared" si="18"/>
        <v>0</v>
      </c>
      <c r="N610" s="21">
        <f t="shared" si="19"/>
        <v>0</v>
      </c>
      <c r="O610" s="2" cm="1">
        <f t="array" ref="O610:Q610">[1]!ConvertFeet(N610)</f>
        <v>0</v>
      </c>
      <c r="P610" s="2">
        <v>0</v>
      </c>
      <c r="Q610" s="2">
        <v>0</v>
      </c>
    </row>
    <row r="611" spans="1:17" x14ac:dyDescent="0.6">
      <c r="A611" s="34">
        <v>611</v>
      </c>
      <c r="D611" s="23" t="str" cm="1">
        <f t="array" ref="D611">IFERROR([1]!CalculateHyphenString(C611),"")</f>
        <v/>
      </c>
      <c r="G611" s="26"/>
      <c r="H611" s="2"/>
      <c r="L611" s="21">
        <f t="shared" si="18"/>
        <v>0</v>
      </c>
      <c r="N611" s="21">
        <f t="shared" si="19"/>
        <v>0</v>
      </c>
      <c r="O611" s="2" cm="1">
        <f t="array" ref="O611:Q611">[1]!ConvertFeet(N611)</f>
        <v>0</v>
      </c>
      <c r="P611" s="2">
        <v>0</v>
      </c>
      <c r="Q611" s="2">
        <v>0</v>
      </c>
    </row>
    <row r="612" spans="1:17" x14ac:dyDescent="0.6">
      <c r="A612" s="35">
        <v>612</v>
      </c>
      <c r="D612" s="23" t="str" cm="1">
        <f t="array" ref="D612">IFERROR([1]!CalculateHyphenString(C612),"")</f>
        <v/>
      </c>
      <c r="G612" s="26"/>
      <c r="H612" s="2"/>
      <c r="L612" s="21">
        <f t="shared" si="18"/>
        <v>0</v>
      </c>
      <c r="N612" s="21">
        <f t="shared" si="19"/>
        <v>0</v>
      </c>
      <c r="O612" s="2" cm="1">
        <f t="array" ref="O612:Q612">[1]!ConvertFeet(N612)</f>
        <v>0</v>
      </c>
      <c r="P612" s="2">
        <v>0</v>
      </c>
      <c r="Q612" s="2">
        <v>0</v>
      </c>
    </row>
    <row r="613" spans="1:17" x14ac:dyDescent="0.6">
      <c r="A613" s="34">
        <v>613</v>
      </c>
      <c r="D613" s="23" t="str" cm="1">
        <f t="array" ref="D613">IFERROR([1]!CalculateHyphenString(C613),"")</f>
        <v/>
      </c>
      <c r="G613" s="26"/>
      <c r="H613" s="2"/>
      <c r="L613" s="21">
        <f t="shared" si="18"/>
        <v>0</v>
      </c>
      <c r="N613" s="21">
        <f t="shared" si="19"/>
        <v>0</v>
      </c>
      <c r="O613" s="2" cm="1">
        <f t="array" ref="O613:Q613">[1]!ConvertFeet(N613)</f>
        <v>0</v>
      </c>
      <c r="P613" s="2">
        <v>0</v>
      </c>
      <c r="Q613" s="2">
        <v>0</v>
      </c>
    </row>
    <row r="614" spans="1:17" x14ac:dyDescent="0.6">
      <c r="A614" s="35">
        <v>614</v>
      </c>
      <c r="D614" s="23" t="str" cm="1">
        <f t="array" ref="D614">IFERROR([1]!CalculateHyphenString(C614),"")</f>
        <v/>
      </c>
      <c r="G614" s="26"/>
      <c r="H614" s="2"/>
      <c r="L614" s="21">
        <f t="shared" si="18"/>
        <v>0</v>
      </c>
      <c r="N614" s="21">
        <f t="shared" si="19"/>
        <v>0</v>
      </c>
      <c r="O614" s="2" cm="1">
        <f t="array" ref="O614:Q614">[1]!ConvertFeet(N614)</f>
        <v>0</v>
      </c>
      <c r="P614" s="2">
        <v>0</v>
      </c>
      <c r="Q614" s="2">
        <v>0</v>
      </c>
    </row>
    <row r="615" spans="1:17" x14ac:dyDescent="0.6">
      <c r="A615" s="34">
        <v>615</v>
      </c>
      <c r="D615" s="23" t="str" cm="1">
        <f t="array" ref="D615">IFERROR([1]!CalculateHyphenString(C615),"")</f>
        <v/>
      </c>
      <c r="G615" s="26"/>
      <c r="H615" s="2"/>
      <c r="L615" s="21">
        <f t="shared" si="18"/>
        <v>0</v>
      </c>
      <c r="N615" s="21">
        <f t="shared" si="19"/>
        <v>0</v>
      </c>
      <c r="O615" s="2" cm="1">
        <f t="array" ref="O615:Q615">[1]!ConvertFeet(N615)</f>
        <v>0</v>
      </c>
      <c r="P615" s="2">
        <v>0</v>
      </c>
      <c r="Q615" s="2">
        <v>0</v>
      </c>
    </row>
    <row r="616" spans="1:17" x14ac:dyDescent="0.6">
      <c r="A616" s="35">
        <v>616</v>
      </c>
      <c r="D616" s="23" t="str" cm="1">
        <f t="array" ref="D616">IFERROR([1]!CalculateHyphenString(C616),"")</f>
        <v/>
      </c>
      <c r="G616" s="26"/>
      <c r="H616" s="2"/>
      <c r="L616" s="21">
        <f t="shared" si="18"/>
        <v>0</v>
      </c>
      <c r="N616" s="21">
        <f t="shared" si="19"/>
        <v>0</v>
      </c>
      <c r="O616" s="2" cm="1">
        <f t="array" ref="O616:Q616">[1]!ConvertFeet(N616)</f>
        <v>0</v>
      </c>
      <c r="P616" s="2">
        <v>0</v>
      </c>
      <c r="Q616" s="2">
        <v>0</v>
      </c>
    </row>
    <row r="617" spans="1:17" x14ac:dyDescent="0.6">
      <c r="A617" s="34">
        <v>617</v>
      </c>
      <c r="D617" s="23" t="str" cm="1">
        <f t="array" ref="D617">IFERROR([1]!CalculateHyphenString(C617),"")</f>
        <v/>
      </c>
      <c r="G617" s="26"/>
      <c r="H617" s="2"/>
      <c r="L617" s="21">
        <f t="shared" si="18"/>
        <v>0</v>
      </c>
      <c r="N617" s="21">
        <f t="shared" si="19"/>
        <v>0</v>
      </c>
      <c r="O617" s="2" cm="1">
        <f t="array" ref="O617:Q617">[1]!ConvertFeet(N617)</f>
        <v>0</v>
      </c>
      <c r="P617" s="2">
        <v>0</v>
      </c>
      <c r="Q617" s="2">
        <v>0</v>
      </c>
    </row>
    <row r="618" spans="1:17" x14ac:dyDescent="0.6">
      <c r="A618" s="35">
        <v>618</v>
      </c>
      <c r="D618" s="23" t="str" cm="1">
        <f t="array" ref="D618">IFERROR([1]!CalculateHyphenString(C618),"")</f>
        <v/>
      </c>
      <c r="G618" s="26"/>
      <c r="H618" s="2"/>
      <c r="L618" s="21">
        <f t="shared" si="18"/>
        <v>0</v>
      </c>
      <c r="N618" s="21">
        <f t="shared" si="19"/>
        <v>0</v>
      </c>
      <c r="O618" s="2" cm="1">
        <f t="array" ref="O618:Q618">[1]!ConvertFeet(N618)</f>
        <v>0</v>
      </c>
      <c r="P618" s="2">
        <v>0</v>
      </c>
      <c r="Q618" s="2">
        <v>0</v>
      </c>
    </row>
    <row r="619" spans="1:17" x14ac:dyDescent="0.6">
      <c r="A619" s="34">
        <v>619</v>
      </c>
      <c r="D619" s="23" t="str" cm="1">
        <f t="array" ref="D619">IFERROR([1]!CalculateHyphenString(C619),"")</f>
        <v/>
      </c>
      <c r="G619" s="26"/>
      <c r="H619" s="2"/>
      <c r="L619" s="21">
        <f t="shared" si="18"/>
        <v>0</v>
      </c>
      <c r="N619" s="21">
        <f t="shared" si="19"/>
        <v>0</v>
      </c>
      <c r="O619" s="2" cm="1">
        <f t="array" ref="O619:Q619">[1]!ConvertFeet(N619)</f>
        <v>0</v>
      </c>
      <c r="P619" s="2">
        <v>0</v>
      </c>
      <c r="Q619" s="2">
        <v>0</v>
      </c>
    </row>
    <row r="620" spans="1:17" x14ac:dyDescent="0.6">
      <c r="A620" s="35">
        <v>620</v>
      </c>
      <c r="D620" s="23" t="str" cm="1">
        <f t="array" ref="D620">IFERROR([1]!CalculateHyphenString(C620),"")</f>
        <v/>
      </c>
      <c r="G620" s="26"/>
      <c r="H620" s="2"/>
      <c r="L620" s="21">
        <f t="shared" si="18"/>
        <v>0</v>
      </c>
      <c r="N620" s="21">
        <f t="shared" si="19"/>
        <v>0</v>
      </c>
      <c r="O620" s="2" cm="1">
        <f t="array" ref="O620:Q620">[1]!ConvertFeet(N620)</f>
        <v>0</v>
      </c>
      <c r="P620" s="2">
        <v>0</v>
      </c>
      <c r="Q620" s="2">
        <v>0</v>
      </c>
    </row>
    <row r="621" spans="1:17" x14ac:dyDescent="0.6">
      <c r="A621" s="34">
        <v>621</v>
      </c>
      <c r="D621" s="23" t="str" cm="1">
        <f t="array" ref="D621">IFERROR([1]!CalculateHyphenString(C621),"")</f>
        <v/>
      </c>
      <c r="G621" s="26"/>
      <c r="H621" s="2"/>
      <c r="L621" s="21">
        <f t="shared" si="18"/>
        <v>0</v>
      </c>
      <c r="N621" s="21">
        <f t="shared" si="19"/>
        <v>0</v>
      </c>
      <c r="O621" s="2" cm="1">
        <f t="array" ref="O621:Q621">[1]!ConvertFeet(N621)</f>
        <v>0</v>
      </c>
      <c r="P621" s="2">
        <v>0</v>
      </c>
      <c r="Q621" s="2">
        <v>0</v>
      </c>
    </row>
    <row r="622" spans="1:17" x14ac:dyDescent="0.6">
      <c r="A622" s="35">
        <v>622</v>
      </c>
      <c r="D622" s="23" t="str" cm="1">
        <f t="array" ref="D622">IFERROR([1]!CalculateHyphenString(C622),"")</f>
        <v/>
      </c>
      <c r="G622" s="26"/>
      <c r="H622" s="2"/>
      <c r="L622" s="21">
        <f t="shared" si="18"/>
        <v>0</v>
      </c>
      <c r="N622" s="21">
        <f t="shared" si="19"/>
        <v>0</v>
      </c>
      <c r="O622" s="2" cm="1">
        <f t="array" ref="O622:Q622">[1]!ConvertFeet(N622)</f>
        <v>0</v>
      </c>
      <c r="P622" s="2">
        <v>0</v>
      </c>
      <c r="Q622" s="2">
        <v>0</v>
      </c>
    </row>
    <row r="623" spans="1:17" x14ac:dyDescent="0.6">
      <c r="A623" s="34">
        <v>623</v>
      </c>
      <c r="D623" s="23" t="str" cm="1">
        <f t="array" ref="D623">IFERROR([1]!CalculateHyphenString(C623),"")</f>
        <v/>
      </c>
      <c r="G623" s="26"/>
      <c r="H623" s="2"/>
      <c r="L623" s="21">
        <f t="shared" si="18"/>
        <v>0</v>
      </c>
      <c r="N623" s="21">
        <f t="shared" si="19"/>
        <v>0</v>
      </c>
      <c r="O623" s="2" cm="1">
        <f t="array" ref="O623:Q623">[1]!ConvertFeet(N623)</f>
        <v>0</v>
      </c>
      <c r="P623" s="2">
        <v>0</v>
      </c>
      <c r="Q623" s="2">
        <v>0</v>
      </c>
    </row>
    <row r="624" spans="1:17" x14ac:dyDescent="0.6">
      <c r="A624" s="35">
        <v>624</v>
      </c>
      <c r="D624" s="23" t="str" cm="1">
        <f t="array" ref="D624">IFERROR([1]!CalculateHyphenString(C624),"")</f>
        <v/>
      </c>
      <c r="G624" s="26"/>
      <c r="H624" s="2"/>
      <c r="L624" s="21">
        <f t="shared" si="18"/>
        <v>0</v>
      </c>
      <c r="N624" s="21">
        <f t="shared" si="19"/>
        <v>0</v>
      </c>
      <c r="O624" s="2" cm="1">
        <f t="array" ref="O624:Q624">[1]!ConvertFeet(N624)</f>
        <v>0</v>
      </c>
      <c r="P624" s="2">
        <v>0</v>
      </c>
      <c r="Q624" s="2">
        <v>0</v>
      </c>
    </row>
    <row r="625" spans="1:17" x14ac:dyDescent="0.6">
      <c r="A625" s="34">
        <v>625</v>
      </c>
      <c r="D625" s="23" t="str" cm="1">
        <f t="array" ref="D625">IFERROR([1]!CalculateHyphenString(C625),"")</f>
        <v/>
      </c>
      <c r="G625" s="26"/>
      <c r="H625" s="2"/>
      <c r="L625" s="21">
        <f t="shared" si="18"/>
        <v>0</v>
      </c>
      <c r="N625" s="21">
        <f t="shared" si="19"/>
        <v>0</v>
      </c>
      <c r="O625" s="2" cm="1">
        <f t="array" ref="O625:Q625">[1]!ConvertFeet(N625)</f>
        <v>0</v>
      </c>
      <c r="P625" s="2">
        <v>0</v>
      </c>
      <c r="Q625" s="2">
        <v>0</v>
      </c>
    </row>
    <row r="626" spans="1:17" x14ac:dyDescent="0.6">
      <c r="A626" s="35">
        <v>626</v>
      </c>
      <c r="D626" s="23" t="str" cm="1">
        <f t="array" ref="D626">IFERROR([1]!CalculateHyphenString(C626),"")</f>
        <v/>
      </c>
      <c r="G626" s="26"/>
      <c r="H626" s="2"/>
      <c r="L626" s="21">
        <f t="shared" si="18"/>
        <v>0</v>
      </c>
      <c r="N626" s="21">
        <f t="shared" si="19"/>
        <v>0</v>
      </c>
      <c r="O626" s="2" cm="1">
        <f t="array" ref="O626:Q626">[1]!ConvertFeet(N626)</f>
        <v>0</v>
      </c>
      <c r="P626" s="2">
        <v>0</v>
      </c>
      <c r="Q626" s="2">
        <v>0</v>
      </c>
    </row>
    <row r="627" spans="1:17" x14ac:dyDescent="0.6">
      <c r="A627" s="34">
        <v>627</v>
      </c>
      <c r="D627" s="23" t="str" cm="1">
        <f t="array" ref="D627">IFERROR([1]!CalculateHyphenString(C627),"")</f>
        <v/>
      </c>
      <c r="G627" s="26"/>
      <c r="H627" s="2"/>
      <c r="L627" s="21">
        <f t="shared" si="18"/>
        <v>0</v>
      </c>
      <c r="N627" s="21">
        <f t="shared" si="19"/>
        <v>0</v>
      </c>
      <c r="O627" s="2" cm="1">
        <f t="array" ref="O627:Q627">[1]!ConvertFeet(N627)</f>
        <v>0</v>
      </c>
      <c r="P627" s="2">
        <v>0</v>
      </c>
      <c r="Q627" s="2">
        <v>0</v>
      </c>
    </row>
    <row r="628" spans="1:17" x14ac:dyDescent="0.6">
      <c r="A628" s="35">
        <v>628</v>
      </c>
      <c r="D628" s="23" t="str" cm="1">
        <f t="array" ref="D628">IFERROR([1]!CalculateHyphenString(C628),"")</f>
        <v/>
      </c>
      <c r="G628" s="26"/>
      <c r="H628" s="2"/>
      <c r="L628" s="21">
        <f t="shared" si="18"/>
        <v>0</v>
      </c>
      <c r="N628" s="21">
        <f t="shared" si="19"/>
        <v>0</v>
      </c>
      <c r="O628" s="2" cm="1">
        <f t="array" ref="O628:Q628">[1]!ConvertFeet(N628)</f>
        <v>0</v>
      </c>
      <c r="P628" s="2">
        <v>0</v>
      </c>
      <c r="Q628" s="2">
        <v>0</v>
      </c>
    </row>
    <row r="629" spans="1:17" x14ac:dyDescent="0.6">
      <c r="A629" s="34">
        <v>629</v>
      </c>
      <c r="D629" s="23" t="str" cm="1">
        <f t="array" ref="D629">IFERROR([1]!CalculateHyphenString(C629),"")</f>
        <v/>
      </c>
      <c r="G629" s="26"/>
      <c r="H629" s="2"/>
      <c r="L629" s="21">
        <f t="shared" si="18"/>
        <v>0</v>
      </c>
      <c r="N629" s="21">
        <f t="shared" si="19"/>
        <v>0</v>
      </c>
      <c r="O629" s="2" cm="1">
        <f t="array" ref="O629:Q629">[1]!ConvertFeet(N629)</f>
        <v>0</v>
      </c>
      <c r="P629" s="2">
        <v>0</v>
      </c>
      <c r="Q629" s="2">
        <v>0</v>
      </c>
    </row>
    <row r="630" spans="1:17" x14ac:dyDescent="0.6">
      <c r="A630" s="35">
        <v>630</v>
      </c>
      <c r="D630" s="23" t="str" cm="1">
        <f t="array" ref="D630">IFERROR([1]!CalculateHyphenString(C630),"")</f>
        <v/>
      </c>
      <c r="G630" s="26"/>
      <c r="H630" s="2"/>
      <c r="L630" s="21">
        <f t="shared" si="18"/>
        <v>0</v>
      </c>
      <c r="N630" s="21">
        <f t="shared" si="19"/>
        <v>0</v>
      </c>
      <c r="O630" s="2" cm="1">
        <f t="array" ref="O630:Q630">[1]!ConvertFeet(N630)</f>
        <v>0</v>
      </c>
      <c r="P630" s="2">
        <v>0</v>
      </c>
      <c r="Q630" s="2">
        <v>0</v>
      </c>
    </row>
    <row r="631" spans="1:17" x14ac:dyDescent="0.6">
      <c r="A631" s="34">
        <v>631</v>
      </c>
      <c r="D631" s="23" t="str" cm="1">
        <f t="array" ref="D631">IFERROR([1]!CalculateHyphenString(C631),"")</f>
        <v/>
      </c>
      <c r="G631" s="26"/>
      <c r="H631" s="2"/>
      <c r="L631" s="21">
        <f t="shared" si="18"/>
        <v>0</v>
      </c>
      <c r="N631" s="21">
        <f t="shared" si="19"/>
        <v>0</v>
      </c>
      <c r="O631" s="2" cm="1">
        <f t="array" ref="O631:Q631">[1]!ConvertFeet(N631)</f>
        <v>0</v>
      </c>
      <c r="P631" s="2">
        <v>0</v>
      </c>
      <c r="Q631" s="2">
        <v>0</v>
      </c>
    </row>
    <row r="632" spans="1:17" x14ac:dyDescent="0.6">
      <c r="A632" s="35">
        <v>632</v>
      </c>
      <c r="D632" s="23" t="str" cm="1">
        <f t="array" ref="D632">IFERROR([1]!CalculateHyphenString(C632),"")</f>
        <v/>
      </c>
      <c r="G632" s="26"/>
      <c r="H632" s="2"/>
      <c r="L632" s="21">
        <f t="shared" si="18"/>
        <v>0</v>
      </c>
      <c r="N632" s="21">
        <f t="shared" si="19"/>
        <v>0</v>
      </c>
      <c r="O632" s="2" cm="1">
        <f t="array" ref="O632:Q632">[1]!ConvertFeet(N632)</f>
        <v>0</v>
      </c>
      <c r="P632" s="2">
        <v>0</v>
      </c>
      <c r="Q632" s="2">
        <v>0</v>
      </c>
    </row>
    <row r="633" spans="1:17" x14ac:dyDescent="0.6">
      <c r="A633" s="34">
        <v>633</v>
      </c>
      <c r="D633" s="23" t="str" cm="1">
        <f t="array" ref="D633">IFERROR([1]!CalculateHyphenString(C633),"")</f>
        <v/>
      </c>
      <c r="G633" s="26"/>
      <c r="H633" s="2"/>
      <c r="L633" s="21">
        <f t="shared" si="18"/>
        <v>0</v>
      </c>
      <c r="N633" s="21">
        <f t="shared" si="19"/>
        <v>0</v>
      </c>
      <c r="O633" s="2" cm="1">
        <f t="array" ref="O633:Q633">[1]!ConvertFeet(N633)</f>
        <v>0</v>
      </c>
      <c r="P633" s="2">
        <v>0</v>
      </c>
      <c r="Q633" s="2">
        <v>0</v>
      </c>
    </row>
    <row r="634" spans="1:17" x14ac:dyDescent="0.6">
      <c r="A634" s="35">
        <v>634</v>
      </c>
      <c r="D634" s="23" t="str" cm="1">
        <f t="array" ref="D634">IFERROR([1]!CalculateHyphenString(C634),"")</f>
        <v/>
      </c>
      <c r="G634" s="26"/>
      <c r="H634" s="2"/>
      <c r="L634" s="21">
        <f t="shared" si="18"/>
        <v>0</v>
      </c>
      <c r="N634" s="21">
        <f t="shared" si="19"/>
        <v>0</v>
      </c>
      <c r="O634" s="2" cm="1">
        <f t="array" ref="O634:Q634">[1]!ConvertFeet(N634)</f>
        <v>0</v>
      </c>
      <c r="P634" s="2">
        <v>0</v>
      </c>
      <c r="Q634" s="2">
        <v>0</v>
      </c>
    </row>
    <row r="635" spans="1:17" x14ac:dyDescent="0.6">
      <c r="A635" s="34">
        <v>635</v>
      </c>
      <c r="D635" s="23" t="str" cm="1">
        <f t="array" ref="D635">IFERROR([1]!CalculateHyphenString(C635),"")</f>
        <v/>
      </c>
      <c r="G635" s="26"/>
      <c r="H635" s="2"/>
      <c r="L635" s="21">
        <f t="shared" si="18"/>
        <v>0</v>
      </c>
      <c r="N635" s="21">
        <f t="shared" si="19"/>
        <v>0</v>
      </c>
      <c r="O635" s="2" cm="1">
        <f t="array" ref="O635:Q635">[1]!ConvertFeet(N635)</f>
        <v>0</v>
      </c>
      <c r="P635" s="2">
        <v>0</v>
      </c>
      <c r="Q635" s="2">
        <v>0</v>
      </c>
    </row>
    <row r="636" spans="1:17" x14ac:dyDescent="0.6">
      <c r="A636" s="35">
        <v>636</v>
      </c>
      <c r="D636" s="23" t="str" cm="1">
        <f t="array" ref="D636">IFERROR([1]!CalculateHyphenString(C636),"")</f>
        <v/>
      </c>
      <c r="G636" s="26"/>
      <c r="H636" s="2"/>
      <c r="L636" s="21">
        <f t="shared" si="18"/>
        <v>0</v>
      </c>
      <c r="N636" s="21">
        <f t="shared" si="19"/>
        <v>0</v>
      </c>
      <c r="O636" s="2" cm="1">
        <f t="array" ref="O636:Q636">[1]!ConvertFeet(N636)</f>
        <v>0</v>
      </c>
      <c r="P636" s="2">
        <v>0</v>
      </c>
      <c r="Q636" s="2">
        <v>0</v>
      </c>
    </row>
    <row r="637" spans="1:17" x14ac:dyDescent="0.6">
      <c r="A637" s="34">
        <v>637</v>
      </c>
      <c r="D637" s="23" t="str" cm="1">
        <f t="array" ref="D637">IFERROR([1]!CalculateHyphenString(C637),"")</f>
        <v/>
      </c>
      <c r="G637" s="26"/>
      <c r="H637" s="2"/>
      <c r="L637" s="21">
        <f t="shared" si="18"/>
        <v>0</v>
      </c>
      <c r="N637" s="21">
        <f t="shared" si="19"/>
        <v>0</v>
      </c>
      <c r="O637" s="2" cm="1">
        <f t="array" ref="O637:Q637">[1]!ConvertFeet(N637)</f>
        <v>0</v>
      </c>
      <c r="P637" s="2">
        <v>0</v>
      </c>
      <c r="Q637" s="2">
        <v>0</v>
      </c>
    </row>
    <row r="638" spans="1:17" x14ac:dyDescent="0.6">
      <c r="A638" s="35">
        <v>638</v>
      </c>
      <c r="D638" s="23" t="str" cm="1">
        <f t="array" ref="D638">IFERROR([1]!CalculateHyphenString(C638),"")</f>
        <v/>
      </c>
      <c r="G638" s="26"/>
      <c r="H638" s="2"/>
      <c r="L638" s="21">
        <f t="shared" si="18"/>
        <v>0</v>
      </c>
      <c r="N638" s="21">
        <f t="shared" si="19"/>
        <v>0</v>
      </c>
      <c r="O638" s="2" cm="1">
        <f t="array" ref="O638:Q638">[1]!ConvertFeet(N638)</f>
        <v>0</v>
      </c>
      <c r="P638" s="2">
        <v>0</v>
      </c>
      <c r="Q638" s="2">
        <v>0</v>
      </c>
    </row>
    <row r="639" spans="1:17" x14ac:dyDescent="0.6">
      <c r="A639" s="34">
        <v>639</v>
      </c>
      <c r="D639" s="23" t="str" cm="1">
        <f t="array" ref="D639">IFERROR([1]!CalculateHyphenString(C639),"")</f>
        <v/>
      </c>
      <c r="G639" s="26"/>
      <c r="H639" s="2"/>
      <c r="L639" s="21">
        <f t="shared" si="18"/>
        <v>0</v>
      </c>
      <c r="N639" s="21">
        <f t="shared" si="19"/>
        <v>0</v>
      </c>
      <c r="O639" s="2" cm="1">
        <f t="array" ref="O639:Q639">[1]!ConvertFeet(N639)</f>
        <v>0</v>
      </c>
      <c r="P639" s="2">
        <v>0</v>
      </c>
      <c r="Q639" s="2">
        <v>0</v>
      </c>
    </row>
    <row r="640" spans="1:17" x14ac:dyDescent="0.6">
      <c r="A640" s="35">
        <v>640</v>
      </c>
      <c r="D640" s="23" t="str" cm="1">
        <f t="array" ref="D640">IFERROR([1]!CalculateHyphenString(C640),"")</f>
        <v/>
      </c>
      <c r="G640" s="26"/>
      <c r="H640" s="2"/>
      <c r="L640" s="21">
        <f t="shared" si="18"/>
        <v>0</v>
      </c>
      <c r="N640" s="21">
        <f t="shared" si="19"/>
        <v>0</v>
      </c>
      <c r="O640" s="2" cm="1">
        <f t="array" ref="O640:Q640">[1]!ConvertFeet(N640)</f>
        <v>0</v>
      </c>
      <c r="P640" s="2">
        <v>0</v>
      </c>
      <c r="Q640" s="2">
        <v>0</v>
      </c>
    </row>
    <row r="641" spans="1:17" x14ac:dyDescent="0.6">
      <c r="A641" s="34">
        <v>641</v>
      </c>
      <c r="D641" s="23" t="str" cm="1">
        <f t="array" ref="D641">IFERROR([1]!CalculateHyphenString(C641),"")</f>
        <v/>
      </c>
      <c r="G641" s="26"/>
      <c r="H641" s="2"/>
      <c r="L641" s="21">
        <f t="shared" si="18"/>
        <v>0</v>
      </c>
      <c r="N641" s="21">
        <f t="shared" si="19"/>
        <v>0</v>
      </c>
      <c r="O641" s="2" cm="1">
        <f t="array" ref="O641:Q641">[1]!ConvertFeet(N641)</f>
        <v>0</v>
      </c>
      <c r="P641" s="2">
        <v>0</v>
      </c>
      <c r="Q641" s="2">
        <v>0</v>
      </c>
    </row>
    <row r="642" spans="1:17" x14ac:dyDescent="0.6">
      <c r="A642" s="35">
        <v>642</v>
      </c>
      <c r="D642" s="23" t="str" cm="1">
        <f t="array" ref="D642">IFERROR([1]!CalculateHyphenString(C642),"")</f>
        <v/>
      </c>
      <c r="G642" s="26"/>
      <c r="H642" s="2"/>
      <c r="L642" s="21">
        <f t="shared" si="18"/>
        <v>0</v>
      </c>
      <c r="N642" s="21">
        <f t="shared" si="19"/>
        <v>0</v>
      </c>
      <c r="O642" s="2" cm="1">
        <f t="array" ref="O642:Q642">[1]!ConvertFeet(N642)</f>
        <v>0</v>
      </c>
      <c r="P642" s="2">
        <v>0</v>
      </c>
      <c r="Q642" s="2">
        <v>0</v>
      </c>
    </row>
    <row r="643" spans="1:17" x14ac:dyDescent="0.6">
      <c r="A643" s="34">
        <v>643</v>
      </c>
      <c r="D643" s="23" t="str" cm="1">
        <f t="array" ref="D643">IFERROR([1]!CalculateHyphenString(C643),"")</f>
        <v/>
      </c>
      <c r="G643" s="26"/>
      <c r="H643" s="2"/>
      <c r="L643" s="21">
        <f t="shared" si="18"/>
        <v>0</v>
      </c>
      <c r="N643" s="21">
        <f t="shared" si="19"/>
        <v>0</v>
      </c>
      <c r="O643" s="2" cm="1">
        <f t="array" ref="O643:Q643">[1]!ConvertFeet(N643)</f>
        <v>0</v>
      </c>
      <c r="P643" s="2">
        <v>0</v>
      </c>
      <c r="Q643" s="2">
        <v>0</v>
      </c>
    </row>
    <row r="644" spans="1:17" x14ac:dyDescent="0.6">
      <c r="A644" s="35">
        <v>644</v>
      </c>
      <c r="D644" s="23" t="str" cm="1">
        <f t="array" ref="D644">IFERROR([1]!CalculateHyphenString(C644),"")</f>
        <v/>
      </c>
      <c r="G644" s="26"/>
      <c r="H644" s="2"/>
      <c r="L644" s="21">
        <f t="shared" si="18"/>
        <v>0</v>
      </c>
      <c r="N644" s="21">
        <f t="shared" si="19"/>
        <v>0</v>
      </c>
      <c r="O644" s="2" cm="1">
        <f t="array" ref="O644:Q644">[1]!ConvertFeet(N644)</f>
        <v>0</v>
      </c>
      <c r="P644" s="2">
        <v>0</v>
      </c>
      <c r="Q644" s="2">
        <v>0</v>
      </c>
    </row>
    <row r="645" spans="1:17" x14ac:dyDescent="0.6">
      <c r="A645" s="34">
        <v>645</v>
      </c>
      <c r="D645" s="23" t="str" cm="1">
        <f t="array" ref="D645">IFERROR([1]!CalculateHyphenString(C645),"")</f>
        <v/>
      </c>
      <c r="G645" s="26"/>
      <c r="H645" s="2"/>
      <c r="L645" s="21">
        <f t="shared" si="18"/>
        <v>0</v>
      </c>
      <c r="N645" s="21">
        <f t="shared" si="19"/>
        <v>0</v>
      </c>
      <c r="O645" s="2" cm="1">
        <f t="array" ref="O645:Q645">[1]!ConvertFeet(N645)</f>
        <v>0</v>
      </c>
      <c r="P645" s="2">
        <v>0</v>
      </c>
      <c r="Q645" s="2">
        <v>0</v>
      </c>
    </row>
    <row r="646" spans="1:17" x14ac:dyDescent="0.6">
      <c r="A646" s="35">
        <v>646</v>
      </c>
      <c r="D646" s="23" t="str" cm="1">
        <f t="array" ref="D646">IFERROR([1]!CalculateHyphenString(C646),"")</f>
        <v/>
      </c>
      <c r="G646" s="26"/>
      <c r="H646" s="2"/>
      <c r="L646" s="21">
        <f t="shared" si="18"/>
        <v>0</v>
      </c>
      <c r="N646" s="21">
        <f t="shared" si="19"/>
        <v>0</v>
      </c>
      <c r="O646" s="2" cm="1">
        <f t="array" ref="O646:Q646">[1]!ConvertFeet(N646)</f>
        <v>0</v>
      </c>
      <c r="P646" s="2">
        <v>0</v>
      </c>
      <c r="Q646" s="2">
        <v>0</v>
      </c>
    </row>
    <row r="647" spans="1:17" x14ac:dyDescent="0.6">
      <c r="A647" s="34">
        <v>647</v>
      </c>
      <c r="D647" s="23" t="str" cm="1">
        <f t="array" ref="D647">IFERROR([1]!CalculateHyphenString(C647),"")</f>
        <v/>
      </c>
      <c r="G647" s="26"/>
      <c r="H647" s="2"/>
      <c r="L647" s="21">
        <f t="shared" ref="L647:L710" si="20">(K647*$G$3)/100</f>
        <v>0</v>
      </c>
      <c r="N647" s="21">
        <f t="shared" ref="N647:N710" si="21">K647-(L647+M647)</f>
        <v>0</v>
      </c>
      <c r="O647" s="2" cm="1">
        <f t="array" ref="O647:Q647">[1]!ConvertFeet(N647)</f>
        <v>0</v>
      </c>
      <c r="P647" s="2">
        <v>0</v>
      </c>
      <c r="Q647" s="2">
        <v>0</v>
      </c>
    </row>
    <row r="648" spans="1:17" x14ac:dyDescent="0.6">
      <c r="A648" s="35">
        <v>648</v>
      </c>
      <c r="D648" s="23" t="str" cm="1">
        <f t="array" ref="D648">IFERROR([1]!CalculateHyphenString(C648),"")</f>
        <v/>
      </c>
      <c r="G648" s="26"/>
      <c r="H648" s="2"/>
      <c r="L648" s="21">
        <f t="shared" si="20"/>
        <v>0</v>
      </c>
      <c r="N648" s="21">
        <f t="shared" si="21"/>
        <v>0</v>
      </c>
      <c r="O648" s="2" cm="1">
        <f t="array" ref="O648:Q648">[1]!ConvertFeet(N648)</f>
        <v>0</v>
      </c>
      <c r="P648" s="2">
        <v>0</v>
      </c>
      <c r="Q648" s="2">
        <v>0</v>
      </c>
    </row>
    <row r="649" spans="1:17" x14ac:dyDescent="0.6">
      <c r="A649" s="34">
        <v>649</v>
      </c>
      <c r="D649" s="23" t="str" cm="1">
        <f t="array" ref="D649">IFERROR([1]!CalculateHyphenString(C649),"")</f>
        <v/>
      </c>
      <c r="G649" s="26"/>
      <c r="H649" s="2"/>
      <c r="L649" s="21">
        <f t="shared" si="20"/>
        <v>0</v>
      </c>
      <c r="N649" s="21">
        <f t="shared" si="21"/>
        <v>0</v>
      </c>
      <c r="O649" s="2" cm="1">
        <f t="array" ref="O649:Q649">[1]!ConvertFeet(N649)</f>
        <v>0</v>
      </c>
      <c r="P649" s="2">
        <v>0</v>
      </c>
      <c r="Q649" s="2">
        <v>0</v>
      </c>
    </row>
    <row r="650" spans="1:17" x14ac:dyDescent="0.6">
      <c r="A650" s="35">
        <v>650</v>
      </c>
      <c r="D650" s="23" t="str" cm="1">
        <f t="array" ref="D650">IFERROR([1]!CalculateHyphenString(C650),"")</f>
        <v/>
      </c>
      <c r="G650" s="26"/>
      <c r="H650" s="2"/>
      <c r="L650" s="21">
        <f t="shared" si="20"/>
        <v>0</v>
      </c>
      <c r="N650" s="21">
        <f t="shared" si="21"/>
        <v>0</v>
      </c>
      <c r="O650" s="2" cm="1">
        <f t="array" ref="O650:Q650">[1]!ConvertFeet(N650)</f>
        <v>0</v>
      </c>
      <c r="P650" s="2">
        <v>0</v>
      </c>
      <c r="Q650" s="2">
        <v>0</v>
      </c>
    </row>
    <row r="651" spans="1:17" x14ac:dyDescent="0.6">
      <c r="A651" s="34">
        <v>651</v>
      </c>
      <c r="D651" s="23" t="str" cm="1">
        <f t="array" ref="D651">IFERROR([1]!CalculateHyphenString(C651),"")</f>
        <v/>
      </c>
      <c r="G651" s="26"/>
      <c r="H651" s="2"/>
      <c r="L651" s="21">
        <f t="shared" si="20"/>
        <v>0</v>
      </c>
      <c r="N651" s="21">
        <f t="shared" si="21"/>
        <v>0</v>
      </c>
      <c r="O651" s="2" cm="1">
        <f t="array" ref="O651:Q651">[1]!ConvertFeet(N651)</f>
        <v>0</v>
      </c>
      <c r="P651" s="2">
        <v>0</v>
      </c>
      <c r="Q651" s="2">
        <v>0</v>
      </c>
    </row>
    <row r="652" spans="1:17" x14ac:dyDescent="0.6">
      <c r="A652" s="35">
        <v>652</v>
      </c>
      <c r="D652" s="23" t="str" cm="1">
        <f t="array" ref="D652">IFERROR([1]!CalculateHyphenString(C652),"")</f>
        <v/>
      </c>
      <c r="G652" s="26"/>
      <c r="H652" s="2"/>
      <c r="L652" s="21">
        <f t="shared" si="20"/>
        <v>0</v>
      </c>
      <c r="N652" s="21">
        <f t="shared" si="21"/>
        <v>0</v>
      </c>
      <c r="O652" s="2" cm="1">
        <f t="array" ref="O652:Q652">[1]!ConvertFeet(N652)</f>
        <v>0</v>
      </c>
      <c r="P652" s="2">
        <v>0</v>
      </c>
      <c r="Q652" s="2">
        <v>0</v>
      </c>
    </row>
    <row r="653" spans="1:17" x14ac:dyDescent="0.6">
      <c r="A653" s="34">
        <v>653</v>
      </c>
      <c r="D653" s="23" t="str" cm="1">
        <f t="array" ref="D653">IFERROR([1]!CalculateHyphenString(C653),"")</f>
        <v/>
      </c>
      <c r="G653" s="26"/>
      <c r="H653" s="2"/>
      <c r="L653" s="21">
        <f t="shared" si="20"/>
        <v>0</v>
      </c>
      <c r="N653" s="21">
        <f t="shared" si="21"/>
        <v>0</v>
      </c>
      <c r="O653" s="2" cm="1">
        <f t="array" ref="O653:Q653">[1]!ConvertFeet(N653)</f>
        <v>0</v>
      </c>
      <c r="P653" s="2">
        <v>0</v>
      </c>
      <c r="Q653" s="2">
        <v>0</v>
      </c>
    </row>
    <row r="654" spans="1:17" x14ac:dyDescent="0.6">
      <c r="A654" s="35">
        <v>654</v>
      </c>
      <c r="D654" s="23" t="str" cm="1">
        <f t="array" ref="D654">IFERROR([1]!CalculateHyphenString(C654),"")</f>
        <v/>
      </c>
      <c r="G654" s="26"/>
      <c r="H654" s="2"/>
      <c r="L654" s="21">
        <f t="shared" si="20"/>
        <v>0</v>
      </c>
      <c r="N654" s="21">
        <f t="shared" si="21"/>
        <v>0</v>
      </c>
      <c r="O654" s="2" cm="1">
        <f t="array" ref="O654:Q654">[1]!ConvertFeet(N654)</f>
        <v>0</v>
      </c>
      <c r="P654" s="2">
        <v>0</v>
      </c>
      <c r="Q654" s="2">
        <v>0</v>
      </c>
    </row>
    <row r="655" spans="1:17" x14ac:dyDescent="0.6">
      <c r="A655" s="34">
        <v>655</v>
      </c>
      <c r="D655" s="23" t="str" cm="1">
        <f t="array" ref="D655">IFERROR([1]!CalculateHyphenString(C655),"")</f>
        <v/>
      </c>
      <c r="G655" s="26"/>
      <c r="H655" s="2"/>
      <c r="L655" s="21">
        <f t="shared" si="20"/>
        <v>0</v>
      </c>
      <c r="N655" s="21">
        <f t="shared" si="21"/>
        <v>0</v>
      </c>
      <c r="O655" s="2" cm="1">
        <f t="array" ref="O655:Q655">[1]!ConvertFeet(N655)</f>
        <v>0</v>
      </c>
      <c r="P655" s="2">
        <v>0</v>
      </c>
      <c r="Q655" s="2">
        <v>0</v>
      </c>
    </row>
    <row r="656" spans="1:17" x14ac:dyDescent="0.6">
      <c r="A656" s="35">
        <v>656</v>
      </c>
      <c r="D656" s="23" t="str" cm="1">
        <f t="array" ref="D656">IFERROR([1]!CalculateHyphenString(C656),"")</f>
        <v/>
      </c>
      <c r="G656" s="26"/>
      <c r="H656" s="2"/>
      <c r="L656" s="21">
        <f t="shared" si="20"/>
        <v>0</v>
      </c>
      <c r="N656" s="21">
        <f t="shared" si="21"/>
        <v>0</v>
      </c>
      <c r="O656" s="2" cm="1">
        <f t="array" ref="O656:Q656">[1]!ConvertFeet(N656)</f>
        <v>0</v>
      </c>
      <c r="P656" s="2">
        <v>0</v>
      </c>
      <c r="Q656" s="2">
        <v>0</v>
      </c>
    </row>
    <row r="657" spans="1:17" x14ac:dyDescent="0.6">
      <c r="A657" s="34">
        <v>657</v>
      </c>
      <c r="D657" s="23" t="str" cm="1">
        <f t="array" ref="D657">IFERROR([1]!CalculateHyphenString(C657),"")</f>
        <v/>
      </c>
      <c r="G657" s="26"/>
      <c r="H657" s="2"/>
      <c r="L657" s="21">
        <f t="shared" si="20"/>
        <v>0</v>
      </c>
      <c r="N657" s="21">
        <f t="shared" si="21"/>
        <v>0</v>
      </c>
      <c r="O657" s="2" cm="1">
        <f t="array" ref="O657:Q657">[1]!ConvertFeet(N657)</f>
        <v>0</v>
      </c>
      <c r="P657" s="2">
        <v>0</v>
      </c>
      <c r="Q657" s="2">
        <v>0</v>
      </c>
    </row>
    <row r="658" spans="1:17" x14ac:dyDescent="0.6">
      <c r="A658" s="35">
        <v>658</v>
      </c>
      <c r="D658" s="23" t="str" cm="1">
        <f t="array" ref="D658">IFERROR([1]!CalculateHyphenString(C658),"")</f>
        <v/>
      </c>
      <c r="G658" s="26"/>
      <c r="H658" s="2"/>
      <c r="L658" s="21">
        <f t="shared" si="20"/>
        <v>0</v>
      </c>
      <c r="N658" s="21">
        <f t="shared" si="21"/>
        <v>0</v>
      </c>
      <c r="O658" s="2" cm="1">
        <f t="array" ref="O658:Q658">[1]!ConvertFeet(N658)</f>
        <v>0</v>
      </c>
      <c r="P658" s="2">
        <v>0</v>
      </c>
      <c r="Q658" s="2">
        <v>0</v>
      </c>
    </row>
    <row r="659" spans="1:17" x14ac:dyDescent="0.6">
      <c r="A659" s="34">
        <v>659</v>
      </c>
      <c r="D659" s="23" t="str" cm="1">
        <f t="array" ref="D659">IFERROR([1]!CalculateHyphenString(C659),"")</f>
        <v/>
      </c>
      <c r="G659" s="26"/>
      <c r="H659" s="2"/>
      <c r="L659" s="21">
        <f t="shared" si="20"/>
        <v>0</v>
      </c>
      <c r="N659" s="21">
        <f t="shared" si="21"/>
        <v>0</v>
      </c>
      <c r="O659" s="2" cm="1">
        <f t="array" ref="O659:Q659">[1]!ConvertFeet(N659)</f>
        <v>0</v>
      </c>
      <c r="P659" s="2">
        <v>0</v>
      </c>
      <c r="Q659" s="2">
        <v>0</v>
      </c>
    </row>
    <row r="660" spans="1:17" x14ac:dyDescent="0.6">
      <c r="A660" s="35">
        <v>660</v>
      </c>
      <c r="D660" s="23" t="str" cm="1">
        <f t="array" ref="D660">IFERROR([1]!CalculateHyphenString(C660),"")</f>
        <v/>
      </c>
      <c r="G660" s="26"/>
      <c r="H660" s="2"/>
      <c r="L660" s="21">
        <f t="shared" si="20"/>
        <v>0</v>
      </c>
      <c r="N660" s="21">
        <f t="shared" si="21"/>
        <v>0</v>
      </c>
      <c r="O660" s="2" cm="1">
        <f t="array" ref="O660:Q660">[1]!ConvertFeet(N660)</f>
        <v>0</v>
      </c>
      <c r="P660" s="2">
        <v>0</v>
      </c>
      <c r="Q660" s="2">
        <v>0</v>
      </c>
    </row>
    <row r="661" spans="1:17" x14ac:dyDescent="0.6">
      <c r="A661" s="34">
        <v>661</v>
      </c>
      <c r="D661" s="23" t="str" cm="1">
        <f t="array" ref="D661">IFERROR([1]!CalculateHyphenString(C661),"")</f>
        <v/>
      </c>
      <c r="G661" s="26"/>
      <c r="H661" s="2"/>
      <c r="L661" s="21">
        <f t="shared" si="20"/>
        <v>0</v>
      </c>
      <c r="N661" s="21">
        <f t="shared" si="21"/>
        <v>0</v>
      </c>
      <c r="O661" s="2" cm="1">
        <f t="array" ref="O661:Q661">[1]!ConvertFeet(N661)</f>
        <v>0</v>
      </c>
      <c r="P661" s="2">
        <v>0</v>
      </c>
      <c r="Q661" s="2">
        <v>0</v>
      </c>
    </row>
    <row r="662" spans="1:17" x14ac:dyDescent="0.6">
      <c r="A662" s="35">
        <v>662</v>
      </c>
      <c r="D662" s="23" t="str" cm="1">
        <f t="array" ref="D662">IFERROR([1]!CalculateHyphenString(C662),"")</f>
        <v/>
      </c>
      <c r="G662" s="26"/>
      <c r="H662" s="2"/>
      <c r="L662" s="21">
        <f t="shared" si="20"/>
        <v>0</v>
      </c>
      <c r="N662" s="21">
        <f t="shared" si="21"/>
        <v>0</v>
      </c>
      <c r="O662" s="2" cm="1">
        <f t="array" ref="O662:Q662">[1]!ConvertFeet(N662)</f>
        <v>0</v>
      </c>
      <c r="P662" s="2">
        <v>0</v>
      </c>
      <c r="Q662" s="2">
        <v>0</v>
      </c>
    </row>
    <row r="663" spans="1:17" x14ac:dyDescent="0.6">
      <c r="A663" s="34">
        <v>663</v>
      </c>
      <c r="D663" s="23" t="str" cm="1">
        <f t="array" ref="D663">IFERROR([1]!CalculateHyphenString(C663),"")</f>
        <v/>
      </c>
      <c r="G663" s="26"/>
      <c r="H663" s="2"/>
      <c r="L663" s="21">
        <f t="shared" si="20"/>
        <v>0</v>
      </c>
      <c r="N663" s="21">
        <f t="shared" si="21"/>
        <v>0</v>
      </c>
      <c r="O663" s="2" cm="1">
        <f t="array" ref="O663:Q663">[1]!ConvertFeet(N663)</f>
        <v>0</v>
      </c>
      <c r="P663" s="2">
        <v>0</v>
      </c>
      <c r="Q663" s="2">
        <v>0</v>
      </c>
    </row>
    <row r="664" spans="1:17" x14ac:dyDescent="0.6">
      <c r="A664" s="35">
        <v>664</v>
      </c>
      <c r="D664" s="23" t="str" cm="1">
        <f t="array" ref="D664">IFERROR([1]!CalculateHyphenString(C664),"")</f>
        <v/>
      </c>
      <c r="G664" s="26"/>
      <c r="H664" s="2"/>
      <c r="L664" s="21">
        <f t="shared" si="20"/>
        <v>0</v>
      </c>
      <c r="N664" s="21">
        <f t="shared" si="21"/>
        <v>0</v>
      </c>
      <c r="O664" s="2" cm="1">
        <f t="array" ref="O664:Q664">[1]!ConvertFeet(N664)</f>
        <v>0</v>
      </c>
      <c r="P664" s="2">
        <v>0</v>
      </c>
      <c r="Q664" s="2">
        <v>0</v>
      </c>
    </row>
    <row r="665" spans="1:17" x14ac:dyDescent="0.6">
      <c r="A665" s="34">
        <v>665</v>
      </c>
      <c r="D665" s="23" t="str" cm="1">
        <f t="array" ref="D665">IFERROR([1]!CalculateHyphenString(C665),"")</f>
        <v/>
      </c>
      <c r="G665" s="26"/>
      <c r="H665" s="2"/>
      <c r="L665" s="21">
        <f t="shared" si="20"/>
        <v>0</v>
      </c>
      <c r="N665" s="21">
        <f t="shared" si="21"/>
        <v>0</v>
      </c>
      <c r="O665" s="2" cm="1">
        <f t="array" ref="O665:Q665">[1]!ConvertFeet(N665)</f>
        <v>0</v>
      </c>
      <c r="P665" s="2">
        <v>0</v>
      </c>
      <c r="Q665" s="2">
        <v>0</v>
      </c>
    </row>
    <row r="666" spans="1:17" x14ac:dyDescent="0.6">
      <c r="A666" s="35">
        <v>666</v>
      </c>
      <c r="D666" s="23" t="str" cm="1">
        <f t="array" ref="D666">IFERROR([1]!CalculateHyphenString(C666),"")</f>
        <v/>
      </c>
      <c r="G666" s="26"/>
      <c r="H666" s="2"/>
      <c r="L666" s="21">
        <f t="shared" si="20"/>
        <v>0</v>
      </c>
      <c r="N666" s="21">
        <f t="shared" si="21"/>
        <v>0</v>
      </c>
      <c r="O666" s="2" cm="1">
        <f t="array" ref="O666:Q666">[1]!ConvertFeet(N666)</f>
        <v>0</v>
      </c>
      <c r="P666" s="2">
        <v>0</v>
      </c>
      <c r="Q666" s="2">
        <v>0</v>
      </c>
    </row>
    <row r="667" spans="1:17" x14ac:dyDescent="0.6">
      <c r="A667" s="34">
        <v>667</v>
      </c>
      <c r="D667" s="23" t="str" cm="1">
        <f t="array" ref="D667">IFERROR([1]!CalculateHyphenString(C667),"")</f>
        <v/>
      </c>
      <c r="G667" s="26"/>
      <c r="H667" s="2"/>
      <c r="L667" s="21">
        <f t="shared" si="20"/>
        <v>0</v>
      </c>
      <c r="N667" s="21">
        <f t="shared" si="21"/>
        <v>0</v>
      </c>
      <c r="O667" s="2" cm="1">
        <f t="array" ref="O667:Q667">[1]!ConvertFeet(N667)</f>
        <v>0</v>
      </c>
      <c r="P667" s="2">
        <v>0</v>
      </c>
      <c r="Q667" s="2">
        <v>0</v>
      </c>
    </row>
    <row r="668" spans="1:17" x14ac:dyDescent="0.6">
      <c r="A668" s="35">
        <v>668</v>
      </c>
      <c r="D668" s="23" t="str" cm="1">
        <f t="array" ref="D668">IFERROR([1]!CalculateHyphenString(C668),"")</f>
        <v/>
      </c>
      <c r="G668" s="26"/>
      <c r="H668" s="2"/>
      <c r="L668" s="21">
        <f t="shared" si="20"/>
        <v>0</v>
      </c>
      <c r="N668" s="21">
        <f t="shared" si="21"/>
        <v>0</v>
      </c>
      <c r="O668" s="2" cm="1">
        <f t="array" ref="O668:Q668">[1]!ConvertFeet(N668)</f>
        <v>0</v>
      </c>
      <c r="P668" s="2">
        <v>0</v>
      </c>
      <c r="Q668" s="2">
        <v>0</v>
      </c>
    </row>
    <row r="669" spans="1:17" x14ac:dyDescent="0.6">
      <c r="A669" s="34">
        <v>669</v>
      </c>
      <c r="D669" s="23" t="str" cm="1">
        <f t="array" ref="D669">IFERROR([1]!CalculateHyphenString(C669),"")</f>
        <v/>
      </c>
      <c r="G669" s="26"/>
      <c r="H669" s="2"/>
      <c r="L669" s="21">
        <f t="shared" si="20"/>
        <v>0</v>
      </c>
      <c r="N669" s="21">
        <f t="shared" si="21"/>
        <v>0</v>
      </c>
      <c r="O669" s="2" cm="1">
        <f t="array" ref="O669:Q669">[1]!ConvertFeet(N669)</f>
        <v>0</v>
      </c>
      <c r="P669" s="2">
        <v>0</v>
      </c>
      <c r="Q669" s="2">
        <v>0</v>
      </c>
    </row>
    <row r="670" spans="1:17" x14ac:dyDescent="0.6">
      <c r="A670" s="35">
        <v>670</v>
      </c>
      <c r="D670" s="23" t="str" cm="1">
        <f t="array" ref="D670">IFERROR([1]!CalculateHyphenString(C670),"")</f>
        <v/>
      </c>
      <c r="G670" s="26"/>
      <c r="H670" s="2"/>
      <c r="L670" s="21">
        <f t="shared" si="20"/>
        <v>0</v>
      </c>
      <c r="N670" s="21">
        <f t="shared" si="21"/>
        <v>0</v>
      </c>
      <c r="O670" s="2" cm="1">
        <f t="array" ref="O670:Q670">[1]!ConvertFeet(N670)</f>
        <v>0</v>
      </c>
      <c r="P670" s="2">
        <v>0</v>
      </c>
      <c r="Q670" s="2">
        <v>0</v>
      </c>
    </row>
    <row r="671" spans="1:17" x14ac:dyDescent="0.6">
      <c r="A671" s="34">
        <v>671</v>
      </c>
      <c r="D671" s="23" t="str" cm="1">
        <f t="array" ref="D671">IFERROR([1]!CalculateHyphenString(C671),"")</f>
        <v/>
      </c>
      <c r="G671" s="26"/>
      <c r="H671" s="2"/>
      <c r="L671" s="21">
        <f t="shared" si="20"/>
        <v>0</v>
      </c>
      <c r="N671" s="21">
        <f t="shared" si="21"/>
        <v>0</v>
      </c>
      <c r="O671" s="2" cm="1">
        <f t="array" ref="O671:Q671">[1]!ConvertFeet(N671)</f>
        <v>0</v>
      </c>
      <c r="P671" s="2">
        <v>0</v>
      </c>
      <c r="Q671" s="2">
        <v>0</v>
      </c>
    </row>
    <row r="672" spans="1:17" x14ac:dyDescent="0.6">
      <c r="A672" s="35">
        <v>672</v>
      </c>
      <c r="D672" s="23" t="str" cm="1">
        <f t="array" ref="D672">IFERROR([1]!CalculateHyphenString(C672),"")</f>
        <v/>
      </c>
      <c r="G672" s="26"/>
      <c r="H672" s="2"/>
      <c r="L672" s="21">
        <f t="shared" si="20"/>
        <v>0</v>
      </c>
      <c r="N672" s="21">
        <f t="shared" si="21"/>
        <v>0</v>
      </c>
      <c r="O672" s="2" cm="1">
        <f t="array" ref="O672:Q672">[1]!ConvertFeet(N672)</f>
        <v>0</v>
      </c>
      <c r="P672" s="2">
        <v>0</v>
      </c>
      <c r="Q672" s="2">
        <v>0</v>
      </c>
    </row>
    <row r="673" spans="1:17" x14ac:dyDescent="0.6">
      <c r="A673" s="34">
        <v>673</v>
      </c>
      <c r="D673" s="23" t="str" cm="1">
        <f t="array" ref="D673">IFERROR([1]!CalculateHyphenString(C673),"")</f>
        <v/>
      </c>
      <c r="G673" s="26"/>
      <c r="H673" s="2"/>
      <c r="L673" s="21">
        <f t="shared" si="20"/>
        <v>0</v>
      </c>
      <c r="N673" s="21">
        <f t="shared" si="21"/>
        <v>0</v>
      </c>
      <c r="O673" s="2" cm="1">
        <f t="array" ref="O673:Q673">[1]!ConvertFeet(N673)</f>
        <v>0</v>
      </c>
      <c r="P673" s="2">
        <v>0</v>
      </c>
      <c r="Q673" s="2">
        <v>0</v>
      </c>
    </row>
    <row r="674" spans="1:17" x14ac:dyDescent="0.6">
      <c r="A674" s="35">
        <v>674</v>
      </c>
      <c r="D674" s="23" t="str" cm="1">
        <f t="array" ref="D674">IFERROR([1]!CalculateHyphenString(C674),"")</f>
        <v/>
      </c>
      <c r="G674" s="26"/>
      <c r="H674" s="2"/>
      <c r="L674" s="21">
        <f t="shared" si="20"/>
        <v>0</v>
      </c>
      <c r="N674" s="21">
        <f t="shared" si="21"/>
        <v>0</v>
      </c>
      <c r="O674" s="2" cm="1">
        <f t="array" ref="O674:Q674">[1]!ConvertFeet(N674)</f>
        <v>0</v>
      </c>
      <c r="P674" s="2">
        <v>0</v>
      </c>
      <c r="Q674" s="2">
        <v>0</v>
      </c>
    </row>
    <row r="675" spans="1:17" x14ac:dyDescent="0.6">
      <c r="A675" s="34">
        <v>675</v>
      </c>
      <c r="D675" s="23" t="str" cm="1">
        <f t="array" ref="D675">IFERROR([1]!CalculateHyphenString(C675),"")</f>
        <v/>
      </c>
      <c r="G675" s="26"/>
      <c r="H675" s="2"/>
      <c r="L675" s="21">
        <f t="shared" si="20"/>
        <v>0</v>
      </c>
      <c r="N675" s="21">
        <f t="shared" si="21"/>
        <v>0</v>
      </c>
      <c r="O675" s="2" cm="1">
        <f t="array" ref="O675:Q675">[1]!ConvertFeet(N675)</f>
        <v>0</v>
      </c>
      <c r="P675" s="2">
        <v>0</v>
      </c>
      <c r="Q675" s="2">
        <v>0</v>
      </c>
    </row>
    <row r="676" spans="1:17" x14ac:dyDescent="0.6">
      <c r="A676" s="35">
        <v>676</v>
      </c>
      <c r="D676" s="23" t="str" cm="1">
        <f t="array" ref="D676">IFERROR([1]!CalculateHyphenString(C676),"")</f>
        <v/>
      </c>
      <c r="G676" s="26"/>
      <c r="H676" s="2"/>
      <c r="L676" s="21">
        <f t="shared" si="20"/>
        <v>0</v>
      </c>
      <c r="N676" s="21">
        <f t="shared" si="21"/>
        <v>0</v>
      </c>
      <c r="O676" s="2" cm="1">
        <f t="array" ref="O676:Q676">[1]!ConvertFeet(N676)</f>
        <v>0</v>
      </c>
      <c r="P676" s="2">
        <v>0</v>
      </c>
      <c r="Q676" s="2">
        <v>0</v>
      </c>
    </row>
    <row r="677" spans="1:17" x14ac:dyDescent="0.6">
      <c r="A677" s="34">
        <v>677</v>
      </c>
      <c r="D677" s="23" t="str" cm="1">
        <f t="array" ref="D677">IFERROR([1]!CalculateHyphenString(C677),"")</f>
        <v/>
      </c>
      <c r="G677" s="26"/>
      <c r="H677" s="2"/>
      <c r="L677" s="21">
        <f t="shared" si="20"/>
        <v>0</v>
      </c>
      <c r="N677" s="21">
        <f t="shared" si="21"/>
        <v>0</v>
      </c>
      <c r="O677" s="2" cm="1">
        <f t="array" ref="O677:Q677">[1]!ConvertFeet(N677)</f>
        <v>0</v>
      </c>
      <c r="P677" s="2">
        <v>0</v>
      </c>
      <c r="Q677" s="2">
        <v>0</v>
      </c>
    </row>
    <row r="678" spans="1:17" x14ac:dyDescent="0.6">
      <c r="A678" s="35">
        <v>678</v>
      </c>
      <c r="D678" s="23" t="str" cm="1">
        <f t="array" ref="D678">IFERROR([1]!CalculateHyphenString(C678),"")</f>
        <v/>
      </c>
      <c r="G678" s="26"/>
      <c r="H678" s="2"/>
      <c r="L678" s="21">
        <f t="shared" si="20"/>
        <v>0</v>
      </c>
      <c r="N678" s="21">
        <f t="shared" si="21"/>
        <v>0</v>
      </c>
      <c r="O678" s="2" cm="1">
        <f t="array" ref="O678:Q678">[1]!ConvertFeet(N678)</f>
        <v>0</v>
      </c>
      <c r="P678" s="2">
        <v>0</v>
      </c>
      <c r="Q678" s="2">
        <v>0</v>
      </c>
    </row>
    <row r="679" spans="1:17" x14ac:dyDescent="0.6">
      <c r="A679" s="34">
        <v>679</v>
      </c>
      <c r="D679" s="23" t="str" cm="1">
        <f t="array" ref="D679">IFERROR([1]!CalculateHyphenString(C679),"")</f>
        <v/>
      </c>
      <c r="G679" s="26"/>
      <c r="H679" s="2"/>
      <c r="L679" s="21">
        <f t="shared" si="20"/>
        <v>0</v>
      </c>
      <c r="N679" s="21">
        <f t="shared" si="21"/>
        <v>0</v>
      </c>
      <c r="O679" s="2" cm="1">
        <f t="array" ref="O679:Q679">[1]!ConvertFeet(N679)</f>
        <v>0</v>
      </c>
      <c r="P679" s="2">
        <v>0</v>
      </c>
      <c r="Q679" s="2">
        <v>0</v>
      </c>
    </row>
    <row r="680" spans="1:17" x14ac:dyDescent="0.6">
      <c r="A680" s="35">
        <v>680</v>
      </c>
      <c r="D680" s="23" t="str" cm="1">
        <f t="array" ref="D680">IFERROR([1]!CalculateHyphenString(C680),"")</f>
        <v/>
      </c>
      <c r="G680" s="26"/>
      <c r="H680" s="2"/>
      <c r="L680" s="21">
        <f t="shared" si="20"/>
        <v>0</v>
      </c>
      <c r="N680" s="21">
        <f t="shared" si="21"/>
        <v>0</v>
      </c>
      <c r="O680" s="2" cm="1">
        <f t="array" ref="O680:Q680">[1]!ConvertFeet(N680)</f>
        <v>0</v>
      </c>
      <c r="P680" s="2">
        <v>0</v>
      </c>
      <c r="Q680" s="2">
        <v>0</v>
      </c>
    </row>
    <row r="681" spans="1:17" x14ac:dyDescent="0.6">
      <c r="A681" s="34">
        <v>681</v>
      </c>
      <c r="D681" s="23" t="str" cm="1">
        <f t="array" ref="D681">IFERROR([1]!CalculateHyphenString(C681),"")</f>
        <v/>
      </c>
      <c r="G681" s="26"/>
      <c r="H681" s="2"/>
      <c r="L681" s="21">
        <f t="shared" si="20"/>
        <v>0</v>
      </c>
      <c r="N681" s="21">
        <f t="shared" si="21"/>
        <v>0</v>
      </c>
      <c r="O681" s="2" cm="1">
        <f t="array" ref="O681:Q681">[1]!ConvertFeet(N681)</f>
        <v>0</v>
      </c>
      <c r="P681" s="2">
        <v>0</v>
      </c>
      <c r="Q681" s="2">
        <v>0</v>
      </c>
    </row>
    <row r="682" spans="1:17" x14ac:dyDescent="0.6">
      <c r="A682" s="35">
        <v>682</v>
      </c>
      <c r="D682" s="23" t="str" cm="1">
        <f t="array" ref="D682">IFERROR([1]!CalculateHyphenString(C682),"")</f>
        <v/>
      </c>
      <c r="G682" s="26"/>
      <c r="H682" s="2"/>
      <c r="L682" s="21">
        <f t="shared" si="20"/>
        <v>0</v>
      </c>
      <c r="N682" s="21">
        <f t="shared" si="21"/>
        <v>0</v>
      </c>
      <c r="O682" s="2" cm="1">
        <f t="array" ref="O682:Q682">[1]!ConvertFeet(N682)</f>
        <v>0</v>
      </c>
      <c r="P682" s="2">
        <v>0</v>
      </c>
      <c r="Q682" s="2">
        <v>0</v>
      </c>
    </row>
    <row r="683" spans="1:17" x14ac:dyDescent="0.6">
      <c r="A683" s="34">
        <v>683</v>
      </c>
      <c r="D683" s="23" t="str" cm="1">
        <f t="array" ref="D683">IFERROR([1]!CalculateHyphenString(C683),"")</f>
        <v/>
      </c>
      <c r="G683" s="26"/>
      <c r="H683" s="2"/>
      <c r="L683" s="21">
        <f t="shared" si="20"/>
        <v>0</v>
      </c>
      <c r="N683" s="21">
        <f t="shared" si="21"/>
        <v>0</v>
      </c>
      <c r="O683" s="2" cm="1">
        <f t="array" ref="O683:Q683">[1]!ConvertFeet(N683)</f>
        <v>0</v>
      </c>
      <c r="P683" s="2">
        <v>0</v>
      </c>
      <c r="Q683" s="2">
        <v>0</v>
      </c>
    </row>
    <row r="684" spans="1:17" x14ac:dyDescent="0.6">
      <c r="A684" s="35">
        <v>684</v>
      </c>
      <c r="D684" s="23" t="str" cm="1">
        <f t="array" ref="D684">IFERROR([1]!CalculateHyphenString(C684),"")</f>
        <v/>
      </c>
      <c r="G684" s="26"/>
      <c r="H684" s="2"/>
      <c r="L684" s="21">
        <f t="shared" si="20"/>
        <v>0</v>
      </c>
      <c r="N684" s="21">
        <f t="shared" si="21"/>
        <v>0</v>
      </c>
      <c r="O684" s="2" cm="1">
        <f t="array" ref="O684:Q684">[1]!ConvertFeet(N684)</f>
        <v>0</v>
      </c>
      <c r="P684" s="2">
        <v>0</v>
      </c>
      <c r="Q684" s="2">
        <v>0</v>
      </c>
    </row>
    <row r="685" spans="1:17" x14ac:dyDescent="0.6">
      <c r="A685" s="34">
        <v>685</v>
      </c>
      <c r="D685" s="23" t="str" cm="1">
        <f t="array" ref="D685">IFERROR([1]!CalculateHyphenString(C685),"")</f>
        <v/>
      </c>
      <c r="G685" s="26"/>
      <c r="H685" s="2"/>
      <c r="L685" s="21">
        <f t="shared" si="20"/>
        <v>0</v>
      </c>
      <c r="N685" s="21">
        <f t="shared" si="21"/>
        <v>0</v>
      </c>
      <c r="O685" s="2" cm="1">
        <f t="array" ref="O685:Q685">[1]!ConvertFeet(N685)</f>
        <v>0</v>
      </c>
      <c r="P685" s="2">
        <v>0</v>
      </c>
      <c r="Q685" s="2">
        <v>0</v>
      </c>
    </row>
    <row r="686" spans="1:17" x14ac:dyDescent="0.6">
      <c r="A686" s="35">
        <v>686</v>
      </c>
      <c r="D686" s="23" t="str" cm="1">
        <f t="array" ref="D686">IFERROR([1]!CalculateHyphenString(C686),"")</f>
        <v/>
      </c>
      <c r="G686" s="26"/>
      <c r="H686" s="2"/>
      <c r="L686" s="21">
        <f t="shared" si="20"/>
        <v>0</v>
      </c>
      <c r="N686" s="21">
        <f t="shared" si="21"/>
        <v>0</v>
      </c>
      <c r="O686" s="2" cm="1">
        <f t="array" ref="O686:Q686">[1]!ConvertFeet(N686)</f>
        <v>0</v>
      </c>
      <c r="P686" s="2">
        <v>0</v>
      </c>
      <c r="Q686" s="2">
        <v>0</v>
      </c>
    </row>
    <row r="687" spans="1:17" x14ac:dyDescent="0.6">
      <c r="A687" s="34">
        <v>687</v>
      </c>
      <c r="D687" s="23" t="str" cm="1">
        <f t="array" ref="D687">IFERROR([1]!CalculateHyphenString(C687),"")</f>
        <v/>
      </c>
      <c r="G687" s="26"/>
      <c r="H687" s="2"/>
      <c r="L687" s="21">
        <f t="shared" si="20"/>
        <v>0</v>
      </c>
      <c r="N687" s="21">
        <f t="shared" si="21"/>
        <v>0</v>
      </c>
      <c r="O687" s="2" cm="1">
        <f t="array" ref="O687:Q687">[1]!ConvertFeet(N687)</f>
        <v>0</v>
      </c>
      <c r="P687" s="2">
        <v>0</v>
      </c>
      <c r="Q687" s="2">
        <v>0</v>
      </c>
    </row>
    <row r="688" spans="1:17" x14ac:dyDescent="0.6">
      <c r="A688" s="35">
        <v>688</v>
      </c>
      <c r="D688" s="23" t="str" cm="1">
        <f t="array" ref="D688">IFERROR([1]!CalculateHyphenString(C688),"")</f>
        <v/>
      </c>
      <c r="G688" s="26"/>
      <c r="H688" s="2"/>
      <c r="L688" s="21">
        <f t="shared" si="20"/>
        <v>0</v>
      </c>
      <c r="N688" s="21">
        <f t="shared" si="21"/>
        <v>0</v>
      </c>
      <c r="O688" s="2" cm="1">
        <f t="array" ref="O688:Q688">[1]!ConvertFeet(N688)</f>
        <v>0</v>
      </c>
      <c r="P688" s="2">
        <v>0</v>
      </c>
      <c r="Q688" s="2">
        <v>0</v>
      </c>
    </row>
    <row r="689" spans="1:17" x14ac:dyDescent="0.6">
      <c r="A689" s="34">
        <v>689</v>
      </c>
      <c r="D689" s="23" t="str" cm="1">
        <f t="array" ref="D689">IFERROR([1]!CalculateHyphenString(C689),"")</f>
        <v/>
      </c>
      <c r="G689" s="26"/>
      <c r="H689" s="2"/>
      <c r="L689" s="21">
        <f t="shared" si="20"/>
        <v>0</v>
      </c>
      <c r="N689" s="21">
        <f t="shared" si="21"/>
        <v>0</v>
      </c>
      <c r="O689" s="2" cm="1">
        <f t="array" ref="O689:Q689">[1]!ConvertFeet(N689)</f>
        <v>0</v>
      </c>
      <c r="P689" s="2">
        <v>0</v>
      </c>
      <c r="Q689" s="2">
        <v>0</v>
      </c>
    </row>
    <row r="690" spans="1:17" x14ac:dyDescent="0.6">
      <c r="A690" s="35">
        <v>690</v>
      </c>
      <c r="D690" s="23" t="str" cm="1">
        <f t="array" ref="D690">IFERROR([1]!CalculateHyphenString(C690),"")</f>
        <v/>
      </c>
      <c r="G690" s="26"/>
      <c r="H690" s="2"/>
      <c r="L690" s="21">
        <f t="shared" si="20"/>
        <v>0</v>
      </c>
      <c r="N690" s="21">
        <f t="shared" si="21"/>
        <v>0</v>
      </c>
      <c r="O690" s="2" cm="1">
        <f t="array" ref="O690:Q690">[1]!ConvertFeet(N690)</f>
        <v>0</v>
      </c>
      <c r="P690" s="2">
        <v>0</v>
      </c>
      <c r="Q690" s="2">
        <v>0</v>
      </c>
    </row>
    <row r="691" spans="1:17" x14ac:dyDescent="0.6">
      <c r="A691" s="34">
        <v>691</v>
      </c>
      <c r="D691" s="23" t="str" cm="1">
        <f t="array" ref="D691">IFERROR([1]!CalculateHyphenString(C691),"")</f>
        <v/>
      </c>
      <c r="G691" s="26"/>
      <c r="H691" s="2"/>
      <c r="L691" s="21">
        <f t="shared" si="20"/>
        <v>0</v>
      </c>
      <c r="N691" s="21">
        <f t="shared" si="21"/>
        <v>0</v>
      </c>
      <c r="O691" s="2" cm="1">
        <f t="array" ref="O691:Q691">[1]!ConvertFeet(N691)</f>
        <v>0</v>
      </c>
      <c r="P691" s="2">
        <v>0</v>
      </c>
      <c r="Q691" s="2">
        <v>0</v>
      </c>
    </row>
    <row r="692" spans="1:17" x14ac:dyDescent="0.6">
      <c r="A692" s="35">
        <v>692</v>
      </c>
      <c r="D692" s="23" t="str" cm="1">
        <f t="array" ref="D692">IFERROR([1]!CalculateHyphenString(C692),"")</f>
        <v/>
      </c>
      <c r="G692" s="26"/>
      <c r="H692" s="2"/>
      <c r="L692" s="21">
        <f t="shared" si="20"/>
        <v>0</v>
      </c>
      <c r="N692" s="21">
        <f t="shared" si="21"/>
        <v>0</v>
      </c>
      <c r="O692" s="2" cm="1">
        <f t="array" ref="O692:Q692">[1]!ConvertFeet(N692)</f>
        <v>0</v>
      </c>
      <c r="P692" s="2">
        <v>0</v>
      </c>
      <c r="Q692" s="2">
        <v>0</v>
      </c>
    </row>
    <row r="693" spans="1:17" x14ac:dyDescent="0.6">
      <c r="A693" s="34">
        <v>693</v>
      </c>
      <c r="D693" s="23" t="str" cm="1">
        <f t="array" ref="D693">IFERROR([1]!CalculateHyphenString(C693),"")</f>
        <v/>
      </c>
      <c r="G693" s="26"/>
      <c r="H693" s="2"/>
      <c r="L693" s="21">
        <f t="shared" si="20"/>
        <v>0</v>
      </c>
      <c r="N693" s="21">
        <f t="shared" si="21"/>
        <v>0</v>
      </c>
      <c r="O693" s="2" cm="1">
        <f t="array" ref="O693:Q693">[1]!ConvertFeet(N693)</f>
        <v>0</v>
      </c>
      <c r="P693" s="2">
        <v>0</v>
      </c>
      <c r="Q693" s="2">
        <v>0</v>
      </c>
    </row>
    <row r="694" spans="1:17" x14ac:dyDescent="0.6">
      <c r="A694" s="35">
        <v>694</v>
      </c>
      <c r="D694" s="23" t="str" cm="1">
        <f t="array" ref="D694">IFERROR([1]!CalculateHyphenString(C694),"")</f>
        <v/>
      </c>
      <c r="G694" s="26"/>
      <c r="H694" s="2"/>
      <c r="L694" s="21">
        <f t="shared" si="20"/>
        <v>0</v>
      </c>
      <c r="N694" s="21">
        <f t="shared" si="21"/>
        <v>0</v>
      </c>
      <c r="O694" s="2" cm="1">
        <f t="array" ref="O694:Q694">[1]!ConvertFeet(N694)</f>
        <v>0</v>
      </c>
      <c r="P694" s="2">
        <v>0</v>
      </c>
      <c r="Q694" s="2">
        <v>0</v>
      </c>
    </row>
    <row r="695" spans="1:17" x14ac:dyDescent="0.6">
      <c r="A695" s="34">
        <v>695</v>
      </c>
      <c r="D695" s="23" t="str" cm="1">
        <f t="array" ref="D695">IFERROR([1]!CalculateHyphenString(C695),"")</f>
        <v/>
      </c>
      <c r="G695" s="26"/>
      <c r="H695" s="2"/>
      <c r="L695" s="21">
        <f t="shared" si="20"/>
        <v>0</v>
      </c>
      <c r="N695" s="21">
        <f t="shared" si="21"/>
        <v>0</v>
      </c>
      <c r="O695" s="2" cm="1">
        <f t="array" ref="O695:Q695">[1]!ConvertFeet(N695)</f>
        <v>0</v>
      </c>
      <c r="P695" s="2">
        <v>0</v>
      </c>
      <c r="Q695" s="2">
        <v>0</v>
      </c>
    </row>
    <row r="696" spans="1:17" x14ac:dyDescent="0.6">
      <c r="A696" s="35">
        <v>696</v>
      </c>
      <c r="D696" s="23" t="str" cm="1">
        <f t="array" ref="D696">IFERROR([1]!CalculateHyphenString(C696),"")</f>
        <v/>
      </c>
      <c r="G696" s="26"/>
      <c r="H696" s="2"/>
      <c r="L696" s="21">
        <f t="shared" si="20"/>
        <v>0</v>
      </c>
      <c r="N696" s="21">
        <f t="shared" si="21"/>
        <v>0</v>
      </c>
      <c r="O696" s="2" cm="1">
        <f t="array" ref="O696:Q696">[1]!ConvertFeet(N696)</f>
        <v>0</v>
      </c>
      <c r="P696" s="2">
        <v>0</v>
      </c>
      <c r="Q696" s="2">
        <v>0</v>
      </c>
    </row>
    <row r="697" spans="1:17" x14ac:dyDescent="0.6">
      <c r="A697" s="34">
        <v>697</v>
      </c>
      <c r="D697" s="23" t="str" cm="1">
        <f t="array" ref="D697">IFERROR([1]!CalculateHyphenString(C697),"")</f>
        <v/>
      </c>
      <c r="G697" s="26"/>
      <c r="H697" s="2"/>
      <c r="L697" s="21">
        <f t="shared" si="20"/>
        <v>0</v>
      </c>
      <c r="N697" s="21">
        <f t="shared" si="21"/>
        <v>0</v>
      </c>
      <c r="O697" s="2" cm="1">
        <f t="array" ref="O697:Q697">[1]!ConvertFeet(N697)</f>
        <v>0</v>
      </c>
      <c r="P697" s="2">
        <v>0</v>
      </c>
      <c r="Q697" s="2">
        <v>0</v>
      </c>
    </row>
    <row r="698" spans="1:17" x14ac:dyDescent="0.6">
      <c r="A698" s="35">
        <v>698</v>
      </c>
      <c r="D698" s="23" t="str" cm="1">
        <f t="array" ref="D698">IFERROR([1]!CalculateHyphenString(C698),"")</f>
        <v/>
      </c>
      <c r="G698" s="26"/>
      <c r="H698" s="2"/>
      <c r="L698" s="21">
        <f t="shared" si="20"/>
        <v>0</v>
      </c>
      <c r="N698" s="21">
        <f t="shared" si="21"/>
        <v>0</v>
      </c>
      <c r="O698" s="2" cm="1">
        <f t="array" ref="O698:Q698">[1]!ConvertFeet(N698)</f>
        <v>0</v>
      </c>
      <c r="P698" s="2">
        <v>0</v>
      </c>
      <c r="Q698" s="2">
        <v>0</v>
      </c>
    </row>
    <row r="699" spans="1:17" x14ac:dyDescent="0.6">
      <c r="A699" s="34">
        <v>699</v>
      </c>
      <c r="D699" s="23" t="str" cm="1">
        <f t="array" ref="D699">IFERROR([1]!CalculateHyphenString(C699),"")</f>
        <v/>
      </c>
      <c r="G699" s="26"/>
      <c r="H699" s="2"/>
      <c r="L699" s="21">
        <f t="shared" si="20"/>
        <v>0</v>
      </c>
      <c r="N699" s="21">
        <f t="shared" si="21"/>
        <v>0</v>
      </c>
      <c r="O699" s="2" cm="1">
        <f t="array" ref="O699:Q699">[1]!ConvertFeet(N699)</f>
        <v>0</v>
      </c>
      <c r="P699" s="2">
        <v>0</v>
      </c>
      <c r="Q699" s="2">
        <v>0</v>
      </c>
    </row>
    <row r="700" spans="1:17" x14ac:dyDescent="0.6">
      <c r="A700" s="35">
        <v>700</v>
      </c>
      <c r="D700" s="23" t="str" cm="1">
        <f t="array" ref="D700">IFERROR([1]!CalculateHyphenString(C700),"")</f>
        <v/>
      </c>
      <c r="G700" s="26"/>
      <c r="H700" s="2"/>
      <c r="L700" s="21">
        <f t="shared" si="20"/>
        <v>0</v>
      </c>
      <c r="N700" s="21">
        <f t="shared" si="21"/>
        <v>0</v>
      </c>
      <c r="O700" s="2" cm="1">
        <f t="array" ref="O700:Q700">[1]!ConvertFeet(N700)</f>
        <v>0</v>
      </c>
      <c r="P700" s="2">
        <v>0</v>
      </c>
      <c r="Q700" s="2">
        <v>0</v>
      </c>
    </row>
    <row r="701" spans="1:17" x14ac:dyDescent="0.6">
      <c r="A701" s="34">
        <v>701</v>
      </c>
      <c r="D701" s="23" t="str" cm="1">
        <f t="array" ref="D701">IFERROR([1]!CalculateHyphenString(C701),"")</f>
        <v/>
      </c>
      <c r="G701" s="26"/>
      <c r="H701" s="2"/>
      <c r="L701" s="21">
        <f t="shared" si="20"/>
        <v>0</v>
      </c>
      <c r="N701" s="21">
        <f t="shared" si="21"/>
        <v>0</v>
      </c>
      <c r="O701" s="2" cm="1">
        <f t="array" ref="O701:Q701">[1]!ConvertFeet(N701)</f>
        <v>0</v>
      </c>
      <c r="P701" s="2">
        <v>0</v>
      </c>
      <c r="Q701" s="2">
        <v>0</v>
      </c>
    </row>
    <row r="702" spans="1:17" x14ac:dyDescent="0.6">
      <c r="A702" s="35">
        <v>702</v>
      </c>
      <c r="D702" s="23" t="str" cm="1">
        <f t="array" ref="D702">IFERROR([1]!CalculateHyphenString(C702),"")</f>
        <v/>
      </c>
      <c r="G702" s="26"/>
      <c r="H702" s="2"/>
      <c r="L702" s="21">
        <f t="shared" si="20"/>
        <v>0</v>
      </c>
      <c r="N702" s="21">
        <f t="shared" si="21"/>
        <v>0</v>
      </c>
      <c r="O702" s="2" cm="1">
        <f t="array" ref="O702:Q702">[1]!ConvertFeet(N702)</f>
        <v>0</v>
      </c>
      <c r="P702" s="2">
        <v>0</v>
      </c>
      <c r="Q702" s="2">
        <v>0</v>
      </c>
    </row>
    <row r="703" spans="1:17" x14ac:dyDescent="0.6">
      <c r="A703" s="34">
        <v>703</v>
      </c>
      <c r="D703" s="23" t="str" cm="1">
        <f t="array" ref="D703">IFERROR([1]!CalculateHyphenString(C703),"")</f>
        <v/>
      </c>
      <c r="G703" s="26"/>
      <c r="H703" s="2"/>
      <c r="L703" s="21">
        <f t="shared" si="20"/>
        <v>0</v>
      </c>
      <c r="N703" s="21">
        <f t="shared" si="21"/>
        <v>0</v>
      </c>
      <c r="O703" s="2" cm="1">
        <f t="array" ref="O703:Q703">[1]!ConvertFeet(N703)</f>
        <v>0</v>
      </c>
      <c r="P703" s="2">
        <v>0</v>
      </c>
      <c r="Q703" s="2">
        <v>0</v>
      </c>
    </row>
    <row r="704" spans="1:17" x14ac:dyDescent="0.6">
      <c r="A704" s="35">
        <v>704</v>
      </c>
      <c r="D704" s="23" t="str" cm="1">
        <f t="array" ref="D704">IFERROR([1]!CalculateHyphenString(C704),"")</f>
        <v/>
      </c>
      <c r="G704" s="26"/>
      <c r="H704" s="2"/>
      <c r="L704" s="21">
        <f t="shared" si="20"/>
        <v>0</v>
      </c>
      <c r="N704" s="21">
        <f t="shared" si="21"/>
        <v>0</v>
      </c>
      <c r="O704" s="2" cm="1">
        <f t="array" ref="O704:Q704">[1]!ConvertFeet(N704)</f>
        <v>0</v>
      </c>
      <c r="P704" s="2">
        <v>0</v>
      </c>
      <c r="Q704" s="2">
        <v>0</v>
      </c>
    </row>
    <row r="705" spans="1:17" x14ac:dyDescent="0.6">
      <c r="A705" s="34">
        <v>705</v>
      </c>
      <c r="D705" s="23" t="str" cm="1">
        <f t="array" ref="D705">IFERROR([1]!CalculateHyphenString(C705),"")</f>
        <v/>
      </c>
      <c r="G705" s="26"/>
      <c r="H705" s="2"/>
      <c r="L705" s="21">
        <f t="shared" si="20"/>
        <v>0</v>
      </c>
      <c r="N705" s="21">
        <f t="shared" si="21"/>
        <v>0</v>
      </c>
      <c r="O705" s="2" cm="1">
        <f t="array" ref="O705:Q705">[1]!ConvertFeet(N705)</f>
        <v>0</v>
      </c>
      <c r="P705" s="2">
        <v>0</v>
      </c>
      <c r="Q705" s="2">
        <v>0</v>
      </c>
    </row>
    <row r="706" spans="1:17" x14ac:dyDescent="0.6">
      <c r="A706" s="35">
        <v>706</v>
      </c>
      <c r="D706" s="23" t="str" cm="1">
        <f t="array" ref="D706">IFERROR([1]!CalculateHyphenString(C706),"")</f>
        <v/>
      </c>
      <c r="G706" s="26"/>
      <c r="H706" s="2"/>
      <c r="L706" s="21">
        <f t="shared" si="20"/>
        <v>0</v>
      </c>
      <c r="N706" s="21">
        <f t="shared" si="21"/>
        <v>0</v>
      </c>
      <c r="O706" s="2" cm="1">
        <f t="array" ref="O706:Q706">[1]!ConvertFeet(N706)</f>
        <v>0</v>
      </c>
      <c r="P706" s="2">
        <v>0</v>
      </c>
      <c r="Q706" s="2">
        <v>0</v>
      </c>
    </row>
    <row r="707" spans="1:17" x14ac:dyDescent="0.6">
      <c r="A707" s="34">
        <v>707</v>
      </c>
      <c r="D707" s="23" t="str" cm="1">
        <f t="array" ref="D707">IFERROR([1]!CalculateHyphenString(C707),"")</f>
        <v/>
      </c>
      <c r="G707" s="26"/>
      <c r="H707" s="2"/>
      <c r="L707" s="21">
        <f t="shared" si="20"/>
        <v>0</v>
      </c>
      <c r="N707" s="21">
        <f t="shared" si="21"/>
        <v>0</v>
      </c>
      <c r="O707" s="2" cm="1">
        <f t="array" ref="O707:Q707">[1]!ConvertFeet(N707)</f>
        <v>0</v>
      </c>
      <c r="P707" s="2">
        <v>0</v>
      </c>
      <c r="Q707" s="2">
        <v>0</v>
      </c>
    </row>
    <row r="708" spans="1:17" x14ac:dyDescent="0.6">
      <c r="A708" s="35">
        <v>708</v>
      </c>
      <c r="D708" s="23" t="str" cm="1">
        <f t="array" ref="D708">IFERROR([1]!CalculateHyphenString(C708),"")</f>
        <v/>
      </c>
      <c r="G708" s="26"/>
      <c r="H708" s="2"/>
      <c r="L708" s="21">
        <f t="shared" si="20"/>
        <v>0</v>
      </c>
      <c r="N708" s="21">
        <f t="shared" si="21"/>
        <v>0</v>
      </c>
      <c r="O708" s="2" cm="1">
        <f t="array" ref="O708:Q708">[1]!ConvertFeet(N708)</f>
        <v>0</v>
      </c>
      <c r="P708" s="2">
        <v>0</v>
      </c>
      <c r="Q708" s="2">
        <v>0</v>
      </c>
    </row>
    <row r="709" spans="1:17" x14ac:dyDescent="0.6">
      <c r="A709" s="34">
        <v>709</v>
      </c>
      <c r="D709" s="23" t="str" cm="1">
        <f t="array" ref="D709">IFERROR([1]!CalculateHyphenString(C709),"")</f>
        <v/>
      </c>
      <c r="G709" s="26"/>
      <c r="H709" s="2"/>
      <c r="L709" s="21">
        <f t="shared" si="20"/>
        <v>0</v>
      </c>
      <c r="N709" s="21">
        <f t="shared" si="21"/>
        <v>0</v>
      </c>
      <c r="O709" s="2" cm="1">
        <f t="array" ref="O709:Q709">[1]!ConvertFeet(N709)</f>
        <v>0</v>
      </c>
      <c r="P709" s="2">
        <v>0</v>
      </c>
      <c r="Q709" s="2">
        <v>0</v>
      </c>
    </row>
    <row r="710" spans="1:17" x14ac:dyDescent="0.6">
      <c r="A710" s="35">
        <v>710</v>
      </c>
      <c r="D710" s="23" t="str" cm="1">
        <f t="array" ref="D710">IFERROR([1]!CalculateHyphenString(C710),"")</f>
        <v/>
      </c>
      <c r="G710" s="26"/>
      <c r="H710" s="2"/>
      <c r="L710" s="21">
        <f t="shared" si="20"/>
        <v>0</v>
      </c>
      <c r="N710" s="21">
        <f t="shared" si="21"/>
        <v>0</v>
      </c>
      <c r="O710" s="2" cm="1">
        <f t="array" ref="O710:Q710">[1]!ConvertFeet(N710)</f>
        <v>0</v>
      </c>
      <c r="P710" s="2">
        <v>0</v>
      </c>
      <c r="Q710" s="2">
        <v>0</v>
      </c>
    </row>
    <row r="711" spans="1:17" x14ac:dyDescent="0.6">
      <c r="A711" s="34">
        <v>711</v>
      </c>
      <c r="D711" s="23" t="str" cm="1">
        <f t="array" ref="D711">IFERROR([1]!CalculateHyphenString(C711),"")</f>
        <v/>
      </c>
      <c r="G711" s="26"/>
      <c r="H711" s="2"/>
      <c r="L711" s="21">
        <f t="shared" ref="L711:L774" si="22">(K711*$G$3)/100</f>
        <v>0</v>
      </c>
      <c r="N711" s="21">
        <f t="shared" ref="N711:N774" si="23">K711-(L711+M711)</f>
        <v>0</v>
      </c>
      <c r="O711" s="2" cm="1">
        <f t="array" ref="O711:Q711">[1]!ConvertFeet(N711)</f>
        <v>0</v>
      </c>
      <c r="P711" s="2">
        <v>0</v>
      </c>
      <c r="Q711" s="2">
        <v>0</v>
      </c>
    </row>
    <row r="712" spans="1:17" x14ac:dyDescent="0.6">
      <c r="A712" s="35">
        <v>712</v>
      </c>
      <c r="D712" s="23" t="str" cm="1">
        <f t="array" ref="D712">IFERROR([1]!CalculateHyphenString(C712),"")</f>
        <v/>
      </c>
      <c r="G712" s="26"/>
      <c r="H712" s="2"/>
      <c r="L712" s="21">
        <f t="shared" si="22"/>
        <v>0</v>
      </c>
      <c r="N712" s="21">
        <f t="shared" si="23"/>
        <v>0</v>
      </c>
      <c r="O712" s="2" cm="1">
        <f t="array" ref="O712:Q712">[1]!ConvertFeet(N712)</f>
        <v>0</v>
      </c>
      <c r="P712" s="2">
        <v>0</v>
      </c>
      <c r="Q712" s="2">
        <v>0</v>
      </c>
    </row>
    <row r="713" spans="1:17" x14ac:dyDescent="0.6">
      <c r="A713" s="34">
        <v>713</v>
      </c>
      <c r="D713" s="23" t="str" cm="1">
        <f t="array" ref="D713">IFERROR([1]!CalculateHyphenString(C713),"")</f>
        <v/>
      </c>
      <c r="G713" s="26"/>
      <c r="H713" s="2"/>
      <c r="L713" s="21">
        <f t="shared" si="22"/>
        <v>0</v>
      </c>
      <c r="N713" s="21">
        <f t="shared" si="23"/>
        <v>0</v>
      </c>
      <c r="O713" s="2" cm="1">
        <f t="array" ref="O713:Q713">[1]!ConvertFeet(N713)</f>
        <v>0</v>
      </c>
      <c r="P713" s="2">
        <v>0</v>
      </c>
      <c r="Q713" s="2">
        <v>0</v>
      </c>
    </row>
    <row r="714" spans="1:17" x14ac:dyDescent="0.6">
      <c r="A714" s="35">
        <v>714</v>
      </c>
      <c r="D714" s="23" t="str" cm="1">
        <f t="array" ref="D714">IFERROR([1]!CalculateHyphenString(C714),"")</f>
        <v/>
      </c>
      <c r="G714" s="26"/>
      <c r="H714" s="2"/>
      <c r="L714" s="21">
        <f t="shared" si="22"/>
        <v>0</v>
      </c>
      <c r="N714" s="21">
        <f t="shared" si="23"/>
        <v>0</v>
      </c>
      <c r="O714" s="2" cm="1">
        <f t="array" ref="O714:Q714">[1]!ConvertFeet(N714)</f>
        <v>0</v>
      </c>
      <c r="P714" s="2">
        <v>0</v>
      </c>
      <c r="Q714" s="2">
        <v>0</v>
      </c>
    </row>
    <row r="715" spans="1:17" x14ac:dyDescent="0.6">
      <c r="A715" s="34">
        <v>715</v>
      </c>
      <c r="D715" s="23" t="str" cm="1">
        <f t="array" ref="D715">IFERROR([1]!CalculateHyphenString(C715),"")</f>
        <v/>
      </c>
      <c r="G715" s="26"/>
      <c r="H715" s="2"/>
      <c r="L715" s="21">
        <f t="shared" si="22"/>
        <v>0</v>
      </c>
      <c r="N715" s="21">
        <f t="shared" si="23"/>
        <v>0</v>
      </c>
      <c r="O715" s="2" cm="1">
        <f t="array" ref="O715:Q715">[1]!ConvertFeet(N715)</f>
        <v>0</v>
      </c>
      <c r="P715" s="2">
        <v>0</v>
      </c>
      <c r="Q715" s="2">
        <v>0</v>
      </c>
    </row>
    <row r="716" spans="1:17" x14ac:dyDescent="0.6">
      <c r="A716" s="35">
        <v>716</v>
      </c>
      <c r="D716" s="23" t="str" cm="1">
        <f t="array" ref="D716">IFERROR([1]!CalculateHyphenString(C716),"")</f>
        <v/>
      </c>
      <c r="G716" s="26"/>
      <c r="H716" s="2"/>
      <c r="L716" s="21">
        <f t="shared" si="22"/>
        <v>0</v>
      </c>
      <c r="N716" s="21">
        <f t="shared" si="23"/>
        <v>0</v>
      </c>
      <c r="O716" s="2" cm="1">
        <f t="array" ref="O716:Q716">[1]!ConvertFeet(N716)</f>
        <v>0</v>
      </c>
      <c r="P716" s="2">
        <v>0</v>
      </c>
      <c r="Q716" s="2">
        <v>0</v>
      </c>
    </row>
    <row r="717" spans="1:17" x14ac:dyDescent="0.6">
      <c r="A717" s="34">
        <v>717</v>
      </c>
      <c r="D717" s="23" t="str" cm="1">
        <f t="array" ref="D717">IFERROR([1]!CalculateHyphenString(C717),"")</f>
        <v/>
      </c>
      <c r="G717" s="26"/>
      <c r="H717" s="2"/>
      <c r="L717" s="21">
        <f t="shared" si="22"/>
        <v>0</v>
      </c>
      <c r="N717" s="21">
        <f t="shared" si="23"/>
        <v>0</v>
      </c>
      <c r="O717" s="2" cm="1">
        <f t="array" ref="O717:Q717">[1]!ConvertFeet(N717)</f>
        <v>0</v>
      </c>
      <c r="P717" s="2">
        <v>0</v>
      </c>
      <c r="Q717" s="2">
        <v>0</v>
      </c>
    </row>
    <row r="718" spans="1:17" x14ac:dyDescent="0.6">
      <c r="A718" s="35">
        <v>718</v>
      </c>
      <c r="D718" s="23" t="str" cm="1">
        <f t="array" ref="D718">IFERROR([1]!CalculateHyphenString(C718),"")</f>
        <v/>
      </c>
      <c r="G718" s="26"/>
      <c r="H718" s="2"/>
      <c r="L718" s="21">
        <f t="shared" si="22"/>
        <v>0</v>
      </c>
      <c r="N718" s="21">
        <f t="shared" si="23"/>
        <v>0</v>
      </c>
      <c r="O718" s="2" cm="1">
        <f t="array" ref="O718:Q718">[1]!ConvertFeet(N718)</f>
        <v>0</v>
      </c>
      <c r="P718" s="2">
        <v>0</v>
      </c>
      <c r="Q718" s="2">
        <v>0</v>
      </c>
    </row>
    <row r="719" spans="1:17" x14ac:dyDescent="0.6">
      <c r="A719" s="34">
        <v>719</v>
      </c>
      <c r="D719" s="23" t="str" cm="1">
        <f t="array" ref="D719">IFERROR([1]!CalculateHyphenString(C719),"")</f>
        <v/>
      </c>
      <c r="G719" s="26"/>
      <c r="H719" s="2"/>
      <c r="L719" s="21">
        <f t="shared" si="22"/>
        <v>0</v>
      </c>
      <c r="N719" s="21">
        <f t="shared" si="23"/>
        <v>0</v>
      </c>
      <c r="O719" s="2" cm="1">
        <f t="array" ref="O719:Q719">[1]!ConvertFeet(N719)</f>
        <v>0</v>
      </c>
      <c r="P719" s="2">
        <v>0</v>
      </c>
      <c r="Q719" s="2">
        <v>0</v>
      </c>
    </row>
    <row r="720" spans="1:17" x14ac:dyDescent="0.6">
      <c r="A720" s="35">
        <v>720</v>
      </c>
      <c r="D720" s="23" t="str" cm="1">
        <f t="array" ref="D720">IFERROR([1]!CalculateHyphenString(C720),"")</f>
        <v/>
      </c>
      <c r="G720" s="26"/>
      <c r="H720" s="2"/>
      <c r="L720" s="21">
        <f t="shared" si="22"/>
        <v>0</v>
      </c>
      <c r="N720" s="21">
        <f t="shared" si="23"/>
        <v>0</v>
      </c>
      <c r="O720" s="2" cm="1">
        <f t="array" ref="O720:Q720">[1]!ConvertFeet(N720)</f>
        <v>0</v>
      </c>
      <c r="P720" s="2">
        <v>0</v>
      </c>
      <c r="Q720" s="2">
        <v>0</v>
      </c>
    </row>
    <row r="721" spans="1:17" x14ac:dyDescent="0.6">
      <c r="A721" s="34">
        <v>721</v>
      </c>
      <c r="D721" s="23" t="str" cm="1">
        <f t="array" ref="D721">IFERROR([1]!CalculateHyphenString(C721),"")</f>
        <v/>
      </c>
      <c r="G721" s="26"/>
      <c r="H721" s="2"/>
      <c r="L721" s="21">
        <f t="shared" si="22"/>
        <v>0</v>
      </c>
      <c r="N721" s="21">
        <f t="shared" si="23"/>
        <v>0</v>
      </c>
      <c r="O721" s="2" cm="1">
        <f t="array" ref="O721:Q721">[1]!ConvertFeet(N721)</f>
        <v>0</v>
      </c>
      <c r="P721" s="2">
        <v>0</v>
      </c>
      <c r="Q721" s="2">
        <v>0</v>
      </c>
    </row>
    <row r="722" spans="1:17" x14ac:dyDescent="0.6">
      <c r="A722" s="35">
        <v>722</v>
      </c>
      <c r="D722" s="23" t="str" cm="1">
        <f t="array" ref="D722">IFERROR([1]!CalculateHyphenString(C722),"")</f>
        <v/>
      </c>
      <c r="G722" s="26"/>
      <c r="H722" s="2"/>
      <c r="L722" s="21">
        <f t="shared" si="22"/>
        <v>0</v>
      </c>
      <c r="N722" s="21">
        <f t="shared" si="23"/>
        <v>0</v>
      </c>
      <c r="O722" s="2" cm="1">
        <f t="array" ref="O722:Q722">[1]!ConvertFeet(N722)</f>
        <v>0</v>
      </c>
      <c r="P722" s="2">
        <v>0</v>
      </c>
      <c r="Q722" s="2">
        <v>0</v>
      </c>
    </row>
    <row r="723" spans="1:17" x14ac:dyDescent="0.6">
      <c r="A723" s="34">
        <v>723</v>
      </c>
      <c r="D723" s="23" t="str" cm="1">
        <f t="array" ref="D723">IFERROR([1]!CalculateHyphenString(C723),"")</f>
        <v/>
      </c>
      <c r="G723" s="26"/>
      <c r="H723" s="2"/>
      <c r="L723" s="21">
        <f t="shared" si="22"/>
        <v>0</v>
      </c>
      <c r="N723" s="21">
        <f t="shared" si="23"/>
        <v>0</v>
      </c>
      <c r="O723" s="2" cm="1">
        <f t="array" ref="O723:Q723">[1]!ConvertFeet(N723)</f>
        <v>0</v>
      </c>
      <c r="P723" s="2">
        <v>0</v>
      </c>
      <c r="Q723" s="2">
        <v>0</v>
      </c>
    </row>
    <row r="724" spans="1:17" x14ac:dyDescent="0.6">
      <c r="A724" s="35">
        <v>724</v>
      </c>
      <c r="D724" s="23" t="str" cm="1">
        <f t="array" ref="D724">IFERROR([1]!CalculateHyphenString(C724),"")</f>
        <v/>
      </c>
      <c r="G724" s="26"/>
      <c r="H724" s="2"/>
      <c r="L724" s="21">
        <f t="shared" si="22"/>
        <v>0</v>
      </c>
      <c r="N724" s="21">
        <f t="shared" si="23"/>
        <v>0</v>
      </c>
      <c r="O724" s="2" cm="1">
        <f t="array" ref="O724:Q724">[1]!ConvertFeet(N724)</f>
        <v>0</v>
      </c>
      <c r="P724" s="2">
        <v>0</v>
      </c>
      <c r="Q724" s="2">
        <v>0</v>
      </c>
    </row>
    <row r="725" spans="1:17" x14ac:dyDescent="0.6">
      <c r="A725" s="34">
        <v>725</v>
      </c>
      <c r="D725" s="23" t="str" cm="1">
        <f t="array" ref="D725">IFERROR([1]!CalculateHyphenString(C725),"")</f>
        <v/>
      </c>
      <c r="G725" s="26"/>
      <c r="H725" s="2"/>
      <c r="L725" s="21">
        <f t="shared" si="22"/>
        <v>0</v>
      </c>
      <c r="N725" s="21">
        <f t="shared" si="23"/>
        <v>0</v>
      </c>
      <c r="O725" s="2" cm="1">
        <f t="array" ref="O725:Q725">[1]!ConvertFeet(N725)</f>
        <v>0</v>
      </c>
      <c r="P725" s="2">
        <v>0</v>
      </c>
      <c r="Q725" s="2">
        <v>0</v>
      </c>
    </row>
    <row r="726" spans="1:17" x14ac:dyDescent="0.6">
      <c r="A726" s="35">
        <v>726</v>
      </c>
      <c r="D726" s="23" t="str" cm="1">
        <f t="array" ref="D726">IFERROR([1]!CalculateHyphenString(C726),"")</f>
        <v/>
      </c>
      <c r="G726" s="26"/>
      <c r="H726" s="2"/>
      <c r="L726" s="21">
        <f t="shared" si="22"/>
        <v>0</v>
      </c>
      <c r="N726" s="21">
        <f t="shared" si="23"/>
        <v>0</v>
      </c>
      <c r="O726" s="2" cm="1">
        <f t="array" ref="O726:Q726">[1]!ConvertFeet(N726)</f>
        <v>0</v>
      </c>
      <c r="P726" s="2">
        <v>0</v>
      </c>
      <c r="Q726" s="2">
        <v>0</v>
      </c>
    </row>
    <row r="727" spans="1:17" x14ac:dyDescent="0.6">
      <c r="A727" s="34">
        <v>727</v>
      </c>
      <c r="D727" s="23" t="str" cm="1">
        <f t="array" ref="D727">IFERROR([1]!CalculateHyphenString(C727),"")</f>
        <v/>
      </c>
      <c r="G727" s="26"/>
      <c r="H727" s="2"/>
      <c r="L727" s="21">
        <f t="shared" si="22"/>
        <v>0</v>
      </c>
      <c r="N727" s="21">
        <f t="shared" si="23"/>
        <v>0</v>
      </c>
      <c r="O727" s="2" cm="1">
        <f t="array" ref="O727:Q727">[1]!ConvertFeet(N727)</f>
        <v>0</v>
      </c>
      <c r="P727" s="2">
        <v>0</v>
      </c>
      <c r="Q727" s="2">
        <v>0</v>
      </c>
    </row>
    <row r="728" spans="1:17" x14ac:dyDescent="0.6">
      <c r="A728" s="35">
        <v>728</v>
      </c>
      <c r="D728" s="23" t="str" cm="1">
        <f t="array" ref="D728">IFERROR([1]!CalculateHyphenString(C728),"")</f>
        <v/>
      </c>
      <c r="G728" s="26"/>
      <c r="H728" s="2"/>
      <c r="L728" s="21">
        <f t="shared" si="22"/>
        <v>0</v>
      </c>
      <c r="N728" s="21">
        <f t="shared" si="23"/>
        <v>0</v>
      </c>
      <c r="O728" s="2" cm="1">
        <f t="array" ref="O728:Q728">[1]!ConvertFeet(N728)</f>
        <v>0</v>
      </c>
      <c r="P728" s="2">
        <v>0</v>
      </c>
      <c r="Q728" s="2">
        <v>0</v>
      </c>
    </row>
    <row r="729" spans="1:17" x14ac:dyDescent="0.6">
      <c r="A729" s="34">
        <v>729</v>
      </c>
      <c r="D729" s="23" t="str" cm="1">
        <f t="array" ref="D729">IFERROR([1]!CalculateHyphenString(C729),"")</f>
        <v/>
      </c>
      <c r="G729" s="26"/>
      <c r="H729" s="2"/>
      <c r="L729" s="21">
        <f t="shared" si="22"/>
        <v>0</v>
      </c>
      <c r="N729" s="21">
        <f t="shared" si="23"/>
        <v>0</v>
      </c>
      <c r="O729" s="2" cm="1">
        <f t="array" ref="O729:Q729">[1]!ConvertFeet(N729)</f>
        <v>0</v>
      </c>
      <c r="P729" s="2">
        <v>0</v>
      </c>
      <c r="Q729" s="2">
        <v>0</v>
      </c>
    </row>
    <row r="730" spans="1:17" x14ac:dyDescent="0.6">
      <c r="A730" s="35">
        <v>730</v>
      </c>
      <c r="D730" s="23" t="str" cm="1">
        <f t="array" ref="D730">IFERROR([1]!CalculateHyphenString(C730),"")</f>
        <v/>
      </c>
      <c r="G730" s="26"/>
      <c r="H730" s="2"/>
      <c r="L730" s="21">
        <f t="shared" si="22"/>
        <v>0</v>
      </c>
      <c r="N730" s="21">
        <f t="shared" si="23"/>
        <v>0</v>
      </c>
      <c r="O730" s="2" cm="1">
        <f t="array" ref="O730:Q730">[1]!ConvertFeet(N730)</f>
        <v>0</v>
      </c>
      <c r="P730" s="2">
        <v>0</v>
      </c>
      <c r="Q730" s="2">
        <v>0</v>
      </c>
    </row>
    <row r="731" spans="1:17" x14ac:dyDescent="0.6">
      <c r="A731" s="34">
        <v>731</v>
      </c>
      <c r="D731" s="23" t="str" cm="1">
        <f t="array" ref="D731">IFERROR([1]!CalculateHyphenString(C731),"")</f>
        <v/>
      </c>
      <c r="G731" s="26"/>
      <c r="H731" s="2"/>
      <c r="L731" s="21">
        <f t="shared" si="22"/>
        <v>0</v>
      </c>
      <c r="N731" s="21">
        <f t="shared" si="23"/>
        <v>0</v>
      </c>
      <c r="O731" s="2" cm="1">
        <f t="array" ref="O731:Q731">[1]!ConvertFeet(N731)</f>
        <v>0</v>
      </c>
      <c r="P731" s="2">
        <v>0</v>
      </c>
      <c r="Q731" s="2">
        <v>0</v>
      </c>
    </row>
    <row r="732" spans="1:17" x14ac:dyDescent="0.6">
      <c r="A732" s="35">
        <v>732</v>
      </c>
      <c r="D732" s="23" t="str" cm="1">
        <f t="array" ref="D732">IFERROR([1]!CalculateHyphenString(C732),"")</f>
        <v/>
      </c>
      <c r="G732" s="26"/>
      <c r="H732" s="2"/>
      <c r="L732" s="21">
        <f t="shared" si="22"/>
        <v>0</v>
      </c>
      <c r="N732" s="21">
        <f t="shared" si="23"/>
        <v>0</v>
      </c>
      <c r="O732" s="2" cm="1">
        <f t="array" ref="O732:Q732">[1]!ConvertFeet(N732)</f>
        <v>0</v>
      </c>
      <c r="P732" s="2">
        <v>0</v>
      </c>
      <c r="Q732" s="2">
        <v>0</v>
      </c>
    </row>
    <row r="733" spans="1:17" x14ac:dyDescent="0.6">
      <c r="A733" s="34">
        <v>733</v>
      </c>
      <c r="D733" s="23" t="str" cm="1">
        <f t="array" ref="D733">IFERROR([1]!CalculateHyphenString(C733),"")</f>
        <v/>
      </c>
      <c r="G733" s="26"/>
      <c r="H733" s="2"/>
      <c r="L733" s="21">
        <f t="shared" si="22"/>
        <v>0</v>
      </c>
      <c r="N733" s="21">
        <f t="shared" si="23"/>
        <v>0</v>
      </c>
      <c r="O733" s="2" cm="1">
        <f t="array" ref="O733:Q733">[1]!ConvertFeet(N733)</f>
        <v>0</v>
      </c>
      <c r="P733" s="2">
        <v>0</v>
      </c>
      <c r="Q733" s="2">
        <v>0</v>
      </c>
    </row>
    <row r="734" spans="1:17" x14ac:dyDescent="0.6">
      <c r="A734" s="35">
        <v>734</v>
      </c>
      <c r="D734" s="23" t="str" cm="1">
        <f t="array" ref="D734">IFERROR([1]!CalculateHyphenString(C734),"")</f>
        <v/>
      </c>
      <c r="G734" s="26"/>
      <c r="H734" s="2"/>
      <c r="L734" s="21">
        <f t="shared" si="22"/>
        <v>0</v>
      </c>
      <c r="N734" s="21">
        <f t="shared" si="23"/>
        <v>0</v>
      </c>
      <c r="O734" s="2" cm="1">
        <f t="array" ref="O734:Q734">[1]!ConvertFeet(N734)</f>
        <v>0</v>
      </c>
      <c r="P734" s="2">
        <v>0</v>
      </c>
      <c r="Q734" s="2">
        <v>0</v>
      </c>
    </row>
    <row r="735" spans="1:17" x14ac:dyDescent="0.6">
      <c r="A735" s="34">
        <v>735</v>
      </c>
      <c r="D735" s="23" t="str" cm="1">
        <f t="array" ref="D735">IFERROR([1]!CalculateHyphenString(C735),"")</f>
        <v/>
      </c>
      <c r="G735" s="26"/>
      <c r="H735" s="2"/>
      <c r="L735" s="21">
        <f t="shared" si="22"/>
        <v>0</v>
      </c>
      <c r="N735" s="21">
        <f t="shared" si="23"/>
        <v>0</v>
      </c>
      <c r="O735" s="2" cm="1">
        <f t="array" ref="O735:Q735">[1]!ConvertFeet(N735)</f>
        <v>0</v>
      </c>
      <c r="P735" s="2">
        <v>0</v>
      </c>
      <c r="Q735" s="2">
        <v>0</v>
      </c>
    </row>
    <row r="736" spans="1:17" x14ac:dyDescent="0.6">
      <c r="A736" s="35">
        <v>736</v>
      </c>
      <c r="D736" s="23" t="str" cm="1">
        <f t="array" ref="D736">IFERROR([1]!CalculateHyphenString(C736),"")</f>
        <v/>
      </c>
      <c r="G736" s="26"/>
      <c r="H736" s="2"/>
      <c r="L736" s="21">
        <f t="shared" si="22"/>
        <v>0</v>
      </c>
      <c r="N736" s="21">
        <f t="shared" si="23"/>
        <v>0</v>
      </c>
      <c r="O736" s="2" cm="1">
        <f t="array" ref="O736:Q736">[1]!ConvertFeet(N736)</f>
        <v>0</v>
      </c>
      <c r="P736" s="2">
        <v>0</v>
      </c>
      <c r="Q736" s="2">
        <v>0</v>
      </c>
    </row>
    <row r="737" spans="1:17" x14ac:dyDescent="0.6">
      <c r="A737" s="34">
        <v>737</v>
      </c>
      <c r="D737" s="23" t="str" cm="1">
        <f t="array" ref="D737">IFERROR([1]!CalculateHyphenString(C737),"")</f>
        <v/>
      </c>
      <c r="G737" s="26"/>
      <c r="H737" s="2"/>
      <c r="L737" s="21">
        <f t="shared" si="22"/>
        <v>0</v>
      </c>
      <c r="N737" s="21">
        <f t="shared" si="23"/>
        <v>0</v>
      </c>
      <c r="O737" s="2" cm="1">
        <f t="array" ref="O737:Q737">[1]!ConvertFeet(N737)</f>
        <v>0</v>
      </c>
      <c r="P737" s="2">
        <v>0</v>
      </c>
      <c r="Q737" s="2">
        <v>0</v>
      </c>
    </row>
    <row r="738" spans="1:17" x14ac:dyDescent="0.6">
      <c r="A738" s="35">
        <v>738</v>
      </c>
      <c r="D738" s="23" t="str" cm="1">
        <f t="array" ref="D738">IFERROR([1]!CalculateHyphenString(C738),"")</f>
        <v/>
      </c>
      <c r="G738" s="26"/>
      <c r="H738" s="2"/>
      <c r="L738" s="21">
        <f t="shared" si="22"/>
        <v>0</v>
      </c>
      <c r="N738" s="21">
        <f t="shared" si="23"/>
        <v>0</v>
      </c>
      <c r="O738" s="2" cm="1">
        <f t="array" ref="O738:Q738">[1]!ConvertFeet(N738)</f>
        <v>0</v>
      </c>
      <c r="P738" s="2">
        <v>0</v>
      </c>
      <c r="Q738" s="2">
        <v>0</v>
      </c>
    </row>
    <row r="739" spans="1:17" x14ac:dyDescent="0.6">
      <c r="A739" s="34">
        <v>739</v>
      </c>
      <c r="D739" s="23" t="str" cm="1">
        <f t="array" ref="D739">IFERROR([1]!CalculateHyphenString(C739),"")</f>
        <v/>
      </c>
      <c r="G739" s="26"/>
      <c r="H739" s="2"/>
      <c r="L739" s="21">
        <f t="shared" si="22"/>
        <v>0</v>
      </c>
      <c r="N739" s="21">
        <f t="shared" si="23"/>
        <v>0</v>
      </c>
      <c r="O739" s="2" cm="1">
        <f t="array" ref="O739:Q739">[1]!ConvertFeet(N739)</f>
        <v>0</v>
      </c>
      <c r="P739" s="2">
        <v>0</v>
      </c>
      <c r="Q739" s="2">
        <v>0</v>
      </c>
    </row>
    <row r="740" spans="1:17" x14ac:dyDescent="0.6">
      <c r="A740" s="35">
        <v>740</v>
      </c>
      <c r="D740" s="23" t="str" cm="1">
        <f t="array" ref="D740">IFERROR([1]!CalculateHyphenString(C740),"")</f>
        <v/>
      </c>
      <c r="G740" s="26"/>
      <c r="H740" s="2"/>
      <c r="L740" s="21">
        <f t="shared" si="22"/>
        <v>0</v>
      </c>
      <c r="N740" s="21">
        <f t="shared" si="23"/>
        <v>0</v>
      </c>
      <c r="O740" s="2" cm="1">
        <f t="array" ref="O740:Q740">[1]!ConvertFeet(N740)</f>
        <v>0</v>
      </c>
      <c r="P740" s="2">
        <v>0</v>
      </c>
      <c r="Q740" s="2">
        <v>0</v>
      </c>
    </row>
    <row r="741" spans="1:17" x14ac:dyDescent="0.6">
      <c r="A741" s="34">
        <v>741</v>
      </c>
      <c r="D741" s="23" t="str" cm="1">
        <f t="array" ref="D741">IFERROR([1]!CalculateHyphenString(C741),"")</f>
        <v/>
      </c>
      <c r="G741" s="26"/>
      <c r="H741" s="2"/>
      <c r="L741" s="21">
        <f t="shared" si="22"/>
        <v>0</v>
      </c>
      <c r="N741" s="21">
        <f t="shared" si="23"/>
        <v>0</v>
      </c>
      <c r="O741" s="2" cm="1">
        <f t="array" ref="O741:Q741">[1]!ConvertFeet(N741)</f>
        <v>0</v>
      </c>
      <c r="P741" s="2">
        <v>0</v>
      </c>
      <c r="Q741" s="2">
        <v>0</v>
      </c>
    </row>
    <row r="742" spans="1:17" x14ac:dyDescent="0.6">
      <c r="A742" s="35">
        <v>742</v>
      </c>
      <c r="D742" s="23" t="str" cm="1">
        <f t="array" ref="D742">IFERROR([1]!CalculateHyphenString(C742),"")</f>
        <v/>
      </c>
      <c r="G742" s="26"/>
      <c r="H742" s="2"/>
      <c r="L742" s="21">
        <f t="shared" si="22"/>
        <v>0</v>
      </c>
      <c r="N742" s="21">
        <f t="shared" si="23"/>
        <v>0</v>
      </c>
      <c r="O742" s="2" cm="1">
        <f t="array" ref="O742:Q742">[1]!ConvertFeet(N742)</f>
        <v>0</v>
      </c>
      <c r="P742" s="2">
        <v>0</v>
      </c>
      <c r="Q742" s="2">
        <v>0</v>
      </c>
    </row>
    <row r="743" spans="1:17" x14ac:dyDescent="0.6">
      <c r="A743" s="34">
        <v>743</v>
      </c>
      <c r="D743" s="23" t="str" cm="1">
        <f t="array" ref="D743">IFERROR([1]!CalculateHyphenString(C743),"")</f>
        <v/>
      </c>
      <c r="G743" s="26"/>
      <c r="H743" s="2"/>
      <c r="L743" s="21">
        <f t="shared" si="22"/>
        <v>0</v>
      </c>
      <c r="N743" s="21">
        <f t="shared" si="23"/>
        <v>0</v>
      </c>
      <c r="O743" s="2" cm="1">
        <f t="array" ref="O743:Q743">[1]!ConvertFeet(N743)</f>
        <v>0</v>
      </c>
      <c r="P743" s="2">
        <v>0</v>
      </c>
      <c r="Q743" s="2">
        <v>0</v>
      </c>
    </row>
    <row r="744" spans="1:17" x14ac:dyDescent="0.6">
      <c r="A744" s="35">
        <v>744</v>
      </c>
      <c r="D744" s="23" t="str" cm="1">
        <f t="array" ref="D744">IFERROR([1]!CalculateHyphenString(C744),"")</f>
        <v/>
      </c>
      <c r="G744" s="26"/>
      <c r="H744" s="2"/>
      <c r="L744" s="21">
        <f t="shared" si="22"/>
        <v>0</v>
      </c>
      <c r="N744" s="21">
        <f t="shared" si="23"/>
        <v>0</v>
      </c>
      <c r="O744" s="2" cm="1">
        <f t="array" ref="O744:Q744">[1]!ConvertFeet(N744)</f>
        <v>0</v>
      </c>
      <c r="P744" s="2">
        <v>0</v>
      </c>
      <c r="Q744" s="2">
        <v>0</v>
      </c>
    </row>
    <row r="745" spans="1:17" x14ac:dyDescent="0.6">
      <c r="A745" s="34">
        <v>745</v>
      </c>
      <c r="D745" s="23" t="str" cm="1">
        <f t="array" ref="D745">IFERROR([1]!CalculateHyphenString(C745),"")</f>
        <v/>
      </c>
      <c r="G745" s="26"/>
      <c r="H745" s="2"/>
      <c r="L745" s="21">
        <f t="shared" si="22"/>
        <v>0</v>
      </c>
      <c r="N745" s="21">
        <f t="shared" si="23"/>
        <v>0</v>
      </c>
      <c r="O745" s="2" cm="1">
        <f t="array" ref="O745:Q745">[1]!ConvertFeet(N745)</f>
        <v>0</v>
      </c>
      <c r="P745" s="2">
        <v>0</v>
      </c>
      <c r="Q745" s="2">
        <v>0</v>
      </c>
    </row>
    <row r="746" spans="1:17" x14ac:dyDescent="0.6">
      <c r="A746" s="35">
        <v>746</v>
      </c>
      <c r="D746" s="23" t="str" cm="1">
        <f t="array" ref="D746">IFERROR([1]!CalculateHyphenString(C746),"")</f>
        <v/>
      </c>
      <c r="G746" s="26"/>
      <c r="H746" s="2"/>
      <c r="L746" s="21">
        <f t="shared" si="22"/>
        <v>0</v>
      </c>
      <c r="N746" s="21">
        <f t="shared" si="23"/>
        <v>0</v>
      </c>
      <c r="O746" s="2" cm="1">
        <f t="array" ref="O746:Q746">[1]!ConvertFeet(N746)</f>
        <v>0</v>
      </c>
      <c r="P746" s="2">
        <v>0</v>
      </c>
      <c r="Q746" s="2">
        <v>0</v>
      </c>
    </row>
    <row r="747" spans="1:17" x14ac:dyDescent="0.6">
      <c r="A747" s="34">
        <v>747</v>
      </c>
      <c r="D747" s="23" t="str" cm="1">
        <f t="array" ref="D747">IFERROR([1]!CalculateHyphenString(C747),"")</f>
        <v/>
      </c>
      <c r="G747" s="26"/>
      <c r="H747" s="2"/>
      <c r="L747" s="21">
        <f t="shared" si="22"/>
        <v>0</v>
      </c>
      <c r="N747" s="21">
        <f t="shared" si="23"/>
        <v>0</v>
      </c>
      <c r="O747" s="2" cm="1">
        <f t="array" ref="O747:Q747">[1]!ConvertFeet(N747)</f>
        <v>0</v>
      </c>
      <c r="P747" s="2">
        <v>0</v>
      </c>
      <c r="Q747" s="2">
        <v>0</v>
      </c>
    </row>
    <row r="748" spans="1:17" x14ac:dyDescent="0.6">
      <c r="A748" s="35">
        <v>748</v>
      </c>
      <c r="D748" s="23" t="str" cm="1">
        <f t="array" ref="D748">IFERROR([1]!CalculateHyphenString(C748),"")</f>
        <v/>
      </c>
      <c r="G748" s="26"/>
      <c r="H748" s="2"/>
      <c r="L748" s="21">
        <f t="shared" si="22"/>
        <v>0</v>
      </c>
      <c r="N748" s="21">
        <f t="shared" si="23"/>
        <v>0</v>
      </c>
      <c r="O748" s="2" cm="1">
        <f t="array" ref="O748:Q748">[1]!ConvertFeet(N748)</f>
        <v>0</v>
      </c>
      <c r="P748" s="2">
        <v>0</v>
      </c>
      <c r="Q748" s="2">
        <v>0</v>
      </c>
    </row>
    <row r="749" spans="1:17" x14ac:dyDescent="0.6">
      <c r="A749" s="34">
        <v>749</v>
      </c>
      <c r="D749" s="23" t="str" cm="1">
        <f t="array" ref="D749">IFERROR([1]!CalculateHyphenString(C749),"")</f>
        <v/>
      </c>
      <c r="G749" s="26"/>
      <c r="H749" s="2"/>
      <c r="L749" s="21">
        <f t="shared" si="22"/>
        <v>0</v>
      </c>
      <c r="N749" s="21">
        <f t="shared" si="23"/>
        <v>0</v>
      </c>
      <c r="O749" s="2" cm="1">
        <f t="array" ref="O749:Q749">[1]!ConvertFeet(N749)</f>
        <v>0</v>
      </c>
      <c r="P749" s="2">
        <v>0</v>
      </c>
      <c r="Q749" s="2">
        <v>0</v>
      </c>
    </row>
    <row r="750" spans="1:17" x14ac:dyDescent="0.6">
      <c r="A750" s="35">
        <v>750</v>
      </c>
      <c r="D750" s="23" t="str" cm="1">
        <f t="array" ref="D750">IFERROR([1]!CalculateHyphenString(C750),"")</f>
        <v/>
      </c>
      <c r="G750" s="26"/>
      <c r="H750" s="2"/>
      <c r="L750" s="21">
        <f t="shared" si="22"/>
        <v>0</v>
      </c>
      <c r="N750" s="21">
        <f t="shared" si="23"/>
        <v>0</v>
      </c>
      <c r="O750" s="2" cm="1">
        <f t="array" ref="O750:Q750">[1]!ConvertFeet(N750)</f>
        <v>0</v>
      </c>
      <c r="P750" s="2">
        <v>0</v>
      </c>
      <c r="Q750" s="2">
        <v>0</v>
      </c>
    </row>
    <row r="751" spans="1:17" x14ac:dyDescent="0.6">
      <c r="A751" s="34">
        <v>751</v>
      </c>
      <c r="D751" s="23" t="str" cm="1">
        <f t="array" ref="D751">IFERROR([1]!CalculateHyphenString(C751),"")</f>
        <v/>
      </c>
      <c r="G751" s="26"/>
      <c r="H751" s="2"/>
      <c r="L751" s="21">
        <f t="shared" si="22"/>
        <v>0</v>
      </c>
      <c r="N751" s="21">
        <f t="shared" si="23"/>
        <v>0</v>
      </c>
      <c r="O751" s="2" cm="1">
        <f t="array" ref="O751:Q751">[1]!ConvertFeet(N751)</f>
        <v>0</v>
      </c>
      <c r="P751" s="2">
        <v>0</v>
      </c>
      <c r="Q751" s="2">
        <v>0</v>
      </c>
    </row>
    <row r="752" spans="1:17" x14ac:dyDescent="0.6">
      <c r="A752" s="35">
        <v>752</v>
      </c>
      <c r="D752" s="23" t="str" cm="1">
        <f t="array" ref="D752">IFERROR([1]!CalculateHyphenString(C752),"")</f>
        <v/>
      </c>
      <c r="G752" s="26"/>
      <c r="H752" s="2"/>
      <c r="L752" s="21">
        <f t="shared" si="22"/>
        <v>0</v>
      </c>
      <c r="N752" s="21">
        <f t="shared" si="23"/>
        <v>0</v>
      </c>
      <c r="O752" s="2" cm="1">
        <f t="array" ref="O752:Q752">[1]!ConvertFeet(N752)</f>
        <v>0</v>
      </c>
      <c r="P752" s="2">
        <v>0</v>
      </c>
      <c r="Q752" s="2">
        <v>0</v>
      </c>
    </row>
    <row r="753" spans="1:17" x14ac:dyDescent="0.6">
      <c r="A753" s="34">
        <v>753</v>
      </c>
      <c r="D753" s="23" t="str" cm="1">
        <f t="array" ref="D753">IFERROR([1]!CalculateHyphenString(C753),"")</f>
        <v/>
      </c>
      <c r="G753" s="26"/>
      <c r="H753" s="2"/>
      <c r="L753" s="21">
        <f t="shared" si="22"/>
        <v>0</v>
      </c>
      <c r="N753" s="21">
        <f t="shared" si="23"/>
        <v>0</v>
      </c>
      <c r="O753" s="2" cm="1">
        <f t="array" ref="O753:Q753">[1]!ConvertFeet(N753)</f>
        <v>0</v>
      </c>
      <c r="P753" s="2">
        <v>0</v>
      </c>
      <c r="Q753" s="2">
        <v>0</v>
      </c>
    </row>
    <row r="754" spans="1:17" x14ac:dyDescent="0.6">
      <c r="A754" s="35">
        <v>754</v>
      </c>
      <c r="D754" s="23" t="str" cm="1">
        <f t="array" ref="D754">IFERROR([1]!CalculateHyphenString(C754),"")</f>
        <v/>
      </c>
      <c r="G754" s="26"/>
      <c r="H754" s="2"/>
      <c r="L754" s="21">
        <f t="shared" si="22"/>
        <v>0</v>
      </c>
      <c r="N754" s="21">
        <f t="shared" si="23"/>
        <v>0</v>
      </c>
      <c r="O754" s="2" cm="1">
        <f t="array" ref="O754:Q754">[1]!ConvertFeet(N754)</f>
        <v>0</v>
      </c>
      <c r="P754" s="2">
        <v>0</v>
      </c>
      <c r="Q754" s="2">
        <v>0</v>
      </c>
    </row>
    <row r="755" spans="1:17" x14ac:dyDescent="0.6">
      <c r="A755" s="34">
        <v>755</v>
      </c>
      <c r="D755" s="23" t="str" cm="1">
        <f t="array" ref="D755">IFERROR([1]!CalculateHyphenString(C755),"")</f>
        <v/>
      </c>
      <c r="G755" s="26"/>
      <c r="H755" s="2"/>
      <c r="L755" s="21">
        <f t="shared" si="22"/>
        <v>0</v>
      </c>
      <c r="N755" s="21">
        <f t="shared" si="23"/>
        <v>0</v>
      </c>
      <c r="O755" s="2" cm="1">
        <f t="array" ref="O755:Q755">[1]!ConvertFeet(N755)</f>
        <v>0</v>
      </c>
      <c r="P755" s="2">
        <v>0</v>
      </c>
      <c r="Q755" s="2">
        <v>0</v>
      </c>
    </row>
    <row r="756" spans="1:17" x14ac:dyDescent="0.6">
      <c r="A756" s="35">
        <v>756</v>
      </c>
      <c r="D756" s="23" t="str" cm="1">
        <f t="array" ref="D756">IFERROR([1]!CalculateHyphenString(C756),"")</f>
        <v/>
      </c>
      <c r="G756" s="26"/>
      <c r="H756" s="2"/>
      <c r="L756" s="21">
        <f t="shared" si="22"/>
        <v>0</v>
      </c>
      <c r="N756" s="21">
        <f t="shared" si="23"/>
        <v>0</v>
      </c>
      <c r="O756" s="2" cm="1">
        <f t="array" ref="O756:Q756">[1]!ConvertFeet(N756)</f>
        <v>0</v>
      </c>
      <c r="P756" s="2">
        <v>0</v>
      </c>
      <c r="Q756" s="2">
        <v>0</v>
      </c>
    </row>
    <row r="757" spans="1:17" x14ac:dyDescent="0.6">
      <c r="A757" s="34">
        <v>757</v>
      </c>
      <c r="D757" s="23" t="str" cm="1">
        <f t="array" ref="D757">IFERROR([1]!CalculateHyphenString(C757),"")</f>
        <v/>
      </c>
      <c r="G757" s="26"/>
      <c r="H757" s="2"/>
      <c r="L757" s="21">
        <f t="shared" si="22"/>
        <v>0</v>
      </c>
      <c r="N757" s="21">
        <f t="shared" si="23"/>
        <v>0</v>
      </c>
      <c r="O757" s="2" cm="1">
        <f t="array" ref="O757:Q757">[1]!ConvertFeet(N757)</f>
        <v>0</v>
      </c>
      <c r="P757" s="2">
        <v>0</v>
      </c>
      <c r="Q757" s="2">
        <v>0</v>
      </c>
    </row>
    <row r="758" spans="1:17" x14ac:dyDescent="0.6">
      <c r="A758" s="35">
        <v>758</v>
      </c>
      <c r="D758" s="23" t="str" cm="1">
        <f t="array" ref="D758">IFERROR([1]!CalculateHyphenString(C758),"")</f>
        <v/>
      </c>
      <c r="G758" s="26"/>
      <c r="H758" s="2"/>
      <c r="L758" s="21">
        <f t="shared" si="22"/>
        <v>0</v>
      </c>
      <c r="N758" s="21">
        <f t="shared" si="23"/>
        <v>0</v>
      </c>
      <c r="O758" s="2" cm="1">
        <f t="array" ref="O758:Q758">[1]!ConvertFeet(N758)</f>
        <v>0</v>
      </c>
      <c r="P758" s="2">
        <v>0</v>
      </c>
      <c r="Q758" s="2">
        <v>0</v>
      </c>
    </row>
    <row r="759" spans="1:17" x14ac:dyDescent="0.6">
      <c r="A759" s="34">
        <v>759</v>
      </c>
      <c r="D759" s="23" t="str" cm="1">
        <f t="array" ref="D759">IFERROR([1]!CalculateHyphenString(C759),"")</f>
        <v/>
      </c>
      <c r="G759" s="26"/>
      <c r="H759" s="2"/>
      <c r="L759" s="21">
        <f t="shared" si="22"/>
        <v>0</v>
      </c>
      <c r="N759" s="21">
        <f t="shared" si="23"/>
        <v>0</v>
      </c>
      <c r="O759" s="2" cm="1">
        <f t="array" ref="O759:Q759">[1]!ConvertFeet(N759)</f>
        <v>0</v>
      </c>
      <c r="P759" s="2">
        <v>0</v>
      </c>
      <c r="Q759" s="2">
        <v>0</v>
      </c>
    </row>
    <row r="760" spans="1:17" x14ac:dyDescent="0.6">
      <c r="A760" s="35">
        <v>760</v>
      </c>
      <c r="D760" s="23" t="str" cm="1">
        <f t="array" ref="D760">IFERROR([1]!CalculateHyphenString(C760),"")</f>
        <v/>
      </c>
      <c r="G760" s="26"/>
      <c r="H760" s="2"/>
      <c r="L760" s="21">
        <f t="shared" si="22"/>
        <v>0</v>
      </c>
      <c r="N760" s="21">
        <f t="shared" si="23"/>
        <v>0</v>
      </c>
      <c r="O760" s="2" cm="1">
        <f t="array" ref="O760:Q760">[1]!ConvertFeet(N760)</f>
        <v>0</v>
      </c>
      <c r="P760" s="2">
        <v>0</v>
      </c>
      <c r="Q760" s="2">
        <v>0</v>
      </c>
    </row>
    <row r="761" spans="1:17" x14ac:dyDescent="0.6">
      <c r="A761" s="34">
        <v>761</v>
      </c>
      <c r="D761" s="23" t="str" cm="1">
        <f t="array" ref="D761">IFERROR([1]!CalculateHyphenString(C761),"")</f>
        <v/>
      </c>
      <c r="G761" s="26"/>
      <c r="H761" s="2"/>
      <c r="L761" s="21">
        <f t="shared" si="22"/>
        <v>0</v>
      </c>
      <c r="N761" s="21">
        <f t="shared" si="23"/>
        <v>0</v>
      </c>
      <c r="O761" s="2" cm="1">
        <f t="array" ref="O761:Q761">[1]!ConvertFeet(N761)</f>
        <v>0</v>
      </c>
      <c r="P761" s="2">
        <v>0</v>
      </c>
      <c r="Q761" s="2">
        <v>0</v>
      </c>
    </row>
    <row r="762" spans="1:17" x14ac:dyDescent="0.6">
      <c r="A762" s="35">
        <v>762</v>
      </c>
      <c r="D762" s="23" t="str" cm="1">
        <f t="array" ref="D762">IFERROR([1]!CalculateHyphenString(C762),"")</f>
        <v/>
      </c>
      <c r="G762" s="26"/>
      <c r="H762" s="2"/>
      <c r="L762" s="21">
        <f t="shared" si="22"/>
        <v>0</v>
      </c>
      <c r="N762" s="21">
        <f t="shared" si="23"/>
        <v>0</v>
      </c>
      <c r="O762" s="2" cm="1">
        <f t="array" ref="O762:Q762">[1]!ConvertFeet(N762)</f>
        <v>0</v>
      </c>
      <c r="P762" s="2">
        <v>0</v>
      </c>
      <c r="Q762" s="2">
        <v>0</v>
      </c>
    </row>
    <row r="763" spans="1:17" x14ac:dyDescent="0.6">
      <c r="A763" s="34">
        <v>763</v>
      </c>
      <c r="D763" s="23" t="str" cm="1">
        <f t="array" ref="D763">IFERROR([1]!CalculateHyphenString(C763),"")</f>
        <v/>
      </c>
      <c r="G763" s="26"/>
      <c r="H763" s="2"/>
      <c r="L763" s="21">
        <f t="shared" si="22"/>
        <v>0</v>
      </c>
      <c r="N763" s="21">
        <f t="shared" si="23"/>
        <v>0</v>
      </c>
      <c r="O763" s="2" cm="1">
        <f t="array" ref="O763:Q763">[1]!ConvertFeet(N763)</f>
        <v>0</v>
      </c>
      <c r="P763" s="2">
        <v>0</v>
      </c>
      <c r="Q763" s="2">
        <v>0</v>
      </c>
    </row>
    <row r="764" spans="1:17" x14ac:dyDescent="0.6">
      <c r="A764" s="35">
        <v>764</v>
      </c>
      <c r="D764" s="23" t="str" cm="1">
        <f t="array" ref="D764">IFERROR([1]!CalculateHyphenString(C764),"")</f>
        <v/>
      </c>
      <c r="G764" s="26"/>
      <c r="H764" s="2"/>
      <c r="L764" s="21">
        <f t="shared" si="22"/>
        <v>0</v>
      </c>
      <c r="N764" s="21">
        <f t="shared" si="23"/>
        <v>0</v>
      </c>
      <c r="O764" s="2" cm="1">
        <f t="array" ref="O764:Q764">[1]!ConvertFeet(N764)</f>
        <v>0</v>
      </c>
      <c r="P764" s="2">
        <v>0</v>
      </c>
      <c r="Q764" s="2">
        <v>0</v>
      </c>
    </row>
    <row r="765" spans="1:17" x14ac:dyDescent="0.6">
      <c r="A765" s="34">
        <v>765</v>
      </c>
      <c r="D765" s="23" t="str" cm="1">
        <f t="array" ref="D765">IFERROR([1]!CalculateHyphenString(C765),"")</f>
        <v/>
      </c>
      <c r="G765" s="26"/>
      <c r="H765" s="2"/>
      <c r="L765" s="21">
        <f t="shared" si="22"/>
        <v>0</v>
      </c>
      <c r="N765" s="21">
        <f t="shared" si="23"/>
        <v>0</v>
      </c>
      <c r="O765" s="2" cm="1">
        <f t="array" ref="O765:Q765">[1]!ConvertFeet(N765)</f>
        <v>0</v>
      </c>
      <c r="P765" s="2">
        <v>0</v>
      </c>
      <c r="Q765" s="2">
        <v>0</v>
      </c>
    </row>
    <row r="766" spans="1:17" x14ac:dyDescent="0.6">
      <c r="A766" s="35">
        <v>766</v>
      </c>
      <c r="D766" s="23" t="str" cm="1">
        <f t="array" ref="D766">IFERROR([1]!CalculateHyphenString(C766),"")</f>
        <v/>
      </c>
      <c r="G766" s="26"/>
      <c r="H766" s="2"/>
      <c r="L766" s="21">
        <f t="shared" si="22"/>
        <v>0</v>
      </c>
      <c r="N766" s="21">
        <f t="shared" si="23"/>
        <v>0</v>
      </c>
      <c r="O766" s="2" cm="1">
        <f t="array" ref="O766:Q766">[1]!ConvertFeet(N766)</f>
        <v>0</v>
      </c>
      <c r="P766" s="2">
        <v>0</v>
      </c>
      <c r="Q766" s="2">
        <v>0</v>
      </c>
    </row>
    <row r="767" spans="1:17" x14ac:dyDescent="0.6">
      <c r="A767" s="34">
        <v>767</v>
      </c>
      <c r="D767" s="23" t="str" cm="1">
        <f t="array" ref="D767">IFERROR([1]!CalculateHyphenString(C767),"")</f>
        <v/>
      </c>
      <c r="G767" s="26"/>
      <c r="H767" s="2"/>
      <c r="L767" s="21">
        <f t="shared" si="22"/>
        <v>0</v>
      </c>
      <c r="N767" s="21">
        <f t="shared" si="23"/>
        <v>0</v>
      </c>
      <c r="O767" s="2" cm="1">
        <f t="array" ref="O767:Q767">[1]!ConvertFeet(N767)</f>
        <v>0</v>
      </c>
      <c r="P767" s="2">
        <v>0</v>
      </c>
      <c r="Q767" s="2">
        <v>0</v>
      </c>
    </row>
    <row r="768" spans="1:17" x14ac:dyDescent="0.6">
      <c r="A768" s="35">
        <v>768</v>
      </c>
      <c r="D768" s="23" t="str" cm="1">
        <f t="array" ref="D768">IFERROR([1]!CalculateHyphenString(C768),"")</f>
        <v/>
      </c>
      <c r="G768" s="26"/>
      <c r="H768" s="2"/>
      <c r="L768" s="21">
        <f t="shared" si="22"/>
        <v>0</v>
      </c>
      <c r="N768" s="21">
        <f t="shared" si="23"/>
        <v>0</v>
      </c>
      <c r="O768" s="2" cm="1">
        <f t="array" ref="O768:Q768">[1]!ConvertFeet(N768)</f>
        <v>0</v>
      </c>
      <c r="P768" s="2">
        <v>0</v>
      </c>
      <c r="Q768" s="2">
        <v>0</v>
      </c>
    </row>
    <row r="769" spans="1:17" x14ac:dyDescent="0.6">
      <c r="A769" s="34">
        <v>769</v>
      </c>
      <c r="D769" s="23" t="str" cm="1">
        <f t="array" ref="D769">IFERROR([1]!CalculateHyphenString(C769),"")</f>
        <v/>
      </c>
      <c r="G769" s="26"/>
      <c r="H769" s="2"/>
      <c r="L769" s="21">
        <f t="shared" si="22"/>
        <v>0</v>
      </c>
      <c r="N769" s="21">
        <f t="shared" si="23"/>
        <v>0</v>
      </c>
      <c r="O769" s="2" cm="1">
        <f t="array" ref="O769:Q769">[1]!ConvertFeet(N769)</f>
        <v>0</v>
      </c>
      <c r="P769" s="2">
        <v>0</v>
      </c>
      <c r="Q769" s="2">
        <v>0</v>
      </c>
    </row>
    <row r="770" spans="1:17" x14ac:dyDescent="0.6">
      <c r="A770" s="35">
        <v>770</v>
      </c>
      <c r="D770" s="23" t="str" cm="1">
        <f t="array" ref="D770">IFERROR([1]!CalculateHyphenString(C770),"")</f>
        <v/>
      </c>
      <c r="G770" s="26"/>
      <c r="H770" s="2"/>
      <c r="L770" s="21">
        <f t="shared" si="22"/>
        <v>0</v>
      </c>
      <c r="N770" s="21">
        <f t="shared" si="23"/>
        <v>0</v>
      </c>
      <c r="O770" s="2" cm="1">
        <f t="array" ref="O770:Q770">[1]!ConvertFeet(N770)</f>
        <v>0</v>
      </c>
      <c r="P770" s="2">
        <v>0</v>
      </c>
      <c r="Q770" s="2">
        <v>0</v>
      </c>
    </row>
    <row r="771" spans="1:17" x14ac:dyDescent="0.6">
      <c r="A771" s="34">
        <v>771</v>
      </c>
      <c r="D771" s="23" t="str" cm="1">
        <f t="array" ref="D771">IFERROR([1]!CalculateHyphenString(C771),"")</f>
        <v/>
      </c>
      <c r="G771" s="26"/>
      <c r="H771" s="2"/>
      <c r="L771" s="21">
        <f t="shared" si="22"/>
        <v>0</v>
      </c>
      <c r="N771" s="21">
        <f t="shared" si="23"/>
        <v>0</v>
      </c>
      <c r="O771" s="2" cm="1">
        <f t="array" ref="O771:Q771">[1]!ConvertFeet(N771)</f>
        <v>0</v>
      </c>
      <c r="P771" s="2">
        <v>0</v>
      </c>
      <c r="Q771" s="2">
        <v>0</v>
      </c>
    </row>
    <row r="772" spans="1:17" x14ac:dyDescent="0.6">
      <c r="A772" s="35">
        <v>772</v>
      </c>
      <c r="D772" s="23" t="str" cm="1">
        <f t="array" ref="D772">IFERROR([1]!CalculateHyphenString(C772),"")</f>
        <v/>
      </c>
      <c r="G772" s="26"/>
      <c r="H772" s="2"/>
      <c r="L772" s="21">
        <f t="shared" si="22"/>
        <v>0</v>
      </c>
      <c r="N772" s="21">
        <f t="shared" si="23"/>
        <v>0</v>
      </c>
      <c r="O772" s="2" cm="1">
        <f t="array" ref="O772:Q772">[1]!ConvertFeet(N772)</f>
        <v>0</v>
      </c>
      <c r="P772" s="2">
        <v>0</v>
      </c>
      <c r="Q772" s="2">
        <v>0</v>
      </c>
    </row>
    <row r="773" spans="1:17" x14ac:dyDescent="0.6">
      <c r="A773" s="34">
        <v>773</v>
      </c>
      <c r="D773" s="23" t="str" cm="1">
        <f t="array" ref="D773">IFERROR([1]!CalculateHyphenString(C773),"")</f>
        <v/>
      </c>
      <c r="G773" s="26"/>
      <c r="H773" s="2"/>
      <c r="L773" s="21">
        <f t="shared" si="22"/>
        <v>0</v>
      </c>
      <c r="N773" s="21">
        <f t="shared" si="23"/>
        <v>0</v>
      </c>
      <c r="O773" s="2" cm="1">
        <f t="array" ref="O773:Q773">[1]!ConvertFeet(N773)</f>
        <v>0</v>
      </c>
      <c r="P773" s="2">
        <v>0</v>
      </c>
      <c r="Q773" s="2">
        <v>0</v>
      </c>
    </row>
    <row r="774" spans="1:17" x14ac:dyDescent="0.6">
      <c r="A774" s="35">
        <v>774</v>
      </c>
      <c r="D774" s="23" t="str" cm="1">
        <f t="array" ref="D774">IFERROR([1]!CalculateHyphenString(C774),"")</f>
        <v/>
      </c>
      <c r="G774" s="26"/>
      <c r="H774" s="2"/>
      <c r="L774" s="21">
        <f t="shared" si="22"/>
        <v>0</v>
      </c>
      <c r="N774" s="21">
        <f t="shared" si="23"/>
        <v>0</v>
      </c>
      <c r="O774" s="2" cm="1">
        <f t="array" ref="O774:Q774">[1]!ConvertFeet(N774)</f>
        <v>0</v>
      </c>
      <c r="P774" s="2">
        <v>0</v>
      </c>
      <c r="Q774" s="2">
        <v>0</v>
      </c>
    </row>
    <row r="775" spans="1:17" x14ac:dyDescent="0.6">
      <c r="A775" s="34">
        <v>775</v>
      </c>
      <c r="D775" s="23" t="str" cm="1">
        <f t="array" ref="D775">IFERROR([1]!CalculateHyphenString(C775),"")</f>
        <v/>
      </c>
      <c r="G775" s="26"/>
      <c r="H775" s="2"/>
      <c r="L775" s="21">
        <f t="shared" ref="L775:L838" si="24">(K775*$G$3)/100</f>
        <v>0</v>
      </c>
      <c r="N775" s="21">
        <f t="shared" ref="N775:N838" si="25">K775-(L775+M775)</f>
        <v>0</v>
      </c>
      <c r="O775" s="2" cm="1">
        <f t="array" ref="O775:Q775">[1]!ConvertFeet(N775)</f>
        <v>0</v>
      </c>
      <c r="P775" s="2">
        <v>0</v>
      </c>
      <c r="Q775" s="2">
        <v>0</v>
      </c>
    </row>
    <row r="776" spans="1:17" x14ac:dyDescent="0.6">
      <c r="A776" s="35">
        <v>776</v>
      </c>
      <c r="D776" s="23" t="str" cm="1">
        <f t="array" ref="D776">IFERROR([1]!CalculateHyphenString(C776),"")</f>
        <v/>
      </c>
      <c r="G776" s="26"/>
      <c r="H776" s="2"/>
      <c r="L776" s="21">
        <f t="shared" si="24"/>
        <v>0</v>
      </c>
      <c r="N776" s="21">
        <f t="shared" si="25"/>
        <v>0</v>
      </c>
      <c r="O776" s="2" cm="1">
        <f t="array" ref="O776:Q776">[1]!ConvertFeet(N776)</f>
        <v>0</v>
      </c>
      <c r="P776" s="2">
        <v>0</v>
      </c>
      <c r="Q776" s="2">
        <v>0</v>
      </c>
    </row>
    <row r="777" spans="1:17" x14ac:dyDescent="0.6">
      <c r="A777" s="34">
        <v>777</v>
      </c>
      <c r="D777" s="23" t="str" cm="1">
        <f t="array" ref="D777">IFERROR([1]!CalculateHyphenString(C777),"")</f>
        <v/>
      </c>
      <c r="G777" s="26"/>
      <c r="H777" s="2"/>
      <c r="L777" s="21">
        <f t="shared" si="24"/>
        <v>0</v>
      </c>
      <c r="N777" s="21">
        <f t="shared" si="25"/>
        <v>0</v>
      </c>
      <c r="O777" s="2" cm="1">
        <f t="array" ref="O777:Q777">[1]!ConvertFeet(N777)</f>
        <v>0</v>
      </c>
      <c r="P777" s="2">
        <v>0</v>
      </c>
      <c r="Q777" s="2">
        <v>0</v>
      </c>
    </row>
    <row r="778" spans="1:17" x14ac:dyDescent="0.6">
      <c r="A778" s="35">
        <v>778</v>
      </c>
      <c r="D778" s="23" t="str" cm="1">
        <f t="array" ref="D778">IFERROR([1]!CalculateHyphenString(C778),"")</f>
        <v/>
      </c>
      <c r="G778" s="26"/>
      <c r="H778" s="2"/>
      <c r="L778" s="21">
        <f t="shared" si="24"/>
        <v>0</v>
      </c>
      <c r="N778" s="21">
        <f t="shared" si="25"/>
        <v>0</v>
      </c>
      <c r="O778" s="2" cm="1">
        <f t="array" ref="O778:Q778">[1]!ConvertFeet(N778)</f>
        <v>0</v>
      </c>
      <c r="P778" s="2">
        <v>0</v>
      </c>
      <c r="Q778" s="2">
        <v>0</v>
      </c>
    </row>
    <row r="779" spans="1:17" x14ac:dyDescent="0.6">
      <c r="A779" s="34">
        <v>779</v>
      </c>
      <c r="D779" s="23" t="str" cm="1">
        <f t="array" ref="D779">IFERROR([1]!CalculateHyphenString(C779),"")</f>
        <v/>
      </c>
      <c r="G779" s="26"/>
      <c r="H779" s="2"/>
      <c r="L779" s="21">
        <f t="shared" si="24"/>
        <v>0</v>
      </c>
      <c r="N779" s="21">
        <f t="shared" si="25"/>
        <v>0</v>
      </c>
      <c r="O779" s="2" cm="1">
        <f t="array" ref="O779:Q779">[1]!ConvertFeet(N779)</f>
        <v>0</v>
      </c>
      <c r="P779" s="2">
        <v>0</v>
      </c>
      <c r="Q779" s="2">
        <v>0</v>
      </c>
    </row>
    <row r="780" spans="1:17" x14ac:dyDescent="0.6">
      <c r="A780" s="35">
        <v>780</v>
      </c>
      <c r="D780" s="23" t="str" cm="1">
        <f t="array" ref="D780">IFERROR([1]!CalculateHyphenString(C780),"")</f>
        <v/>
      </c>
      <c r="G780" s="26"/>
      <c r="H780" s="2"/>
      <c r="L780" s="21">
        <f t="shared" si="24"/>
        <v>0</v>
      </c>
      <c r="N780" s="21">
        <f t="shared" si="25"/>
        <v>0</v>
      </c>
      <c r="O780" s="2" cm="1">
        <f t="array" ref="O780:Q780">[1]!ConvertFeet(N780)</f>
        <v>0</v>
      </c>
      <c r="P780" s="2">
        <v>0</v>
      </c>
      <c r="Q780" s="2">
        <v>0</v>
      </c>
    </row>
    <row r="781" spans="1:17" x14ac:dyDescent="0.6">
      <c r="A781" s="34">
        <v>781</v>
      </c>
      <c r="D781" s="23" t="str" cm="1">
        <f t="array" ref="D781">IFERROR([1]!CalculateHyphenString(C781),"")</f>
        <v/>
      </c>
      <c r="G781" s="26"/>
      <c r="H781" s="2"/>
      <c r="L781" s="21">
        <f t="shared" si="24"/>
        <v>0</v>
      </c>
      <c r="N781" s="21">
        <f t="shared" si="25"/>
        <v>0</v>
      </c>
      <c r="O781" s="2" cm="1">
        <f t="array" ref="O781:Q781">[1]!ConvertFeet(N781)</f>
        <v>0</v>
      </c>
      <c r="P781" s="2">
        <v>0</v>
      </c>
      <c r="Q781" s="2">
        <v>0</v>
      </c>
    </row>
    <row r="782" spans="1:17" x14ac:dyDescent="0.6">
      <c r="A782" s="35">
        <v>782</v>
      </c>
      <c r="D782" s="23" t="str" cm="1">
        <f t="array" ref="D782">IFERROR([1]!CalculateHyphenString(C782),"")</f>
        <v/>
      </c>
      <c r="G782" s="26"/>
      <c r="H782" s="2"/>
      <c r="L782" s="21">
        <f t="shared" si="24"/>
        <v>0</v>
      </c>
      <c r="N782" s="21">
        <f t="shared" si="25"/>
        <v>0</v>
      </c>
      <c r="O782" s="2" cm="1">
        <f t="array" ref="O782:Q782">[1]!ConvertFeet(N782)</f>
        <v>0</v>
      </c>
      <c r="P782" s="2">
        <v>0</v>
      </c>
      <c r="Q782" s="2">
        <v>0</v>
      </c>
    </row>
    <row r="783" spans="1:17" x14ac:dyDescent="0.6">
      <c r="A783" s="34">
        <v>783</v>
      </c>
      <c r="D783" s="23" t="str" cm="1">
        <f t="array" ref="D783">IFERROR([1]!CalculateHyphenString(C783),"")</f>
        <v/>
      </c>
      <c r="G783" s="26"/>
      <c r="H783" s="2"/>
      <c r="L783" s="21">
        <f t="shared" si="24"/>
        <v>0</v>
      </c>
      <c r="N783" s="21">
        <f t="shared" si="25"/>
        <v>0</v>
      </c>
      <c r="O783" s="2" cm="1">
        <f t="array" ref="O783:Q783">[1]!ConvertFeet(N783)</f>
        <v>0</v>
      </c>
      <c r="P783" s="2">
        <v>0</v>
      </c>
      <c r="Q783" s="2">
        <v>0</v>
      </c>
    </row>
    <row r="784" spans="1:17" x14ac:dyDescent="0.6">
      <c r="A784" s="35">
        <v>784</v>
      </c>
      <c r="D784" s="23" t="str" cm="1">
        <f t="array" ref="D784">IFERROR([1]!CalculateHyphenString(C784),"")</f>
        <v/>
      </c>
      <c r="G784" s="26"/>
      <c r="H784" s="2"/>
      <c r="L784" s="21">
        <f t="shared" si="24"/>
        <v>0</v>
      </c>
      <c r="N784" s="21">
        <f t="shared" si="25"/>
        <v>0</v>
      </c>
      <c r="O784" s="2" cm="1">
        <f t="array" ref="O784:Q784">[1]!ConvertFeet(N784)</f>
        <v>0</v>
      </c>
      <c r="P784" s="2">
        <v>0</v>
      </c>
      <c r="Q784" s="2">
        <v>0</v>
      </c>
    </row>
    <row r="785" spans="1:17" x14ac:dyDescent="0.6">
      <c r="A785" s="34">
        <v>785</v>
      </c>
      <c r="D785" s="23" t="str" cm="1">
        <f t="array" ref="D785">IFERROR([1]!CalculateHyphenString(C785),"")</f>
        <v/>
      </c>
      <c r="G785" s="26"/>
      <c r="H785" s="2"/>
      <c r="L785" s="21">
        <f t="shared" si="24"/>
        <v>0</v>
      </c>
      <c r="N785" s="21">
        <f t="shared" si="25"/>
        <v>0</v>
      </c>
      <c r="O785" s="2" cm="1">
        <f t="array" ref="O785:Q785">[1]!ConvertFeet(N785)</f>
        <v>0</v>
      </c>
      <c r="P785" s="2">
        <v>0</v>
      </c>
      <c r="Q785" s="2">
        <v>0</v>
      </c>
    </row>
    <row r="786" spans="1:17" x14ac:dyDescent="0.6">
      <c r="A786" s="35">
        <v>786</v>
      </c>
      <c r="D786" s="23" t="str" cm="1">
        <f t="array" ref="D786">IFERROR([1]!CalculateHyphenString(C786),"")</f>
        <v/>
      </c>
      <c r="G786" s="26"/>
      <c r="H786" s="2"/>
      <c r="L786" s="21">
        <f t="shared" si="24"/>
        <v>0</v>
      </c>
      <c r="N786" s="21">
        <f t="shared" si="25"/>
        <v>0</v>
      </c>
      <c r="O786" s="2" cm="1">
        <f t="array" ref="O786:Q786">[1]!ConvertFeet(N786)</f>
        <v>0</v>
      </c>
      <c r="P786" s="2">
        <v>0</v>
      </c>
      <c r="Q786" s="2">
        <v>0</v>
      </c>
    </row>
    <row r="787" spans="1:17" x14ac:dyDescent="0.6">
      <c r="A787" s="34">
        <v>787</v>
      </c>
      <c r="D787" s="23" t="str" cm="1">
        <f t="array" ref="D787">IFERROR([1]!CalculateHyphenString(C787),"")</f>
        <v/>
      </c>
      <c r="G787" s="26"/>
      <c r="H787" s="2"/>
      <c r="L787" s="21">
        <f t="shared" si="24"/>
        <v>0</v>
      </c>
      <c r="N787" s="21">
        <f t="shared" si="25"/>
        <v>0</v>
      </c>
      <c r="O787" s="2" cm="1">
        <f t="array" ref="O787:Q787">[1]!ConvertFeet(N787)</f>
        <v>0</v>
      </c>
      <c r="P787" s="2">
        <v>0</v>
      </c>
      <c r="Q787" s="2">
        <v>0</v>
      </c>
    </row>
    <row r="788" spans="1:17" x14ac:dyDescent="0.6">
      <c r="A788" s="35">
        <v>788</v>
      </c>
      <c r="D788" s="23" t="str" cm="1">
        <f t="array" ref="D788">IFERROR([1]!CalculateHyphenString(C788),"")</f>
        <v/>
      </c>
      <c r="G788" s="26"/>
      <c r="H788" s="2"/>
      <c r="L788" s="21">
        <f t="shared" si="24"/>
        <v>0</v>
      </c>
      <c r="N788" s="21">
        <f t="shared" si="25"/>
        <v>0</v>
      </c>
      <c r="O788" s="2" cm="1">
        <f t="array" ref="O788:Q788">[1]!ConvertFeet(N788)</f>
        <v>0</v>
      </c>
      <c r="P788" s="2">
        <v>0</v>
      </c>
      <c r="Q788" s="2">
        <v>0</v>
      </c>
    </row>
    <row r="789" spans="1:17" x14ac:dyDescent="0.6">
      <c r="A789" s="34">
        <v>789</v>
      </c>
      <c r="D789" s="23" t="str" cm="1">
        <f t="array" ref="D789">IFERROR([1]!CalculateHyphenString(C789),"")</f>
        <v/>
      </c>
      <c r="G789" s="26"/>
      <c r="H789" s="2"/>
      <c r="L789" s="21">
        <f t="shared" si="24"/>
        <v>0</v>
      </c>
      <c r="N789" s="21">
        <f t="shared" si="25"/>
        <v>0</v>
      </c>
      <c r="O789" s="2" cm="1">
        <f t="array" ref="O789:Q789">[1]!ConvertFeet(N789)</f>
        <v>0</v>
      </c>
      <c r="P789" s="2">
        <v>0</v>
      </c>
      <c r="Q789" s="2">
        <v>0</v>
      </c>
    </row>
    <row r="790" spans="1:17" x14ac:dyDescent="0.6">
      <c r="A790" s="35">
        <v>790</v>
      </c>
      <c r="D790" s="23" t="str" cm="1">
        <f t="array" ref="D790">IFERROR([1]!CalculateHyphenString(C790),"")</f>
        <v/>
      </c>
      <c r="G790" s="26"/>
      <c r="H790" s="2"/>
      <c r="L790" s="21">
        <f t="shared" si="24"/>
        <v>0</v>
      </c>
      <c r="N790" s="21">
        <f t="shared" si="25"/>
        <v>0</v>
      </c>
      <c r="O790" s="2" cm="1">
        <f t="array" ref="O790:Q790">[1]!ConvertFeet(N790)</f>
        <v>0</v>
      </c>
      <c r="P790" s="2">
        <v>0</v>
      </c>
      <c r="Q790" s="2">
        <v>0</v>
      </c>
    </row>
    <row r="791" spans="1:17" x14ac:dyDescent="0.6">
      <c r="A791" s="34">
        <v>791</v>
      </c>
      <c r="D791" s="23" t="str" cm="1">
        <f t="array" ref="D791">IFERROR([1]!CalculateHyphenString(C791),"")</f>
        <v/>
      </c>
      <c r="G791" s="26"/>
      <c r="H791" s="2"/>
      <c r="L791" s="21">
        <f t="shared" si="24"/>
        <v>0</v>
      </c>
      <c r="N791" s="21">
        <f t="shared" si="25"/>
        <v>0</v>
      </c>
      <c r="O791" s="2" cm="1">
        <f t="array" ref="O791:Q791">[1]!ConvertFeet(N791)</f>
        <v>0</v>
      </c>
      <c r="P791" s="2">
        <v>0</v>
      </c>
      <c r="Q791" s="2">
        <v>0</v>
      </c>
    </row>
    <row r="792" spans="1:17" x14ac:dyDescent="0.6">
      <c r="A792" s="35">
        <v>792</v>
      </c>
      <c r="D792" s="23" t="str" cm="1">
        <f t="array" ref="D792">IFERROR([1]!CalculateHyphenString(C792),"")</f>
        <v/>
      </c>
      <c r="G792" s="26"/>
      <c r="H792" s="2"/>
      <c r="L792" s="21">
        <f t="shared" si="24"/>
        <v>0</v>
      </c>
      <c r="N792" s="21">
        <f t="shared" si="25"/>
        <v>0</v>
      </c>
      <c r="O792" s="2" cm="1">
        <f t="array" ref="O792:Q792">[1]!ConvertFeet(N792)</f>
        <v>0</v>
      </c>
      <c r="P792" s="2">
        <v>0</v>
      </c>
      <c r="Q792" s="2">
        <v>0</v>
      </c>
    </row>
    <row r="793" spans="1:17" x14ac:dyDescent="0.6">
      <c r="A793" s="34">
        <v>793</v>
      </c>
      <c r="D793" s="23" t="str" cm="1">
        <f t="array" ref="D793">IFERROR([1]!CalculateHyphenString(C793),"")</f>
        <v/>
      </c>
      <c r="G793" s="26"/>
      <c r="H793" s="2"/>
      <c r="L793" s="21">
        <f t="shared" si="24"/>
        <v>0</v>
      </c>
      <c r="N793" s="21">
        <f t="shared" si="25"/>
        <v>0</v>
      </c>
      <c r="O793" s="2" cm="1">
        <f t="array" ref="O793:Q793">[1]!ConvertFeet(N793)</f>
        <v>0</v>
      </c>
      <c r="P793" s="2">
        <v>0</v>
      </c>
      <c r="Q793" s="2">
        <v>0</v>
      </c>
    </row>
    <row r="794" spans="1:17" x14ac:dyDescent="0.6">
      <c r="A794" s="35">
        <v>794</v>
      </c>
      <c r="D794" s="23" t="str" cm="1">
        <f t="array" ref="D794">IFERROR([1]!CalculateHyphenString(C794),"")</f>
        <v/>
      </c>
      <c r="G794" s="26"/>
      <c r="H794" s="2"/>
      <c r="L794" s="21">
        <f t="shared" si="24"/>
        <v>0</v>
      </c>
      <c r="N794" s="21">
        <f t="shared" si="25"/>
        <v>0</v>
      </c>
      <c r="O794" s="2" cm="1">
        <f t="array" ref="O794:Q794">[1]!ConvertFeet(N794)</f>
        <v>0</v>
      </c>
      <c r="P794" s="2">
        <v>0</v>
      </c>
      <c r="Q794" s="2">
        <v>0</v>
      </c>
    </row>
    <row r="795" spans="1:17" x14ac:dyDescent="0.6">
      <c r="A795" s="34">
        <v>795</v>
      </c>
      <c r="D795" s="23" t="str" cm="1">
        <f t="array" ref="D795">IFERROR([1]!CalculateHyphenString(C795),"")</f>
        <v/>
      </c>
      <c r="G795" s="26"/>
      <c r="H795" s="2"/>
      <c r="L795" s="21">
        <f t="shared" si="24"/>
        <v>0</v>
      </c>
      <c r="N795" s="21">
        <f t="shared" si="25"/>
        <v>0</v>
      </c>
      <c r="O795" s="2" cm="1">
        <f t="array" ref="O795:Q795">[1]!ConvertFeet(N795)</f>
        <v>0</v>
      </c>
      <c r="P795" s="2">
        <v>0</v>
      </c>
      <c r="Q795" s="2">
        <v>0</v>
      </c>
    </row>
    <row r="796" spans="1:17" x14ac:dyDescent="0.6">
      <c r="A796" s="35">
        <v>796</v>
      </c>
      <c r="D796" s="23" t="str" cm="1">
        <f t="array" ref="D796">IFERROR([1]!CalculateHyphenString(C796),"")</f>
        <v/>
      </c>
      <c r="G796" s="26"/>
      <c r="H796" s="2"/>
      <c r="L796" s="21">
        <f t="shared" si="24"/>
        <v>0</v>
      </c>
      <c r="N796" s="21">
        <f t="shared" si="25"/>
        <v>0</v>
      </c>
      <c r="O796" s="2" cm="1">
        <f t="array" ref="O796:Q796">[1]!ConvertFeet(N796)</f>
        <v>0</v>
      </c>
      <c r="P796" s="2">
        <v>0</v>
      </c>
      <c r="Q796" s="2">
        <v>0</v>
      </c>
    </row>
    <row r="797" spans="1:17" x14ac:dyDescent="0.6">
      <c r="A797" s="34">
        <v>797</v>
      </c>
      <c r="D797" s="23" t="str" cm="1">
        <f t="array" ref="D797">IFERROR([1]!CalculateHyphenString(C797),"")</f>
        <v/>
      </c>
      <c r="G797" s="26"/>
      <c r="H797" s="2"/>
      <c r="L797" s="21">
        <f t="shared" si="24"/>
        <v>0</v>
      </c>
      <c r="N797" s="21">
        <f t="shared" si="25"/>
        <v>0</v>
      </c>
      <c r="O797" s="2" cm="1">
        <f t="array" ref="O797:Q797">[1]!ConvertFeet(N797)</f>
        <v>0</v>
      </c>
      <c r="P797" s="2">
        <v>0</v>
      </c>
      <c r="Q797" s="2">
        <v>0</v>
      </c>
    </row>
    <row r="798" spans="1:17" x14ac:dyDescent="0.6">
      <c r="A798" s="35">
        <v>798</v>
      </c>
      <c r="D798" s="23" t="str" cm="1">
        <f t="array" ref="D798">IFERROR([1]!CalculateHyphenString(C798),"")</f>
        <v/>
      </c>
      <c r="G798" s="26"/>
      <c r="H798" s="2"/>
      <c r="L798" s="21">
        <f t="shared" si="24"/>
        <v>0</v>
      </c>
      <c r="N798" s="21">
        <f t="shared" si="25"/>
        <v>0</v>
      </c>
      <c r="O798" s="2" cm="1">
        <f t="array" ref="O798:Q798">[1]!ConvertFeet(N798)</f>
        <v>0</v>
      </c>
      <c r="P798" s="2">
        <v>0</v>
      </c>
      <c r="Q798" s="2">
        <v>0</v>
      </c>
    </row>
    <row r="799" spans="1:17" x14ac:dyDescent="0.6">
      <c r="A799" s="34">
        <v>799</v>
      </c>
      <c r="D799" s="23" t="str" cm="1">
        <f t="array" ref="D799">IFERROR([1]!CalculateHyphenString(C799),"")</f>
        <v/>
      </c>
      <c r="G799" s="26"/>
      <c r="H799" s="2"/>
      <c r="L799" s="21">
        <f t="shared" si="24"/>
        <v>0</v>
      </c>
      <c r="N799" s="21">
        <f t="shared" si="25"/>
        <v>0</v>
      </c>
      <c r="O799" s="2" cm="1">
        <f t="array" ref="O799:Q799">[1]!ConvertFeet(N799)</f>
        <v>0</v>
      </c>
      <c r="P799" s="2">
        <v>0</v>
      </c>
      <c r="Q799" s="2">
        <v>0</v>
      </c>
    </row>
    <row r="800" spans="1:17" x14ac:dyDescent="0.6">
      <c r="A800" s="35">
        <v>800</v>
      </c>
      <c r="D800" s="23" t="str" cm="1">
        <f t="array" ref="D800">IFERROR([1]!CalculateHyphenString(C800),"")</f>
        <v/>
      </c>
      <c r="G800" s="26"/>
      <c r="H800" s="2"/>
      <c r="L800" s="21">
        <f t="shared" si="24"/>
        <v>0</v>
      </c>
      <c r="N800" s="21">
        <f t="shared" si="25"/>
        <v>0</v>
      </c>
      <c r="O800" s="2" cm="1">
        <f t="array" ref="O800:Q800">[1]!ConvertFeet(N800)</f>
        <v>0</v>
      </c>
      <c r="P800" s="2">
        <v>0</v>
      </c>
      <c r="Q800" s="2">
        <v>0</v>
      </c>
    </row>
    <row r="801" spans="1:17" x14ac:dyDescent="0.6">
      <c r="A801" s="34">
        <v>801</v>
      </c>
      <c r="D801" s="23" t="str" cm="1">
        <f t="array" ref="D801">IFERROR([1]!CalculateHyphenString(C801),"")</f>
        <v/>
      </c>
      <c r="G801" s="26"/>
      <c r="H801" s="2"/>
      <c r="L801" s="21">
        <f t="shared" si="24"/>
        <v>0</v>
      </c>
      <c r="N801" s="21">
        <f t="shared" si="25"/>
        <v>0</v>
      </c>
      <c r="O801" s="2" cm="1">
        <f t="array" ref="O801:Q801">[1]!ConvertFeet(N801)</f>
        <v>0</v>
      </c>
      <c r="P801" s="2">
        <v>0</v>
      </c>
      <c r="Q801" s="2">
        <v>0</v>
      </c>
    </row>
    <row r="802" spans="1:17" x14ac:dyDescent="0.6">
      <c r="A802" s="35">
        <v>802</v>
      </c>
      <c r="D802" s="23" t="str" cm="1">
        <f t="array" ref="D802">IFERROR([1]!CalculateHyphenString(C802),"")</f>
        <v/>
      </c>
      <c r="G802" s="26"/>
      <c r="H802" s="2"/>
      <c r="L802" s="21">
        <f t="shared" si="24"/>
        <v>0</v>
      </c>
      <c r="N802" s="21">
        <f t="shared" si="25"/>
        <v>0</v>
      </c>
      <c r="O802" s="2" cm="1">
        <f t="array" ref="O802:Q802">[1]!ConvertFeet(N802)</f>
        <v>0</v>
      </c>
      <c r="P802" s="2">
        <v>0</v>
      </c>
      <c r="Q802" s="2">
        <v>0</v>
      </c>
    </row>
    <row r="803" spans="1:17" x14ac:dyDescent="0.6">
      <c r="A803" s="34">
        <v>803</v>
      </c>
      <c r="D803" s="23" t="str" cm="1">
        <f t="array" ref="D803">IFERROR([1]!CalculateHyphenString(C803),"")</f>
        <v/>
      </c>
      <c r="G803" s="26"/>
      <c r="H803" s="2"/>
      <c r="L803" s="21">
        <f t="shared" si="24"/>
        <v>0</v>
      </c>
      <c r="N803" s="21">
        <f t="shared" si="25"/>
        <v>0</v>
      </c>
      <c r="O803" s="2" cm="1">
        <f t="array" ref="O803:Q803">[1]!ConvertFeet(N803)</f>
        <v>0</v>
      </c>
      <c r="P803" s="2">
        <v>0</v>
      </c>
      <c r="Q803" s="2">
        <v>0</v>
      </c>
    </row>
    <row r="804" spans="1:17" x14ac:dyDescent="0.6">
      <c r="A804" s="35">
        <v>804</v>
      </c>
      <c r="D804" s="23" t="str" cm="1">
        <f t="array" ref="D804">IFERROR([1]!CalculateHyphenString(C804),"")</f>
        <v/>
      </c>
      <c r="G804" s="26"/>
      <c r="H804" s="2"/>
      <c r="L804" s="21">
        <f t="shared" si="24"/>
        <v>0</v>
      </c>
      <c r="N804" s="21">
        <f t="shared" si="25"/>
        <v>0</v>
      </c>
      <c r="O804" s="2" cm="1">
        <f t="array" ref="O804:Q804">[1]!ConvertFeet(N804)</f>
        <v>0</v>
      </c>
      <c r="P804" s="2">
        <v>0</v>
      </c>
      <c r="Q804" s="2">
        <v>0</v>
      </c>
    </row>
    <row r="805" spans="1:17" x14ac:dyDescent="0.6">
      <c r="A805" s="34">
        <v>805</v>
      </c>
      <c r="D805" s="23" t="str" cm="1">
        <f t="array" ref="D805">IFERROR([1]!CalculateHyphenString(C805),"")</f>
        <v/>
      </c>
      <c r="G805" s="26"/>
      <c r="H805" s="2"/>
      <c r="L805" s="21">
        <f t="shared" si="24"/>
        <v>0</v>
      </c>
      <c r="N805" s="21">
        <f t="shared" si="25"/>
        <v>0</v>
      </c>
      <c r="O805" s="2" cm="1">
        <f t="array" ref="O805:Q805">[1]!ConvertFeet(N805)</f>
        <v>0</v>
      </c>
      <c r="P805" s="2">
        <v>0</v>
      </c>
      <c r="Q805" s="2">
        <v>0</v>
      </c>
    </row>
    <row r="806" spans="1:17" x14ac:dyDescent="0.6">
      <c r="A806" s="35">
        <v>806</v>
      </c>
      <c r="D806" s="23" t="str" cm="1">
        <f t="array" ref="D806">IFERROR([1]!CalculateHyphenString(C806),"")</f>
        <v/>
      </c>
      <c r="G806" s="26"/>
      <c r="H806" s="2"/>
      <c r="L806" s="21">
        <f t="shared" si="24"/>
        <v>0</v>
      </c>
      <c r="N806" s="21">
        <f t="shared" si="25"/>
        <v>0</v>
      </c>
      <c r="O806" s="2" cm="1">
        <f t="array" ref="O806:Q806">[1]!ConvertFeet(N806)</f>
        <v>0</v>
      </c>
      <c r="P806" s="2">
        <v>0</v>
      </c>
      <c r="Q806" s="2">
        <v>0</v>
      </c>
    </row>
    <row r="807" spans="1:17" x14ac:dyDescent="0.6">
      <c r="A807" s="34">
        <v>807</v>
      </c>
      <c r="D807" s="23" t="str" cm="1">
        <f t="array" ref="D807">IFERROR([1]!CalculateHyphenString(C807),"")</f>
        <v/>
      </c>
      <c r="G807" s="26"/>
      <c r="H807" s="2"/>
      <c r="L807" s="21">
        <f t="shared" si="24"/>
        <v>0</v>
      </c>
      <c r="N807" s="21">
        <f t="shared" si="25"/>
        <v>0</v>
      </c>
      <c r="O807" s="2" cm="1">
        <f t="array" ref="O807:Q807">[1]!ConvertFeet(N807)</f>
        <v>0</v>
      </c>
      <c r="P807" s="2">
        <v>0</v>
      </c>
      <c r="Q807" s="2">
        <v>0</v>
      </c>
    </row>
    <row r="808" spans="1:17" x14ac:dyDescent="0.6">
      <c r="A808" s="35">
        <v>808</v>
      </c>
      <c r="D808" s="23" t="str" cm="1">
        <f t="array" ref="D808">IFERROR([1]!CalculateHyphenString(C808),"")</f>
        <v/>
      </c>
      <c r="G808" s="26"/>
      <c r="H808" s="2"/>
      <c r="L808" s="21">
        <f t="shared" si="24"/>
        <v>0</v>
      </c>
      <c r="N808" s="21">
        <f t="shared" si="25"/>
        <v>0</v>
      </c>
      <c r="O808" s="2" cm="1">
        <f t="array" ref="O808:Q808">[1]!ConvertFeet(N808)</f>
        <v>0</v>
      </c>
      <c r="P808" s="2">
        <v>0</v>
      </c>
      <c r="Q808" s="2">
        <v>0</v>
      </c>
    </row>
    <row r="809" spans="1:17" x14ac:dyDescent="0.6">
      <c r="A809" s="34">
        <v>809</v>
      </c>
      <c r="D809" s="23" t="str" cm="1">
        <f t="array" ref="D809">IFERROR([1]!CalculateHyphenString(C809),"")</f>
        <v/>
      </c>
      <c r="G809" s="26"/>
      <c r="H809" s="2"/>
      <c r="L809" s="21">
        <f t="shared" si="24"/>
        <v>0</v>
      </c>
      <c r="N809" s="21">
        <f t="shared" si="25"/>
        <v>0</v>
      </c>
      <c r="O809" s="2" cm="1">
        <f t="array" ref="O809:Q809">[1]!ConvertFeet(N809)</f>
        <v>0</v>
      </c>
      <c r="P809" s="2">
        <v>0</v>
      </c>
      <c r="Q809" s="2">
        <v>0</v>
      </c>
    </row>
    <row r="810" spans="1:17" x14ac:dyDescent="0.6">
      <c r="A810" s="35">
        <v>810</v>
      </c>
      <c r="D810" s="23" t="str" cm="1">
        <f t="array" ref="D810">IFERROR([1]!CalculateHyphenString(C810),"")</f>
        <v/>
      </c>
      <c r="G810" s="26"/>
      <c r="H810" s="2"/>
      <c r="L810" s="21">
        <f t="shared" si="24"/>
        <v>0</v>
      </c>
      <c r="N810" s="21">
        <f t="shared" si="25"/>
        <v>0</v>
      </c>
      <c r="O810" s="2" cm="1">
        <f t="array" ref="O810:Q810">[1]!ConvertFeet(N810)</f>
        <v>0</v>
      </c>
      <c r="P810" s="2">
        <v>0</v>
      </c>
      <c r="Q810" s="2">
        <v>0</v>
      </c>
    </row>
    <row r="811" spans="1:17" x14ac:dyDescent="0.6">
      <c r="A811" s="34">
        <v>811</v>
      </c>
      <c r="D811" s="23" t="str" cm="1">
        <f t="array" ref="D811">IFERROR([1]!CalculateHyphenString(C811),"")</f>
        <v/>
      </c>
      <c r="G811" s="26"/>
      <c r="H811" s="2"/>
      <c r="L811" s="21">
        <f t="shared" si="24"/>
        <v>0</v>
      </c>
      <c r="N811" s="21">
        <f t="shared" si="25"/>
        <v>0</v>
      </c>
      <c r="O811" s="2" cm="1">
        <f t="array" ref="O811:Q811">[1]!ConvertFeet(N811)</f>
        <v>0</v>
      </c>
      <c r="P811" s="2">
        <v>0</v>
      </c>
      <c r="Q811" s="2">
        <v>0</v>
      </c>
    </row>
    <row r="812" spans="1:17" x14ac:dyDescent="0.6">
      <c r="A812" s="35">
        <v>812</v>
      </c>
      <c r="D812" s="23" t="str" cm="1">
        <f t="array" ref="D812">IFERROR([1]!CalculateHyphenString(C812),"")</f>
        <v/>
      </c>
      <c r="G812" s="26"/>
      <c r="H812" s="2"/>
      <c r="L812" s="21">
        <f t="shared" si="24"/>
        <v>0</v>
      </c>
      <c r="N812" s="21">
        <f t="shared" si="25"/>
        <v>0</v>
      </c>
      <c r="O812" s="2" cm="1">
        <f t="array" ref="O812:Q812">[1]!ConvertFeet(N812)</f>
        <v>0</v>
      </c>
      <c r="P812" s="2">
        <v>0</v>
      </c>
      <c r="Q812" s="2">
        <v>0</v>
      </c>
    </row>
    <row r="813" spans="1:17" x14ac:dyDescent="0.6">
      <c r="A813" s="34">
        <v>813</v>
      </c>
      <c r="D813" s="23" t="str" cm="1">
        <f t="array" ref="D813">IFERROR([1]!CalculateHyphenString(C813),"")</f>
        <v/>
      </c>
      <c r="G813" s="26"/>
      <c r="H813" s="2"/>
      <c r="L813" s="21">
        <f t="shared" si="24"/>
        <v>0</v>
      </c>
      <c r="N813" s="21">
        <f t="shared" si="25"/>
        <v>0</v>
      </c>
      <c r="O813" s="2" cm="1">
        <f t="array" ref="O813:Q813">[1]!ConvertFeet(N813)</f>
        <v>0</v>
      </c>
      <c r="P813" s="2">
        <v>0</v>
      </c>
      <c r="Q813" s="2">
        <v>0</v>
      </c>
    </row>
    <row r="814" spans="1:17" x14ac:dyDescent="0.6">
      <c r="A814" s="35">
        <v>814</v>
      </c>
      <c r="D814" s="23" t="str" cm="1">
        <f t="array" ref="D814">IFERROR([1]!CalculateHyphenString(C814),"")</f>
        <v/>
      </c>
      <c r="G814" s="26"/>
      <c r="H814" s="2"/>
      <c r="L814" s="21">
        <f t="shared" si="24"/>
        <v>0</v>
      </c>
      <c r="N814" s="21">
        <f t="shared" si="25"/>
        <v>0</v>
      </c>
      <c r="O814" s="2" cm="1">
        <f t="array" ref="O814:Q814">[1]!ConvertFeet(N814)</f>
        <v>0</v>
      </c>
      <c r="P814" s="2">
        <v>0</v>
      </c>
      <c r="Q814" s="2">
        <v>0</v>
      </c>
    </row>
    <row r="815" spans="1:17" x14ac:dyDescent="0.6">
      <c r="A815" s="34">
        <v>815</v>
      </c>
      <c r="D815" s="23" t="str" cm="1">
        <f t="array" ref="D815">IFERROR([1]!CalculateHyphenString(C815),"")</f>
        <v/>
      </c>
      <c r="G815" s="26"/>
      <c r="H815" s="2"/>
      <c r="L815" s="21">
        <f t="shared" si="24"/>
        <v>0</v>
      </c>
      <c r="N815" s="21">
        <f t="shared" si="25"/>
        <v>0</v>
      </c>
      <c r="O815" s="2" cm="1">
        <f t="array" ref="O815:Q815">[1]!ConvertFeet(N815)</f>
        <v>0</v>
      </c>
      <c r="P815" s="2">
        <v>0</v>
      </c>
      <c r="Q815" s="2">
        <v>0</v>
      </c>
    </row>
    <row r="816" spans="1:17" x14ac:dyDescent="0.6">
      <c r="A816" s="35">
        <v>816</v>
      </c>
      <c r="D816" s="23" t="str" cm="1">
        <f t="array" ref="D816">IFERROR([1]!CalculateHyphenString(C816),"")</f>
        <v/>
      </c>
      <c r="G816" s="26"/>
      <c r="H816" s="2"/>
      <c r="L816" s="21">
        <f t="shared" si="24"/>
        <v>0</v>
      </c>
      <c r="N816" s="21">
        <f t="shared" si="25"/>
        <v>0</v>
      </c>
      <c r="O816" s="2" cm="1">
        <f t="array" ref="O816:Q816">[1]!ConvertFeet(N816)</f>
        <v>0</v>
      </c>
      <c r="P816" s="2">
        <v>0</v>
      </c>
      <c r="Q816" s="2">
        <v>0</v>
      </c>
    </row>
    <row r="817" spans="1:17" x14ac:dyDescent="0.6">
      <c r="A817" s="34">
        <v>817</v>
      </c>
      <c r="D817" s="23" t="str" cm="1">
        <f t="array" ref="D817">IFERROR([1]!CalculateHyphenString(C817),"")</f>
        <v/>
      </c>
      <c r="G817" s="26"/>
      <c r="H817" s="2"/>
      <c r="L817" s="21">
        <f t="shared" si="24"/>
        <v>0</v>
      </c>
      <c r="N817" s="21">
        <f t="shared" si="25"/>
        <v>0</v>
      </c>
      <c r="O817" s="2" cm="1">
        <f t="array" ref="O817:Q817">[1]!ConvertFeet(N817)</f>
        <v>0</v>
      </c>
      <c r="P817" s="2">
        <v>0</v>
      </c>
      <c r="Q817" s="2">
        <v>0</v>
      </c>
    </row>
    <row r="818" spans="1:17" x14ac:dyDescent="0.6">
      <c r="A818" s="35">
        <v>818</v>
      </c>
      <c r="D818" s="23" t="str" cm="1">
        <f t="array" ref="D818">IFERROR([1]!CalculateHyphenString(C818),"")</f>
        <v/>
      </c>
      <c r="G818" s="26"/>
      <c r="H818" s="2"/>
      <c r="L818" s="21">
        <f t="shared" si="24"/>
        <v>0</v>
      </c>
      <c r="N818" s="21">
        <f t="shared" si="25"/>
        <v>0</v>
      </c>
      <c r="O818" s="2" cm="1">
        <f t="array" ref="O818:Q818">[1]!ConvertFeet(N818)</f>
        <v>0</v>
      </c>
      <c r="P818" s="2">
        <v>0</v>
      </c>
      <c r="Q818" s="2">
        <v>0</v>
      </c>
    </row>
    <row r="819" spans="1:17" x14ac:dyDescent="0.6">
      <c r="A819" s="34">
        <v>819</v>
      </c>
      <c r="D819" s="23" t="str" cm="1">
        <f t="array" ref="D819">IFERROR([1]!CalculateHyphenString(C819),"")</f>
        <v/>
      </c>
      <c r="G819" s="26"/>
      <c r="H819" s="2"/>
      <c r="L819" s="21">
        <f t="shared" si="24"/>
        <v>0</v>
      </c>
      <c r="N819" s="21">
        <f t="shared" si="25"/>
        <v>0</v>
      </c>
      <c r="O819" s="2" cm="1">
        <f t="array" ref="O819:Q819">[1]!ConvertFeet(N819)</f>
        <v>0</v>
      </c>
      <c r="P819" s="2">
        <v>0</v>
      </c>
      <c r="Q819" s="2">
        <v>0</v>
      </c>
    </row>
    <row r="820" spans="1:17" x14ac:dyDescent="0.6">
      <c r="A820" s="35">
        <v>820</v>
      </c>
      <c r="D820" s="23" t="str" cm="1">
        <f t="array" ref="D820">IFERROR([1]!CalculateHyphenString(C820),"")</f>
        <v/>
      </c>
      <c r="G820" s="26"/>
      <c r="H820" s="2"/>
      <c r="L820" s="21">
        <f t="shared" si="24"/>
        <v>0</v>
      </c>
      <c r="N820" s="21">
        <f t="shared" si="25"/>
        <v>0</v>
      </c>
      <c r="O820" s="2" cm="1">
        <f t="array" ref="O820:Q820">[1]!ConvertFeet(N820)</f>
        <v>0</v>
      </c>
      <c r="P820" s="2">
        <v>0</v>
      </c>
      <c r="Q820" s="2">
        <v>0</v>
      </c>
    </row>
    <row r="821" spans="1:17" x14ac:dyDescent="0.6">
      <c r="A821" s="34">
        <v>821</v>
      </c>
      <c r="D821" s="23" t="str" cm="1">
        <f t="array" ref="D821">IFERROR([1]!CalculateHyphenString(C821),"")</f>
        <v/>
      </c>
      <c r="G821" s="26"/>
      <c r="H821" s="2"/>
      <c r="L821" s="21">
        <f t="shared" si="24"/>
        <v>0</v>
      </c>
      <c r="N821" s="21">
        <f t="shared" si="25"/>
        <v>0</v>
      </c>
      <c r="O821" s="2" cm="1">
        <f t="array" ref="O821:Q821">[1]!ConvertFeet(N821)</f>
        <v>0</v>
      </c>
      <c r="P821" s="2">
        <v>0</v>
      </c>
      <c r="Q821" s="2">
        <v>0</v>
      </c>
    </row>
    <row r="822" spans="1:17" x14ac:dyDescent="0.6">
      <c r="A822" s="35">
        <v>822</v>
      </c>
      <c r="D822" s="23" t="str" cm="1">
        <f t="array" ref="D822">IFERROR([1]!CalculateHyphenString(C822),"")</f>
        <v/>
      </c>
      <c r="G822" s="26"/>
      <c r="H822" s="2"/>
      <c r="L822" s="21">
        <f t="shared" si="24"/>
        <v>0</v>
      </c>
      <c r="N822" s="21">
        <f t="shared" si="25"/>
        <v>0</v>
      </c>
      <c r="O822" s="2" cm="1">
        <f t="array" ref="O822:Q822">[1]!ConvertFeet(N822)</f>
        <v>0</v>
      </c>
      <c r="P822" s="2">
        <v>0</v>
      </c>
      <c r="Q822" s="2">
        <v>0</v>
      </c>
    </row>
    <row r="823" spans="1:17" x14ac:dyDescent="0.6">
      <c r="A823" s="34">
        <v>823</v>
      </c>
      <c r="D823" s="23" t="str" cm="1">
        <f t="array" ref="D823">IFERROR([1]!CalculateHyphenString(C823),"")</f>
        <v/>
      </c>
      <c r="G823" s="26"/>
      <c r="H823" s="2"/>
      <c r="L823" s="21">
        <f t="shared" si="24"/>
        <v>0</v>
      </c>
      <c r="N823" s="21">
        <f t="shared" si="25"/>
        <v>0</v>
      </c>
      <c r="O823" s="2" cm="1">
        <f t="array" ref="O823:Q823">[1]!ConvertFeet(N823)</f>
        <v>0</v>
      </c>
      <c r="P823" s="2">
        <v>0</v>
      </c>
      <c r="Q823" s="2">
        <v>0</v>
      </c>
    </row>
    <row r="824" spans="1:17" x14ac:dyDescent="0.6">
      <c r="A824" s="35">
        <v>824</v>
      </c>
      <c r="D824" s="23" t="str" cm="1">
        <f t="array" ref="D824">IFERROR([1]!CalculateHyphenString(C824),"")</f>
        <v/>
      </c>
      <c r="G824" s="26"/>
      <c r="H824" s="2"/>
      <c r="L824" s="21">
        <f t="shared" si="24"/>
        <v>0</v>
      </c>
      <c r="N824" s="21">
        <f t="shared" si="25"/>
        <v>0</v>
      </c>
      <c r="O824" s="2" cm="1">
        <f t="array" ref="O824:Q824">[1]!ConvertFeet(N824)</f>
        <v>0</v>
      </c>
      <c r="P824" s="2">
        <v>0</v>
      </c>
      <c r="Q824" s="2">
        <v>0</v>
      </c>
    </row>
    <row r="825" spans="1:17" x14ac:dyDescent="0.6">
      <c r="A825" s="34">
        <v>825</v>
      </c>
      <c r="D825" s="23" t="str" cm="1">
        <f t="array" ref="D825">IFERROR([1]!CalculateHyphenString(C825),"")</f>
        <v/>
      </c>
      <c r="G825" s="26"/>
      <c r="H825" s="2"/>
      <c r="L825" s="21">
        <f t="shared" si="24"/>
        <v>0</v>
      </c>
      <c r="N825" s="21">
        <f t="shared" si="25"/>
        <v>0</v>
      </c>
      <c r="O825" s="2" cm="1">
        <f t="array" ref="O825:Q825">[1]!ConvertFeet(N825)</f>
        <v>0</v>
      </c>
      <c r="P825" s="2">
        <v>0</v>
      </c>
      <c r="Q825" s="2">
        <v>0</v>
      </c>
    </row>
    <row r="826" spans="1:17" x14ac:dyDescent="0.6">
      <c r="A826" s="35">
        <v>826</v>
      </c>
      <c r="D826" s="23" t="str" cm="1">
        <f t="array" ref="D826">IFERROR([1]!CalculateHyphenString(C826),"")</f>
        <v/>
      </c>
      <c r="G826" s="26"/>
      <c r="H826" s="2"/>
      <c r="L826" s="21">
        <f t="shared" si="24"/>
        <v>0</v>
      </c>
      <c r="N826" s="21">
        <f t="shared" si="25"/>
        <v>0</v>
      </c>
      <c r="O826" s="2" cm="1">
        <f t="array" ref="O826:Q826">[1]!ConvertFeet(N826)</f>
        <v>0</v>
      </c>
      <c r="P826" s="2">
        <v>0</v>
      </c>
      <c r="Q826" s="2">
        <v>0</v>
      </c>
    </row>
    <row r="827" spans="1:17" x14ac:dyDescent="0.6">
      <c r="A827" s="34">
        <v>827</v>
      </c>
      <c r="D827" s="23" t="str" cm="1">
        <f t="array" ref="D827">IFERROR([1]!CalculateHyphenString(C827),"")</f>
        <v/>
      </c>
      <c r="G827" s="26"/>
      <c r="H827" s="2"/>
      <c r="L827" s="21">
        <f t="shared" si="24"/>
        <v>0</v>
      </c>
      <c r="N827" s="21">
        <f t="shared" si="25"/>
        <v>0</v>
      </c>
      <c r="O827" s="2" cm="1">
        <f t="array" ref="O827:Q827">[1]!ConvertFeet(N827)</f>
        <v>0</v>
      </c>
      <c r="P827" s="2">
        <v>0</v>
      </c>
      <c r="Q827" s="2">
        <v>0</v>
      </c>
    </row>
    <row r="828" spans="1:17" x14ac:dyDescent="0.6">
      <c r="A828" s="35">
        <v>828</v>
      </c>
      <c r="D828" s="23" t="str" cm="1">
        <f t="array" ref="D828">IFERROR([1]!CalculateHyphenString(C828),"")</f>
        <v/>
      </c>
      <c r="G828" s="26"/>
      <c r="H828" s="2"/>
      <c r="L828" s="21">
        <f t="shared" si="24"/>
        <v>0</v>
      </c>
      <c r="N828" s="21">
        <f t="shared" si="25"/>
        <v>0</v>
      </c>
      <c r="O828" s="2" cm="1">
        <f t="array" ref="O828:Q828">[1]!ConvertFeet(N828)</f>
        <v>0</v>
      </c>
      <c r="P828" s="2">
        <v>0</v>
      </c>
      <c r="Q828" s="2">
        <v>0</v>
      </c>
    </row>
    <row r="829" spans="1:17" x14ac:dyDescent="0.6">
      <c r="A829" s="34">
        <v>829</v>
      </c>
      <c r="D829" s="23" t="str" cm="1">
        <f t="array" ref="D829">IFERROR([1]!CalculateHyphenString(C829),"")</f>
        <v/>
      </c>
      <c r="G829" s="26"/>
      <c r="H829" s="2"/>
      <c r="L829" s="21">
        <f t="shared" si="24"/>
        <v>0</v>
      </c>
      <c r="N829" s="21">
        <f t="shared" si="25"/>
        <v>0</v>
      </c>
      <c r="O829" s="2" cm="1">
        <f t="array" ref="O829:Q829">[1]!ConvertFeet(N829)</f>
        <v>0</v>
      </c>
      <c r="P829" s="2">
        <v>0</v>
      </c>
      <c r="Q829" s="2">
        <v>0</v>
      </c>
    </row>
    <row r="830" spans="1:17" x14ac:dyDescent="0.6">
      <c r="A830" s="35">
        <v>830</v>
      </c>
      <c r="D830" s="23" t="str" cm="1">
        <f t="array" ref="D830">IFERROR([1]!CalculateHyphenString(C830),"")</f>
        <v/>
      </c>
      <c r="G830" s="26"/>
      <c r="H830" s="2"/>
      <c r="L830" s="21">
        <f t="shared" si="24"/>
        <v>0</v>
      </c>
      <c r="N830" s="21">
        <f t="shared" si="25"/>
        <v>0</v>
      </c>
      <c r="O830" s="2" cm="1">
        <f t="array" ref="O830:Q830">[1]!ConvertFeet(N830)</f>
        <v>0</v>
      </c>
      <c r="P830" s="2">
        <v>0</v>
      </c>
      <c r="Q830" s="2">
        <v>0</v>
      </c>
    </row>
    <row r="831" spans="1:17" x14ac:dyDescent="0.6">
      <c r="A831" s="34">
        <v>831</v>
      </c>
      <c r="D831" s="23" t="str" cm="1">
        <f t="array" ref="D831">IFERROR([1]!CalculateHyphenString(C831),"")</f>
        <v/>
      </c>
      <c r="G831" s="26"/>
      <c r="H831" s="2"/>
      <c r="L831" s="21">
        <f t="shared" si="24"/>
        <v>0</v>
      </c>
      <c r="N831" s="21">
        <f t="shared" si="25"/>
        <v>0</v>
      </c>
      <c r="O831" s="2" cm="1">
        <f t="array" ref="O831:Q831">[1]!ConvertFeet(N831)</f>
        <v>0</v>
      </c>
      <c r="P831" s="2">
        <v>0</v>
      </c>
      <c r="Q831" s="2">
        <v>0</v>
      </c>
    </row>
    <row r="832" spans="1:17" x14ac:dyDescent="0.6">
      <c r="A832" s="35">
        <v>832</v>
      </c>
      <c r="D832" s="23" t="str" cm="1">
        <f t="array" ref="D832">IFERROR([1]!CalculateHyphenString(C832),"")</f>
        <v/>
      </c>
      <c r="G832" s="26"/>
      <c r="H832" s="2"/>
      <c r="L832" s="21">
        <f t="shared" si="24"/>
        <v>0</v>
      </c>
      <c r="N832" s="21">
        <f t="shared" si="25"/>
        <v>0</v>
      </c>
      <c r="O832" s="2" cm="1">
        <f t="array" ref="O832:Q832">[1]!ConvertFeet(N832)</f>
        <v>0</v>
      </c>
      <c r="P832" s="2">
        <v>0</v>
      </c>
      <c r="Q832" s="2">
        <v>0</v>
      </c>
    </row>
    <row r="833" spans="1:17" x14ac:dyDescent="0.6">
      <c r="A833" s="34">
        <v>833</v>
      </c>
      <c r="D833" s="23" t="str" cm="1">
        <f t="array" ref="D833">IFERROR([1]!CalculateHyphenString(C833),"")</f>
        <v/>
      </c>
      <c r="G833" s="26"/>
      <c r="H833" s="2"/>
      <c r="L833" s="21">
        <f t="shared" si="24"/>
        <v>0</v>
      </c>
      <c r="N833" s="21">
        <f t="shared" si="25"/>
        <v>0</v>
      </c>
      <c r="O833" s="2" cm="1">
        <f t="array" ref="O833:Q833">[1]!ConvertFeet(N833)</f>
        <v>0</v>
      </c>
      <c r="P833" s="2">
        <v>0</v>
      </c>
      <c r="Q833" s="2">
        <v>0</v>
      </c>
    </row>
    <row r="834" spans="1:17" x14ac:dyDescent="0.6">
      <c r="A834" s="35">
        <v>834</v>
      </c>
      <c r="D834" s="23" t="str" cm="1">
        <f t="array" ref="D834">IFERROR([1]!CalculateHyphenString(C834),"")</f>
        <v/>
      </c>
      <c r="G834" s="26"/>
      <c r="H834" s="2"/>
      <c r="L834" s="21">
        <f t="shared" si="24"/>
        <v>0</v>
      </c>
      <c r="N834" s="21">
        <f t="shared" si="25"/>
        <v>0</v>
      </c>
      <c r="O834" s="2" cm="1">
        <f t="array" ref="O834:Q834">[1]!ConvertFeet(N834)</f>
        <v>0</v>
      </c>
      <c r="P834" s="2">
        <v>0</v>
      </c>
      <c r="Q834" s="2">
        <v>0</v>
      </c>
    </row>
    <row r="835" spans="1:17" x14ac:dyDescent="0.6">
      <c r="A835" s="34">
        <v>835</v>
      </c>
      <c r="D835" s="23" t="str" cm="1">
        <f t="array" ref="D835">IFERROR([1]!CalculateHyphenString(C835),"")</f>
        <v/>
      </c>
      <c r="G835" s="26"/>
      <c r="H835" s="2"/>
      <c r="L835" s="21">
        <f t="shared" si="24"/>
        <v>0</v>
      </c>
      <c r="N835" s="21">
        <f t="shared" si="25"/>
        <v>0</v>
      </c>
      <c r="O835" s="2" cm="1">
        <f t="array" ref="O835:Q835">[1]!ConvertFeet(N835)</f>
        <v>0</v>
      </c>
      <c r="P835" s="2">
        <v>0</v>
      </c>
      <c r="Q835" s="2">
        <v>0</v>
      </c>
    </row>
    <row r="836" spans="1:17" x14ac:dyDescent="0.6">
      <c r="A836" s="35">
        <v>836</v>
      </c>
      <c r="D836" s="23" t="str" cm="1">
        <f t="array" ref="D836">IFERROR([1]!CalculateHyphenString(C836),"")</f>
        <v/>
      </c>
      <c r="G836" s="26"/>
      <c r="H836" s="2"/>
      <c r="L836" s="21">
        <f t="shared" si="24"/>
        <v>0</v>
      </c>
      <c r="N836" s="21">
        <f t="shared" si="25"/>
        <v>0</v>
      </c>
      <c r="O836" s="2" cm="1">
        <f t="array" ref="O836:Q836">[1]!ConvertFeet(N836)</f>
        <v>0</v>
      </c>
      <c r="P836" s="2">
        <v>0</v>
      </c>
      <c r="Q836" s="2">
        <v>0</v>
      </c>
    </row>
    <row r="837" spans="1:17" x14ac:dyDescent="0.6">
      <c r="A837" s="34">
        <v>837</v>
      </c>
      <c r="D837" s="23" t="str" cm="1">
        <f t="array" ref="D837">IFERROR([1]!CalculateHyphenString(C837),"")</f>
        <v/>
      </c>
      <c r="G837" s="26"/>
      <c r="H837" s="2"/>
      <c r="L837" s="21">
        <f t="shared" si="24"/>
        <v>0</v>
      </c>
      <c r="N837" s="21">
        <f t="shared" si="25"/>
        <v>0</v>
      </c>
      <c r="O837" s="2" cm="1">
        <f t="array" ref="O837:Q837">[1]!ConvertFeet(N837)</f>
        <v>0</v>
      </c>
      <c r="P837" s="2">
        <v>0</v>
      </c>
      <c r="Q837" s="2">
        <v>0</v>
      </c>
    </row>
    <row r="838" spans="1:17" x14ac:dyDescent="0.6">
      <c r="A838" s="35">
        <v>838</v>
      </c>
      <c r="D838" s="23" t="str" cm="1">
        <f t="array" ref="D838">IFERROR([1]!CalculateHyphenString(C838),"")</f>
        <v/>
      </c>
      <c r="G838" s="26"/>
      <c r="H838" s="2"/>
      <c r="L838" s="21">
        <f t="shared" si="24"/>
        <v>0</v>
      </c>
      <c r="N838" s="21">
        <f t="shared" si="25"/>
        <v>0</v>
      </c>
      <c r="O838" s="2" cm="1">
        <f t="array" ref="O838:Q838">[1]!ConvertFeet(N838)</f>
        <v>0</v>
      </c>
      <c r="P838" s="2">
        <v>0</v>
      </c>
      <c r="Q838" s="2">
        <v>0</v>
      </c>
    </row>
    <row r="839" spans="1:17" x14ac:dyDescent="0.6">
      <c r="A839" s="34">
        <v>839</v>
      </c>
      <c r="D839" s="23" t="str" cm="1">
        <f t="array" ref="D839">IFERROR([1]!CalculateHyphenString(C839),"")</f>
        <v/>
      </c>
      <c r="G839" s="26"/>
      <c r="H839" s="2"/>
      <c r="L839" s="21">
        <f t="shared" ref="L839:L902" si="26">(K839*$G$3)/100</f>
        <v>0</v>
      </c>
      <c r="N839" s="21">
        <f t="shared" ref="N839:N902" si="27">K839-(L839+M839)</f>
        <v>0</v>
      </c>
      <c r="O839" s="2" cm="1">
        <f t="array" ref="O839:Q839">[1]!ConvertFeet(N839)</f>
        <v>0</v>
      </c>
      <c r="P839" s="2">
        <v>0</v>
      </c>
      <c r="Q839" s="2">
        <v>0</v>
      </c>
    </row>
    <row r="840" spans="1:17" x14ac:dyDescent="0.6">
      <c r="A840" s="35">
        <v>840</v>
      </c>
      <c r="D840" s="23" t="str" cm="1">
        <f t="array" ref="D840">IFERROR([1]!CalculateHyphenString(C840),"")</f>
        <v/>
      </c>
      <c r="G840" s="26"/>
      <c r="H840" s="2"/>
      <c r="L840" s="21">
        <f t="shared" si="26"/>
        <v>0</v>
      </c>
      <c r="N840" s="21">
        <f t="shared" si="27"/>
        <v>0</v>
      </c>
      <c r="O840" s="2" cm="1">
        <f t="array" ref="O840:Q840">[1]!ConvertFeet(N840)</f>
        <v>0</v>
      </c>
      <c r="P840" s="2">
        <v>0</v>
      </c>
      <c r="Q840" s="2">
        <v>0</v>
      </c>
    </row>
    <row r="841" spans="1:17" x14ac:dyDescent="0.6">
      <c r="A841" s="34">
        <v>841</v>
      </c>
      <c r="D841" s="23" t="str" cm="1">
        <f t="array" ref="D841">IFERROR([1]!CalculateHyphenString(C841),"")</f>
        <v/>
      </c>
      <c r="G841" s="26"/>
      <c r="H841" s="2"/>
      <c r="L841" s="21">
        <f t="shared" si="26"/>
        <v>0</v>
      </c>
      <c r="N841" s="21">
        <f t="shared" si="27"/>
        <v>0</v>
      </c>
      <c r="O841" s="2" cm="1">
        <f t="array" ref="O841:Q841">[1]!ConvertFeet(N841)</f>
        <v>0</v>
      </c>
      <c r="P841" s="2">
        <v>0</v>
      </c>
      <c r="Q841" s="2">
        <v>0</v>
      </c>
    </row>
    <row r="842" spans="1:17" x14ac:dyDescent="0.6">
      <c r="A842" s="35">
        <v>842</v>
      </c>
      <c r="D842" s="23" t="str" cm="1">
        <f t="array" ref="D842">IFERROR([1]!CalculateHyphenString(C842),"")</f>
        <v/>
      </c>
      <c r="G842" s="26"/>
      <c r="H842" s="2"/>
      <c r="L842" s="21">
        <f t="shared" si="26"/>
        <v>0</v>
      </c>
      <c r="N842" s="21">
        <f t="shared" si="27"/>
        <v>0</v>
      </c>
      <c r="O842" s="2" cm="1">
        <f t="array" ref="O842:Q842">[1]!ConvertFeet(N842)</f>
        <v>0</v>
      </c>
      <c r="P842" s="2">
        <v>0</v>
      </c>
      <c r="Q842" s="2">
        <v>0</v>
      </c>
    </row>
    <row r="843" spans="1:17" x14ac:dyDescent="0.6">
      <c r="A843" s="34">
        <v>843</v>
      </c>
      <c r="D843" s="23" t="str" cm="1">
        <f t="array" ref="D843">IFERROR([1]!CalculateHyphenString(C843),"")</f>
        <v/>
      </c>
      <c r="G843" s="26"/>
      <c r="H843" s="2"/>
      <c r="L843" s="21">
        <f t="shared" si="26"/>
        <v>0</v>
      </c>
      <c r="N843" s="21">
        <f t="shared" si="27"/>
        <v>0</v>
      </c>
      <c r="O843" s="2" cm="1">
        <f t="array" ref="O843:Q843">[1]!ConvertFeet(N843)</f>
        <v>0</v>
      </c>
      <c r="P843" s="2">
        <v>0</v>
      </c>
      <c r="Q843" s="2">
        <v>0</v>
      </c>
    </row>
    <row r="844" spans="1:17" x14ac:dyDescent="0.6">
      <c r="A844" s="35">
        <v>844</v>
      </c>
      <c r="D844" s="23" t="str" cm="1">
        <f t="array" ref="D844">IFERROR([1]!CalculateHyphenString(C844),"")</f>
        <v/>
      </c>
      <c r="G844" s="26"/>
      <c r="H844" s="2"/>
      <c r="L844" s="21">
        <f t="shared" si="26"/>
        <v>0</v>
      </c>
      <c r="N844" s="21">
        <f t="shared" si="27"/>
        <v>0</v>
      </c>
      <c r="O844" s="2" cm="1">
        <f t="array" ref="O844:Q844">[1]!ConvertFeet(N844)</f>
        <v>0</v>
      </c>
      <c r="P844" s="2">
        <v>0</v>
      </c>
      <c r="Q844" s="2">
        <v>0</v>
      </c>
    </row>
    <row r="845" spans="1:17" x14ac:dyDescent="0.6">
      <c r="A845" s="34">
        <v>845</v>
      </c>
      <c r="D845" s="23" t="str" cm="1">
        <f t="array" ref="D845">IFERROR([1]!CalculateHyphenString(C845),"")</f>
        <v/>
      </c>
      <c r="G845" s="26"/>
      <c r="H845" s="2"/>
      <c r="L845" s="21">
        <f t="shared" si="26"/>
        <v>0</v>
      </c>
      <c r="N845" s="21">
        <f t="shared" si="27"/>
        <v>0</v>
      </c>
      <c r="O845" s="2" cm="1">
        <f t="array" ref="O845:Q845">[1]!ConvertFeet(N845)</f>
        <v>0</v>
      </c>
      <c r="P845" s="2">
        <v>0</v>
      </c>
      <c r="Q845" s="2">
        <v>0</v>
      </c>
    </row>
    <row r="846" spans="1:17" x14ac:dyDescent="0.6">
      <c r="A846" s="35">
        <v>846</v>
      </c>
      <c r="D846" s="23" t="str" cm="1">
        <f t="array" ref="D846">IFERROR([1]!CalculateHyphenString(C846),"")</f>
        <v/>
      </c>
      <c r="G846" s="26"/>
      <c r="H846" s="2"/>
      <c r="L846" s="21">
        <f t="shared" si="26"/>
        <v>0</v>
      </c>
      <c r="N846" s="21">
        <f t="shared" si="27"/>
        <v>0</v>
      </c>
      <c r="O846" s="2" cm="1">
        <f t="array" ref="O846:Q846">[1]!ConvertFeet(N846)</f>
        <v>0</v>
      </c>
      <c r="P846" s="2">
        <v>0</v>
      </c>
      <c r="Q846" s="2">
        <v>0</v>
      </c>
    </row>
    <row r="847" spans="1:17" x14ac:dyDescent="0.6">
      <c r="A847" s="34">
        <v>847</v>
      </c>
      <c r="D847" s="23" t="str" cm="1">
        <f t="array" ref="D847">IFERROR([1]!CalculateHyphenString(C847),"")</f>
        <v/>
      </c>
      <c r="G847" s="26"/>
      <c r="H847" s="2"/>
      <c r="L847" s="21">
        <f t="shared" si="26"/>
        <v>0</v>
      </c>
      <c r="N847" s="21">
        <f t="shared" si="27"/>
        <v>0</v>
      </c>
      <c r="O847" s="2" cm="1">
        <f t="array" ref="O847:Q847">[1]!ConvertFeet(N847)</f>
        <v>0</v>
      </c>
      <c r="P847" s="2">
        <v>0</v>
      </c>
      <c r="Q847" s="2">
        <v>0</v>
      </c>
    </row>
    <row r="848" spans="1:17" x14ac:dyDescent="0.6">
      <c r="A848" s="35">
        <v>848</v>
      </c>
      <c r="D848" s="23" t="str" cm="1">
        <f t="array" ref="D848">IFERROR([1]!CalculateHyphenString(C848),"")</f>
        <v/>
      </c>
      <c r="G848" s="26"/>
      <c r="H848" s="2"/>
      <c r="L848" s="21">
        <f t="shared" si="26"/>
        <v>0</v>
      </c>
      <c r="N848" s="21">
        <f t="shared" si="27"/>
        <v>0</v>
      </c>
      <c r="O848" s="2" cm="1">
        <f t="array" ref="O848:Q848">[1]!ConvertFeet(N848)</f>
        <v>0</v>
      </c>
      <c r="P848" s="2">
        <v>0</v>
      </c>
      <c r="Q848" s="2">
        <v>0</v>
      </c>
    </row>
    <row r="849" spans="1:17" x14ac:dyDescent="0.6">
      <c r="A849" s="34">
        <v>849</v>
      </c>
      <c r="D849" s="23" t="str" cm="1">
        <f t="array" ref="D849">IFERROR([1]!CalculateHyphenString(C849),"")</f>
        <v/>
      </c>
      <c r="G849" s="26"/>
      <c r="H849" s="2"/>
      <c r="L849" s="21">
        <f t="shared" si="26"/>
        <v>0</v>
      </c>
      <c r="N849" s="21">
        <f t="shared" si="27"/>
        <v>0</v>
      </c>
      <c r="O849" s="2" cm="1">
        <f t="array" ref="O849:Q849">[1]!ConvertFeet(N849)</f>
        <v>0</v>
      </c>
      <c r="P849" s="2">
        <v>0</v>
      </c>
      <c r="Q849" s="2">
        <v>0</v>
      </c>
    </row>
    <row r="850" spans="1:17" x14ac:dyDescent="0.6">
      <c r="A850" s="35">
        <v>850</v>
      </c>
      <c r="D850" s="23" t="str" cm="1">
        <f t="array" ref="D850">IFERROR([1]!CalculateHyphenString(C850),"")</f>
        <v/>
      </c>
      <c r="G850" s="26"/>
      <c r="H850" s="2"/>
      <c r="L850" s="21">
        <f t="shared" si="26"/>
        <v>0</v>
      </c>
      <c r="N850" s="21">
        <f t="shared" si="27"/>
        <v>0</v>
      </c>
      <c r="O850" s="2" cm="1">
        <f t="array" ref="O850:Q850">[1]!ConvertFeet(N850)</f>
        <v>0</v>
      </c>
      <c r="P850" s="2">
        <v>0</v>
      </c>
      <c r="Q850" s="2">
        <v>0</v>
      </c>
    </row>
    <row r="851" spans="1:17" x14ac:dyDescent="0.6">
      <c r="A851" s="34">
        <v>851</v>
      </c>
      <c r="D851" s="23" t="str" cm="1">
        <f t="array" ref="D851">IFERROR([1]!CalculateHyphenString(C851),"")</f>
        <v/>
      </c>
      <c r="G851" s="26"/>
      <c r="H851" s="2"/>
      <c r="L851" s="21">
        <f t="shared" si="26"/>
        <v>0</v>
      </c>
      <c r="N851" s="21">
        <f t="shared" si="27"/>
        <v>0</v>
      </c>
      <c r="O851" s="2" cm="1">
        <f t="array" ref="O851:Q851">[1]!ConvertFeet(N851)</f>
        <v>0</v>
      </c>
      <c r="P851" s="2">
        <v>0</v>
      </c>
      <c r="Q851" s="2">
        <v>0</v>
      </c>
    </row>
    <row r="852" spans="1:17" x14ac:dyDescent="0.6">
      <c r="A852" s="35">
        <v>852</v>
      </c>
      <c r="D852" s="23" t="str" cm="1">
        <f t="array" ref="D852">IFERROR([1]!CalculateHyphenString(C852),"")</f>
        <v/>
      </c>
      <c r="G852" s="26"/>
      <c r="H852" s="2"/>
      <c r="L852" s="21">
        <f t="shared" si="26"/>
        <v>0</v>
      </c>
      <c r="N852" s="21">
        <f t="shared" si="27"/>
        <v>0</v>
      </c>
      <c r="O852" s="2" cm="1">
        <f t="array" ref="O852:Q852">[1]!ConvertFeet(N852)</f>
        <v>0</v>
      </c>
      <c r="P852" s="2">
        <v>0</v>
      </c>
      <c r="Q852" s="2">
        <v>0</v>
      </c>
    </row>
    <row r="853" spans="1:17" x14ac:dyDescent="0.6">
      <c r="A853" s="34">
        <v>853</v>
      </c>
      <c r="D853" s="23" t="str" cm="1">
        <f t="array" ref="D853">IFERROR([1]!CalculateHyphenString(C853),"")</f>
        <v/>
      </c>
      <c r="G853" s="26"/>
      <c r="H853" s="2"/>
      <c r="L853" s="21">
        <f t="shared" si="26"/>
        <v>0</v>
      </c>
      <c r="N853" s="21">
        <f t="shared" si="27"/>
        <v>0</v>
      </c>
      <c r="O853" s="2" cm="1">
        <f t="array" ref="O853:Q853">[1]!ConvertFeet(N853)</f>
        <v>0</v>
      </c>
      <c r="P853" s="2">
        <v>0</v>
      </c>
      <c r="Q853" s="2">
        <v>0</v>
      </c>
    </row>
    <row r="854" spans="1:17" x14ac:dyDescent="0.6">
      <c r="A854" s="35">
        <v>854</v>
      </c>
      <c r="D854" s="23" t="str" cm="1">
        <f t="array" ref="D854">IFERROR([1]!CalculateHyphenString(C854),"")</f>
        <v/>
      </c>
      <c r="G854" s="26"/>
      <c r="H854" s="2"/>
      <c r="L854" s="21">
        <f t="shared" si="26"/>
        <v>0</v>
      </c>
      <c r="N854" s="21">
        <f t="shared" si="27"/>
        <v>0</v>
      </c>
      <c r="O854" s="2" cm="1">
        <f t="array" ref="O854:Q854">[1]!ConvertFeet(N854)</f>
        <v>0</v>
      </c>
      <c r="P854" s="2">
        <v>0</v>
      </c>
      <c r="Q854" s="2">
        <v>0</v>
      </c>
    </row>
    <row r="855" spans="1:17" x14ac:dyDescent="0.6">
      <c r="A855" s="34">
        <v>855</v>
      </c>
      <c r="D855" s="23" t="str" cm="1">
        <f t="array" ref="D855">IFERROR([1]!CalculateHyphenString(C855),"")</f>
        <v/>
      </c>
      <c r="G855" s="26"/>
      <c r="H855" s="2"/>
      <c r="L855" s="21">
        <f t="shared" si="26"/>
        <v>0</v>
      </c>
      <c r="N855" s="21">
        <f t="shared" si="27"/>
        <v>0</v>
      </c>
      <c r="O855" s="2" cm="1">
        <f t="array" ref="O855:Q855">[1]!ConvertFeet(N855)</f>
        <v>0</v>
      </c>
      <c r="P855" s="2">
        <v>0</v>
      </c>
      <c r="Q855" s="2">
        <v>0</v>
      </c>
    </row>
    <row r="856" spans="1:17" x14ac:dyDescent="0.6">
      <c r="A856" s="35">
        <v>856</v>
      </c>
      <c r="D856" s="23" t="str" cm="1">
        <f t="array" ref="D856">IFERROR([1]!CalculateHyphenString(C856),"")</f>
        <v/>
      </c>
      <c r="G856" s="26"/>
      <c r="H856" s="2"/>
      <c r="L856" s="21">
        <f t="shared" si="26"/>
        <v>0</v>
      </c>
      <c r="N856" s="21">
        <f t="shared" si="27"/>
        <v>0</v>
      </c>
      <c r="O856" s="2" cm="1">
        <f t="array" ref="O856:Q856">[1]!ConvertFeet(N856)</f>
        <v>0</v>
      </c>
      <c r="P856" s="2">
        <v>0</v>
      </c>
      <c r="Q856" s="2">
        <v>0</v>
      </c>
    </row>
    <row r="857" spans="1:17" x14ac:dyDescent="0.6">
      <c r="A857" s="34">
        <v>857</v>
      </c>
      <c r="D857" s="23" t="str" cm="1">
        <f t="array" ref="D857">IFERROR([1]!CalculateHyphenString(C857),"")</f>
        <v/>
      </c>
      <c r="G857" s="26"/>
      <c r="H857" s="2"/>
      <c r="L857" s="21">
        <f t="shared" si="26"/>
        <v>0</v>
      </c>
      <c r="N857" s="21">
        <f t="shared" si="27"/>
        <v>0</v>
      </c>
      <c r="O857" s="2" cm="1">
        <f t="array" ref="O857:Q857">[1]!ConvertFeet(N857)</f>
        <v>0</v>
      </c>
      <c r="P857" s="2">
        <v>0</v>
      </c>
      <c r="Q857" s="2">
        <v>0</v>
      </c>
    </row>
    <row r="858" spans="1:17" x14ac:dyDescent="0.6">
      <c r="A858" s="35">
        <v>858</v>
      </c>
      <c r="D858" s="23" t="str" cm="1">
        <f t="array" ref="D858">IFERROR([1]!CalculateHyphenString(C858),"")</f>
        <v/>
      </c>
      <c r="G858" s="26"/>
      <c r="H858" s="2"/>
      <c r="L858" s="21">
        <f t="shared" si="26"/>
        <v>0</v>
      </c>
      <c r="N858" s="21">
        <f t="shared" si="27"/>
        <v>0</v>
      </c>
      <c r="O858" s="2" cm="1">
        <f t="array" ref="O858:Q858">[1]!ConvertFeet(N858)</f>
        <v>0</v>
      </c>
      <c r="P858" s="2">
        <v>0</v>
      </c>
      <c r="Q858" s="2">
        <v>0</v>
      </c>
    </row>
    <row r="859" spans="1:17" x14ac:dyDescent="0.6">
      <c r="A859" s="34">
        <v>859</v>
      </c>
      <c r="D859" s="23" t="str" cm="1">
        <f t="array" ref="D859">IFERROR([1]!CalculateHyphenString(C859),"")</f>
        <v/>
      </c>
      <c r="G859" s="26"/>
      <c r="H859" s="2"/>
      <c r="L859" s="21">
        <f t="shared" si="26"/>
        <v>0</v>
      </c>
      <c r="N859" s="21">
        <f t="shared" si="27"/>
        <v>0</v>
      </c>
      <c r="O859" s="2" cm="1">
        <f t="array" ref="O859:Q859">[1]!ConvertFeet(N859)</f>
        <v>0</v>
      </c>
      <c r="P859" s="2">
        <v>0</v>
      </c>
      <c r="Q859" s="2">
        <v>0</v>
      </c>
    </row>
    <row r="860" spans="1:17" x14ac:dyDescent="0.6">
      <c r="A860" s="35">
        <v>860</v>
      </c>
      <c r="D860" s="23" t="str" cm="1">
        <f t="array" ref="D860">IFERROR([1]!CalculateHyphenString(C860),"")</f>
        <v/>
      </c>
      <c r="G860" s="26"/>
      <c r="H860" s="2"/>
      <c r="L860" s="21">
        <f t="shared" si="26"/>
        <v>0</v>
      </c>
      <c r="N860" s="21">
        <f t="shared" si="27"/>
        <v>0</v>
      </c>
      <c r="O860" s="2" cm="1">
        <f t="array" ref="O860:Q860">[1]!ConvertFeet(N860)</f>
        <v>0</v>
      </c>
      <c r="P860" s="2">
        <v>0</v>
      </c>
      <c r="Q860" s="2">
        <v>0</v>
      </c>
    </row>
    <row r="861" spans="1:17" x14ac:dyDescent="0.6">
      <c r="A861" s="34">
        <v>861</v>
      </c>
      <c r="D861" s="23" t="str" cm="1">
        <f t="array" ref="D861">IFERROR([1]!CalculateHyphenString(C861),"")</f>
        <v/>
      </c>
      <c r="G861" s="26"/>
      <c r="H861" s="2"/>
      <c r="L861" s="21">
        <f t="shared" si="26"/>
        <v>0</v>
      </c>
      <c r="N861" s="21">
        <f t="shared" si="27"/>
        <v>0</v>
      </c>
      <c r="O861" s="2" cm="1">
        <f t="array" ref="O861:Q861">[1]!ConvertFeet(N861)</f>
        <v>0</v>
      </c>
      <c r="P861" s="2">
        <v>0</v>
      </c>
      <c r="Q861" s="2">
        <v>0</v>
      </c>
    </row>
    <row r="862" spans="1:17" x14ac:dyDescent="0.6">
      <c r="A862" s="35">
        <v>862</v>
      </c>
      <c r="D862" s="23" t="str" cm="1">
        <f t="array" ref="D862">IFERROR([1]!CalculateHyphenString(C862),"")</f>
        <v/>
      </c>
      <c r="G862" s="26"/>
      <c r="H862" s="2"/>
      <c r="L862" s="21">
        <f t="shared" si="26"/>
        <v>0</v>
      </c>
      <c r="N862" s="21">
        <f t="shared" si="27"/>
        <v>0</v>
      </c>
      <c r="O862" s="2" cm="1">
        <f t="array" ref="O862:Q862">[1]!ConvertFeet(N862)</f>
        <v>0</v>
      </c>
      <c r="P862" s="2">
        <v>0</v>
      </c>
      <c r="Q862" s="2">
        <v>0</v>
      </c>
    </row>
    <row r="863" spans="1:17" x14ac:dyDescent="0.6">
      <c r="A863" s="34">
        <v>863</v>
      </c>
      <c r="D863" s="23" t="str" cm="1">
        <f t="array" ref="D863">IFERROR([1]!CalculateHyphenString(C863),"")</f>
        <v/>
      </c>
      <c r="G863" s="26"/>
      <c r="H863" s="2"/>
      <c r="L863" s="21">
        <f t="shared" si="26"/>
        <v>0</v>
      </c>
      <c r="N863" s="21">
        <f t="shared" si="27"/>
        <v>0</v>
      </c>
      <c r="O863" s="2" cm="1">
        <f t="array" ref="O863:Q863">[1]!ConvertFeet(N863)</f>
        <v>0</v>
      </c>
      <c r="P863" s="2">
        <v>0</v>
      </c>
      <c r="Q863" s="2">
        <v>0</v>
      </c>
    </row>
    <row r="864" spans="1:17" x14ac:dyDescent="0.6">
      <c r="A864" s="35">
        <v>864</v>
      </c>
      <c r="D864" s="23" t="str" cm="1">
        <f t="array" ref="D864">IFERROR([1]!CalculateHyphenString(C864),"")</f>
        <v/>
      </c>
      <c r="G864" s="26"/>
      <c r="H864" s="2"/>
      <c r="L864" s="21">
        <f t="shared" si="26"/>
        <v>0</v>
      </c>
      <c r="N864" s="21">
        <f t="shared" si="27"/>
        <v>0</v>
      </c>
      <c r="O864" s="2" cm="1">
        <f t="array" ref="O864:Q864">[1]!ConvertFeet(N864)</f>
        <v>0</v>
      </c>
      <c r="P864" s="2">
        <v>0</v>
      </c>
      <c r="Q864" s="2">
        <v>0</v>
      </c>
    </row>
    <row r="865" spans="1:17" x14ac:dyDescent="0.6">
      <c r="A865" s="34">
        <v>865</v>
      </c>
      <c r="D865" s="23" t="str" cm="1">
        <f t="array" ref="D865">IFERROR([1]!CalculateHyphenString(C865),"")</f>
        <v/>
      </c>
      <c r="G865" s="26"/>
      <c r="H865" s="2"/>
      <c r="L865" s="21">
        <f t="shared" si="26"/>
        <v>0</v>
      </c>
      <c r="N865" s="21">
        <f t="shared" si="27"/>
        <v>0</v>
      </c>
      <c r="O865" s="2" cm="1">
        <f t="array" ref="O865:Q865">[1]!ConvertFeet(N865)</f>
        <v>0</v>
      </c>
      <c r="P865" s="2">
        <v>0</v>
      </c>
      <c r="Q865" s="2">
        <v>0</v>
      </c>
    </row>
    <row r="866" spans="1:17" x14ac:dyDescent="0.6">
      <c r="A866" s="35">
        <v>866</v>
      </c>
      <c r="D866" s="23" t="str" cm="1">
        <f t="array" ref="D866">IFERROR([1]!CalculateHyphenString(C866),"")</f>
        <v/>
      </c>
      <c r="G866" s="26"/>
      <c r="H866" s="2"/>
      <c r="L866" s="21">
        <f t="shared" si="26"/>
        <v>0</v>
      </c>
      <c r="N866" s="21">
        <f t="shared" si="27"/>
        <v>0</v>
      </c>
      <c r="O866" s="2" cm="1">
        <f t="array" ref="O866:Q866">[1]!ConvertFeet(N866)</f>
        <v>0</v>
      </c>
      <c r="P866" s="2">
        <v>0</v>
      </c>
      <c r="Q866" s="2">
        <v>0</v>
      </c>
    </row>
    <row r="867" spans="1:17" x14ac:dyDescent="0.6">
      <c r="A867" s="34">
        <v>867</v>
      </c>
      <c r="D867" s="23" t="str" cm="1">
        <f t="array" ref="D867">IFERROR([1]!CalculateHyphenString(C867),"")</f>
        <v/>
      </c>
      <c r="G867" s="26"/>
      <c r="H867" s="2"/>
      <c r="L867" s="21">
        <f t="shared" si="26"/>
        <v>0</v>
      </c>
      <c r="N867" s="21">
        <f t="shared" si="27"/>
        <v>0</v>
      </c>
      <c r="O867" s="2" cm="1">
        <f t="array" ref="O867:Q867">[1]!ConvertFeet(N867)</f>
        <v>0</v>
      </c>
      <c r="P867" s="2">
        <v>0</v>
      </c>
      <c r="Q867" s="2">
        <v>0</v>
      </c>
    </row>
    <row r="868" spans="1:17" x14ac:dyDescent="0.6">
      <c r="A868" s="35">
        <v>868</v>
      </c>
      <c r="D868" s="23" t="str" cm="1">
        <f t="array" ref="D868">IFERROR([1]!CalculateHyphenString(C868),"")</f>
        <v/>
      </c>
      <c r="G868" s="26"/>
      <c r="H868" s="2"/>
      <c r="L868" s="21">
        <f t="shared" si="26"/>
        <v>0</v>
      </c>
      <c r="N868" s="21">
        <f t="shared" si="27"/>
        <v>0</v>
      </c>
      <c r="O868" s="2" cm="1">
        <f t="array" ref="O868:Q868">[1]!ConvertFeet(N868)</f>
        <v>0</v>
      </c>
      <c r="P868" s="2">
        <v>0</v>
      </c>
      <c r="Q868" s="2">
        <v>0</v>
      </c>
    </row>
    <row r="869" spans="1:17" x14ac:dyDescent="0.6">
      <c r="A869" s="34">
        <v>869</v>
      </c>
      <c r="D869" s="23" t="str" cm="1">
        <f t="array" ref="D869">IFERROR([1]!CalculateHyphenString(C869),"")</f>
        <v/>
      </c>
      <c r="G869" s="26"/>
      <c r="H869" s="2"/>
      <c r="L869" s="21">
        <f t="shared" si="26"/>
        <v>0</v>
      </c>
      <c r="N869" s="21">
        <f t="shared" si="27"/>
        <v>0</v>
      </c>
      <c r="O869" s="2" cm="1">
        <f t="array" ref="O869:Q869">[1]!ConvertFeet(N869)</f>
        <v>0</v>
      </c>
      <c r="P869" s="2">
        <v>0</v>
      </c>
      <c r="Q869" s="2">
        <v>0</v>
      </c>
    </row>
    <row r="870" spans="1:17" x14ac:dyDescent="0.6">
      <c r="A870" s="35">
        <v>870</v>
      </c>
      <c r="D870" s="23" t="str" cm="1">
        <f t="array" ref="D870">IFERROR([1]!CalculateHyphenString(C870),"")</f>
        <v/>
      </c>
      <c r="G870" s="26"/>
      <c r="H870" s="2"/>
      <c r="L870" s="21">
        <f t="shared" si="26"/>
        <v>0</v>
      </c>
      <c r="N870" s="21">
        <f t="shared" si="27"/>
        <v>0</v>
      </c>
      <c r="O870" s="2" cm="1">
        <f t="array" ref="O870:Q870">[1]!ConvertFeet(N870)</f>
        <v>0</v>
      </c>
      <c r="P870" s="2">
        <v>0</v>
      </c>
      <c r="Q870" s="2">
        <v>0</v>
      </c>
    </row>
    <row r="871" spans="1:17" x14ac:dyDescent="0.6">
      <c r="A871" s="34">
        <v>871</v>
      </c>
      <c r="D871" s="23" t="str" cm="1">
        <f t="array" ref="D871">IFERROR([1]!CalculateHyphenString(C871),"")</f>
        <v/>
      </c>
      <c r="G871" s="26"/>
      <c r="H871" s="2"/>
      <c r="L871" s="21">
        <f t="shared" si="26"/>
        <v>0</v>
      </c>
      <c r="N871" s="21">
        <f t="shared" si="27"/>
        <v>0</v>
      </c>
      <c r="O871" s="2" cm="1">
        <f t="array" ref="O871:Q871">[1]!ConvertFeet(N871)</f>
        <v>0</v>
      </c>
      <c r="P871" s="2">
        <v>0</v>
      </c>
      <c r="Q871" s="2">
        <v>0</v>
      </c>
    </row>
    <row r="872" spans="1:17" x14ac:dyDescent="0.6">
      <c r="A872" s="35">
        <v>872</v>
      </c>
      <c r="D872" s="23" t="str" cm="1">
        <f t="array" ref="D872">IFERROR([1]!CalculateHyphenString(C872),"")</f>
        <v/>
      </c>
      <c r="G872" s="26"/>
      <c r="H872" s="2"/>
      <c r="L872" s="21">
        <f t="shared" si="26"/>
        <v>0</v>
      </c>
      <c r="N872" s="21">
        <f t="shared" si="27"/>
        <v>0</v>
      </c>
      <c r="O872" s="2" cm="1">
        <f t="array" ref="O872:Q872">[1]!ConvertFeet(N872)</f>
        <v>0</v>
      </c>
      <c r="P872" s="2">
        <v>0</v>
      </c>
      <c r="Q872" s="2">
        <v>0</v>
      </c>
    </row>
    <row r="873" spans="1:17" x14ac:dyDescent="0.6">
      <c r="A873" s="34">
        <v>873</v>
      </c>
      <c r="D873" s="23" t="str" cm="1">
        <f t="array" ref="D873">IFERROR([1]!CalculateHyphenString(C873),"")</f>
        <v/>
      </c>
      <c r="G873" s="26"/>
      <c r="H873" s="2"/>
      <c r="L873" s="21">
        <f t="shared" si="26"/>
        <v>0</v>
      </c>
      <c r="N873" s="21">
        <f t="shared" si="27"/>
        <v>0</v>
      </c>
      <c r="O873" s="2" cm="1">
        <f t="array" ref="O873:Q873">[1]!ConvertFeet(N873)</f>
        <v>0</v>
      </c>
      <c r="P873" s="2">
        <v>0</v>
      </c>
      <c r="Q873" s="2">
        <v>0</v>
      </c>
    </row>
    <row r="874" spans="1:17" x14ac:dyDescent="0.6">
      <c r="A874" s="35">
        <v>874</v>
      </c>
      <c r="D874" s="23" t="str" cm="1">
        <f t="array" ref="D874">IFERROR([1]!CalculateHyphenString(C874),"")</f>
        <v/>
      </c>
      <c r="G874" s="26"/>
      <c r="H874" s="2"/>
      <c r="L874" s="21">
        <f t="shared" si="26"/>
        <v>0</v>
      </c>
      <c r="N874" s="21">
        <f t="shared" si="27"/>
        <v>0</v>
      </c>
      <c r="O874" s="2" cm="1">
        <f t="array" ref="O874:Q874">[1]!ConvertFeet(N874)</f>
        <v>0</v>
      </c>
      <c r="P874" s="2">
        <v>0</v>
      </c>
      <c r="Q874" s="2">
        <v>0</v>
      </c>
    </row>
    <row r="875" spans="1:17" x14ac:dyDescent="0.6">
      <c r="A875" s="34">
        <v>875</v>
      </c>
      <c r="D875" s="23" t="str" cm="1">
        <f t="array" ref="D875">IFERROR([1]!CalculateHyphenString(C875),"")</f>
        <v/>
      </c>
      <c r="G875" s="26"/>
      <c r="H875" s="2"/>
      <c r="L875" s="21">
        <f t="shared" si="26"/>
        <v>0</v>
      </c>
      <c r="N875" s="21">
        <f t="shared" si="27"/>
        <v>0</v>
      </c>
      <c r="O875" s="2" cm="1">
        <f t="array" ref="O875:Q875">[1]!ConvertFeet(N875)</f>
        <v>0</v>
      </c>
      <c r="P875" s="2">
        <v>0</v>
      </c>
      <c r="Q875" s="2">
        <v>0</v>
      </c>
    </row>
    <row r="876" spans="1:17" x14ac:dyDescent="0.6">
      <c r="A876" s="35">
        <v>876</v>
      </c>
      <c r="D876" s="23" t="str" cm="1">
        <f t="array" ref="D876">IFERROR([1]!CalculateHyphenString(C876),"")</f>
        <v/>
      </c>
      <c r="G876" s="26"/>
      <c r="H876" s="2"/>
      <c r="L876" s="21">
        <f t="shared" si="26"/>
        <v>0</v>
      </c>
      <c r="N876" s="21">
        <f t="shared" si="27"/>
        <v>0</v>
      </c>
      <c r="O876" s="2" cm="1">
        <f t="array" ref="O876:Q876">[1]!ConvertFeet(N876)</f>
        <v>0</v>
      </c>
      <c r="P876" s="2">
        <v>0</v>
      </c>
      <c r="Q876" s="2">
        <v>0</v>
      </c>
    </row>
    <row r="877" spans="1:17" x14ac:dyDescent="0.6">
      <c r="A877" s="34">
        <v>877</v>
      </c>
      <c r="D877" s="23" t="str" cm="1">
        <f t="array" ref="D877">IFERROR([1]!CalculateHyphenString(C877),"")</f>
        <v/>
      </c>
      <c r="G877" s="26"/>
      <c r="H877" s="2"/>
      <c r="L877" s="21">
        <f t="shared" si="26"/>
        <v>0</v>
      </c>
      <c r="N877" s="21">
        <f t="shared" si="27"/>
        <v>0</v>
      </c>
      <c r="O877" s="2" cm="1">
        <f t="array" ref="O877:Q877">[1]!ConvertFeet(N877)</f>
        <v>0</v>
      </c>
      <c r="P877" s="2">
        <v>0</v>
      </c>
      <c r="Q877" s="2">
        <v>0</v>
      </c>
    </row>
    <row r="878" spans="1:17" x14ac:dyDescent="0.6">
      <c r="A878" s="35">
        <v>878</v>
      </c>
      <c r="D878" s="23" t="str" cm="1">
        <f t="array" ref="D878">IFERROR([1]!CalculateHyphenString(C878),"")</f>
        <v/>
      </c>
      <c r="G878" s="26"/>
      <c r="H878" s="2"/>
      <c r="L878" s="21">
        <f t="shared" si="26"/>
        <v>0</v>
      </c>
      <c r="N878" s="21">
        <f t="shared" si="27"/>
        <v>0</v>
      </c>
      <c r="O878" s="2" cm="1">
        <f t="array" ref="O878:Q878">[1]!ConvertFeet(N878)</f>
        <v>0</v>
      </c>
      <c r="P878" s="2">
        <v>0</v>
      </c>
      <c r="Q878" s="2">
        <v>0</v>
      </c>
    </row>
    <row r="879" spans="1:17" x14ac:dyDescent="0.6">
      <c r="A879" s="34">
        <v>879</v>
      </c>
      <c r="D879" s="23" t="str" cm="1">
        <f t="array" ref="D879">IFERROR([1]!CalculateHyphenString(C879),"")</f>
        <v/>
      </c>
      <c r="G879" s="26"/>
      <c r="H879" s="2"/>
      <c r="L879" s="21">
        <f t="shared" si="26"/>
        <v>0</v>
      </c>
      <c r="N879" s="21">
        <f t="shared" si="27"/>
        <v>0</v>
      </c>
      <c r="O879" s="2" cm="1">
        <f t="array" ref="O879:Q879">[1]!ConvertFeet(N879)</f>
        <v>0</v>
      </c>
      <c r="P879" s="2">
        <v>0</v>
      </c>
      <c r="Q879" s="2">
        <v>0</v>
      </c>
    </row>
    <row r="880" spans="1:17" x14ac:dyDescent="0.6">
      <c r="A880" s="35">
        <v>880</v>
      </c>
      <c r="D880" s="23" t="str" cm="1">
        <f t="array" ref="D880">IFERROR([1]!CalculateHyphenString(C880),"")</f>
        <v/>
      </c>
      <c r="G880" s="26"/>
      <c r="H880" s="2"/>
      <c r="L880" s="21">
        <f t="shared" si="26"/>
        <v>0</v>
      </c>
      <c r="N880" s="21">
        <f t="shared" si="27"/>
        <v>0</v>
      </c>
      <c r="O880" s="2" cm="1">
        <f t="array" ref="O880:Q880">[1]!ConvertFeet(N880)</f>
        <v>0</v>
      </c>
      <c r="P880" s="2">
        <v>0</v>
      </c>
      <c r="Q880" s="2">
        <v>0</v>
      </c>
    </row>
    <row r="881" spans="1:17" x14ac:dyDescent="0.6">
      <c r="A881" s="34">
        <v>881</v>
      </c>
      <c r="D881" s="23" t="str" cm="1">
        <f t="array" ref="D881">IFERROR([1]!CalculateHyphenString(C881),"")</f>
        <v/>
      </c>
      <c r="G881" s="26"/>
      <c r="H881" s="2"/>
      <c r="L881" s="21">
        <f t="shared" si="26"/>
        <v>0</v>
      </c>
      <c r="N881" s="21">
        <f t="shared" si="27"/>
        <v>0</v>
      </c>
      <c r="O881" s="2" cm="1">
        <f t="array" ref="O881:Q881">[1]!ConvertFeet(N881)</f>
        <v>0</v>
      </c>
      <c r="P881" s="2">
        <v>0</v>
      </c>
      <c r="Q881" s="2">
        <v>0</v>
      </c>
    </row>
    <row r="882" spans="1:17" x14ac:dyDescent="0.6">
      <c r="A882" s="35">
        <v>882</v>
      </c>
      <c r="D882" s="23" t="str" cm="1">
        <f t="array" ref="D882">IFERROR([1]!CalculateHyphenString(C882),"")</f>
        <v/>
      </c>
      <c r="G882" s="26"/>
      <c r="H882" s="2"/>
      <c r="L882" s="21">
        <f t="shared" si="26"/>
        <v>0</v>
      </c>
      <c r="N882" s="21">
        <f t="shared" si="27"/>
        <v>0</v>
      </c>
      <c r="O882" s="2" cm="1">
        <f t="array" ref="O882:Q882">[1]!ConvertFeet(N882)</f>
        <v>0</v>
      </c>
      <c r="P882" s="2">
        <v>0</v>
      </c>
      <c r="Q882" s="2">
        <v>0</v>
      </c>
    </row>
    <row r="883" spans="1:17" x14ac:dyDescent="0.6">
      <c r="A883" s="34">
        <v>883</v>
      </c>
      <c r="D883" s="23" t="str" cm="1">
        <f t="array" ref="D883">IFERROR([1]!CalculateHyphenString(C883),"")</f>
        <v/>
      </c>
      <c r="G883" s="26"/>
      <c r="H883" s="2"/>
      <c r="L883" s="21">
        <f t="shared" si="26"/>
        <v>0</v>
      </c>
      <c r="N883" s="21">
        <f t="shared" si="27"/>
        <v>0</v>
      </c>
      <c r="O883" s="2" cm="1">
        <f t="array" ref="O883:Q883">[1]!ConvertFeet(N883)</f>
        <v>0</v>
      </c>
      <c r="P883" s="2">
        <v>0</v>
      </c>
      <c r="Q883" s="2">
        <v>0</v>
      </c>
    </row>
    <row r="884" spans="1:17" x14ac:dyDescent="0.6">
      <c r="A884" s="35">
        <v>884</v>
      </c>
      <c r="D884" s="23" t="str" cm="1">
        <f t="array" ref="D884">IFERROR([1]!CalculateHyphenString(C884),"")</f>
        <v/>
      </c>
      <c r="G884" s="26"/>
      <c r="H884" s="2"/>
      <c r="L884" s="21">
        <f t="shared" si="26"/>
        <v>0</v>
      </c>
      <c r="N884" s="21">
        <f t="shared" si="27"/>
        <v>0</v>
      </c>
      <c r="O884" s="2" cm="1">
        <f t="array" ref="O884:Q884">[1]!ConvertFeet(N884)</f>
        <v>0</v>
      </c>
      <c r="P884" s="2">
        <v>0</v>
      </c>
      <c r="Q884" s="2">
        <v>0</v>
      </c>
    </row>
    <row r="885" spans="1:17" x14ac:dyDescent="0.6">
      <c r="A885" s="34">
        <v>885</v>
      </c>
      <c r="D885" s="23" t="str" cm="1">
        <f t="array" ref="D885">IFERROR([1]!CalculateHyphenString(C885),"")</f>
        <v/>
      </c>
      <c r="G885" s="26"/>
      <c r="H885" s="2"/>
      <c r="L885" s="21">
        <f t="shared" si="26"/>
        <v>0</v>
      </c>
      <c r="N885" s="21">
        <f t="shared" si="27"/>
        <v>0</v>
      </c>
      <c r="O885" s="2" cm="1">
        <f t="array" ref="O885:Q885">[1]!ConvertFeet(N885)</f>
        <v>0</v>
      </c>
      <c r="P885" s="2">
        <v>0</v>
      </c>
      <c r="Q885" s="2">
        <v>0</v>
      </c>
    </row>
    <row r="886" spans="1:17" x14ac:dyDescent="0.6">
      <c r="A886" s="35">
        <v>886</v>
      </c>
      <c r="D886" s="23" t="str" cm="1">
        <f t="array" ref="D886">IFERROR([1]!CalculateHyphenString(C886),"")</f>
        <v/>
      </c>
      <c r="G886" s="26"/>
      <c r="H886" s="2"/>
      <c r="L886" s="21">
        <f t="shared" si="26"/>
        <v>0</v>
      </c>
      <c r="N886" s="21">
        <f t="shared" si="27"/>
        <v>0</v>
      </c>
      <c r="O886" s="2" cm="1">
        <f t="array" ref="O886:Q886">[1]!ConvertFeet(N886)</f>
        <v>0</v>
      </c>
      <c r="P886" s="2">
        <v>0</v>
      </c>
      <c r="Q886" s="2">
        <v>0</v>
      </c>
    </row>
    <row r="887" spans="1:17" x14ac:dyDescent="0.6">
      <c r="A887" s="34">
        <v>887</v>
      </c>
      <c r="D887" s="23" t="str" cm="1">
        <f t="array" ref="D887">IFERROR([1]!CalculateHyphenString(C887),"")</f>
        <v/>
      </c>
      <c r="G887" s="26"/>
      <c r="H887" s="2"/>
      <c r="L887" s="21">
        <f t="shared" si="26"/>
        <v>0</v>
      </c>
      <c r="N887" s="21">
        <f t="shared" si="27"/>
        <v>0</v>
      </c>
      <c r="O887" s="2" cm="1">
        <f t="array" ref="O887:Q887">[1]!ConvertFeet(N887)</f>
        <v>0</v>
      </c>
      <c r="P887" s="2">
        <v>0</v>
      </c>
      <c r="Q887" s="2">
        <v>0</v>
      </c>
    </row>
    <row r="888" spans="1:17" x14ac:dyDescent="0.6">
      <c r="A888" s="35">
        <v>888</v>
      </c>
      <c r="D888" s="23" t="str" cm="1">
        <f t="array" ref="D888">IFERROR([1]!CalculateHyphenString(C888),"")</f>
        <v/>
      </c>
      <c r="G888" s="26"/>
      <c r="H888" s="2"/>
      <c r="L888" s="21">
        <f t="shared" si="26"/>
        <v>0</v>
      </c>
      <c r="N888" s="21">
        <f t="shared" si="27"/>
        <v>0</v>
      </c>
      <c r="O888" s="2" cm="1">
        <f t="array" ref="O888:Q888">[1]!ConvertFeet(N888)</f>
        <v>0</v>
      </c>
      <c r="P888" s="2">
        <v>0</v>
      </c>
      <c r="Q888" s="2">
        <v>0</v>
      </c>
    </row>
    <row r="889" spans="1:17" x14ac:dyDescent="0.6">
      <c r="A889" s="34">
        <v>889</v>
      </c>
      <c r="D889" s="23" t="str" cm="1">
        <f t="array" ref="D889">IFERROR([1]!CalculateHyphenString(C889),"")</f>
        <v/>
      </c>
      <c r="G889" s="26"/>
      <c r="H889" s="2"/>
      <c r="L889" s="21">
        <f t="shared" si="26"/>
        <v>0</v>
      </c>
      <c r="N889" s="21">
        <f t="shared" si="27"/>
        <v>0</v>
      </c>
      <c r="O889" s="2" cm="1">
        <f t="array" ref="O889:Q889">[1]!ConvertFeet(N889)</f>
        <v>0</v>
      </c>
      <c r="P889" s="2">
        <v>0</v>
      </c>
      <c r="Q889" s="2">
        <v>0</v>
      </c>
    </row>
    <row r="890" spans="1:17" x14ac:dyDescent="0.6">
      <c r="A890" s="35">
        <v>890</v>
      </c>
      <c r="D890" s="23" t="str" cm="1">
        <f t="array" ref="D890">IFERROR([1]!CalculateHyphenString(C890),"")</f>
        <v/>
      </c>
      <c r="G890" s="26"/>
      <c r="H890" s="2"/>
      <c r="L890" s="21">
        <f t="shared" si="26"/>
        <v>0</v>
      </c>
      <c r="N890" s="21">
        <f t="shared" si="27"/>
        <v>0</v>
      </c>
      <c r="O890" s="2" cm="1">
        <f t="array" ref="O890:Q890">[1]!ConvertFeet(N890)</f>
        <v>0</v>
      </c>
      <c r="P890" s="2">
        <v>0</v>
      </c>
      <c r="Q890" s="2">
        <v>0</v>
      </c>
    </row>
    <row r="891" spans="1:17" x14ac:dyDescent="0.6">
      <c r="A891" s="34">
        <v>891</v>
      </c>
      <c r="D891" s="23" t="str" cm="1">
        <f t="array" ref="D891">IFERROR([1]!CalculateHyphenString(C891),"")</f>
        <v/>
      </c>
      <c r="G891" s="26"/>
      <c r="H891" s="2"/>
      <c r="L891" s="21">
        <f t="shared" si="26"/>
        <v>0</v>
      </c>
      <c r="N891" s="21">
        <f t="shared" si="27"/>
        <v>0</v>
      </c>
      <c r="O891" s="2" cm="1">
        <f t="array" ref="O891:Q891">[1]!ConvertFeet(N891)</f>
        <v>0</v>
      </c>
      <c r="P891" s="2">
        <v>0</v>
      </c>
      <c r="Q891" s="2">
        <v>0</v>
      </c>
    </row>
    <row r="892" spans="1:17" x14ac:dyDescent="0.6">
      <c r="A892" s="35">
        <v>892</v>
      </c>
      <c r="D892" s="23" t="str" cm="1">
        <f t="array" ref="D892">IFERROR([1]!CalculateHyphenString(C892),"")</f>
        <v/>
      </c>
      <c r="G892" s="26"/>
      <c r="H892" s="2"/>
      <c r="L892" s="21">
        <f t="shared" si="26"/>
        <v>0</v>
      </c>
      <c r="N892" s="21">
        <f t="shared" si="27"/>
        <v>0</v>
      </c>
      <c r="O892" s="2" cm="1">
        <f t="array" ref="O892:Q892">[1]!ConvertFeet(N892)</f>
        <v>0</v>
      </c>
      <c r="P892" s="2">
        <v>0</v>
      </c>
      <c r="Q892" s="2">
        <v>0</v>
      </c>
    </row>
    <row r="893" spans="1:17" x14ac:dyDescent="0.6">
      <c r="A893" s="34">
        <v>893</v>
      </c>
      <c r="D893" s="23" t="str" cm="1">
        <f t="array" ref="D893">IFERROR([1]!CalculateHyphenString(C893),"")</f>
        <v/>
      </c>
      <c r="G893" s="26"/>
      <c r="H893" s="2"/>
      <c r="L893" s="21">
        <f t="shared" si="26"/>
        <v>0</v>
      </c>
      <c r="N893" s="21">
        <f t="shared" si="27"/>
        <v>0</v>
      </c>
      <c r="O893" s="2" cm="1">
        <f t="array" ref="O893:Q893">[1]!ConvertFeet(N893)</f>
        <v>0</v>
      </c>
      <c r="P893" s="2">
        <v>0</v>
      </c>
      <c r="Q893" s="2">
        <v>0</v>
      </c>
    </row>
    <row r="894" spans="1:17" x14ac:dyDescent="0.6">
      <c r="A894" s="35">
        <v>894</v>
      </c>
      <c r="D894" s="23" t="str" cm="1">
        <f t="array" ref="D894">IFERROR([1]!CalculateHyphenString(C894),"")</f>
        <v/>
      </c>
      <c r="G894" s="26"/>
      <c r="H894" s="2"/>
      <c r="L894" s="21">
        <f t="shared" si="26"/>
        <v>0</v>
      </c>
      <c r="N894" s="21">
        <f t="shared" si="27"/>
        <v>0</v>
      </c>
      <c r="O894" s="2" cm="1">
        <f t="array" ref="O894:Q894">[1]!ConvertFeet(N894)</f>
        <v>0</v>
      </c>
      <c r="P894" s="2">
        <v>0</v>
      </c>
      <c r="Q894" s="2">
        <v>0</v>
      </c>
    </row>
    <row r="895" spans="1:17" x14ac:dyDescent="0.6">
      <c r="A895" s="34">
        <v>895</v>
      </c>
      <c r="D895" s="23" t="str" cm="1">
        <f t="array" ref="D895">IFERROR([1]!CalculateHyphenString(C895),"")</f>
        <v/>
      </c>
      <c r="G895" s="26"/>
      <c r="H895" s="2"/>
      <c r="L895" s="21">
        <f t="shared" si="26"/>
        <v>0</v>
      </c>
      <c r="N895" s="21">
        <f t="shared" si="27"/>
        <v>0</v>
      </c>
      <c r="O895" s="2" cm="1">
        <f t="array" ref="O895:Q895">[1]!ConvertFeet(N895)</f>
        <v>0</v>
      </c>
      <c r="P895" s="2">
        <v>0</v>
      </c>
      <c r="Q895" s="2">
        <v>0</v>
      </c>
    </row>
    <row r="896" spans="1:17" x14ac:dyDescent="0.6">
      <c r="A896" s="35">
        <v>896</v>
      </c>
      <c r="D896" s="23" t="str" cm="1">
        <f t="array" ref="D896">IFERROR([1]!CalculateHyphenString(C896),"")</f>
        <v/>
      </c>
      <c r="G896" s="26"/>
      <c r="H896" s="2"/>
      <c r="L896" s="21">
        <f t="shared" si="26"/>
        <v>0</v>
      </c>
      <c r="N896" s="21">
        <f t="shared" si="27"/>
        <v>0</v>
      </c>
      <c r="O896" s="2" cm="1">
        <f t="array" ref="O896:Q896">[1]!ConvertFeet(N896)</f>
        <v>0</v>
      </c>
      <c r="P896" s="2">
        <v>0</v>
      </c>
      <c r="Q896" s="2">
        <v>0</v>
      </c>
    </row>
    <row r="897" spans="1:17" x14ac:dyDescent="0.6">
      <c r="A897" s="34">
        <v>897</v>
      </c>
      <c r="D897" s="23" t="str" cm="1">
        <f t="array" ref="D897">IFERROR([1]!CalculateHyphenString(C897),"")</f>
        <v/>
      </c>
      <c r="G897" s="26"/>
      <c r="H897" s="2"/>
      <c r="L897" s="21">
        <f t="shared" si="26"/>
        <v>0</v>
      </c>
      <c r="N897" s="21">
        <f t="shared" si="27"/>
        <v>0</v>
      </c>
      <c r="O897" s="2" cm="1">
        <f t="array" ref="O897:Q897">[1]!ConvertFeet(N897)</f>
        <v>0</v>
      </c>
      <c r="P897" s="2">
        <v>0</v>
      </c>
      <c r="Q897" s="2">
        <v>0</v>
      </c>
    </row>
    <row r="898" spans="1:17" x14ac:dyDescent="0.6">
      <c r="A898" s="35">
        <v>898</v>
      </c>
      <c r="D898" s="23" t="str" cm="1">
        <f t="array" ref="D898">IFERROR([1]!CalculateHyphenString(C898),"")</f>
        <v/>
      </c>
      <c r="G898" s="26"/>
      <c r="H898" s="2"/>
      <c r="L898" s="21">
        <f t="shared" si="26"/>
        <v>0</v>
      </c>
      <c r="N898" s="21">
        <f t="shared" si="27"/>
        <v>0</v>
      </c>
      <c r="O898" s="2" cm="1">
        <f t="array" ref="O898:Q898">[1]!ConvertFeet(N898)</f>
        <v>0</v>
      </c>
      <c r="P898" s="2">
        <v>0</v>
      </c>
      <c r="Q898" s="2">
        <v>0</v>
      </c>
    </row>
    <row r="899" spans="1:17" x14ac:dyDescent="0.6">
      <c r="A899" s="34">
        <v>899</v>
      </c>
      <c r="D899" s="23" t="str" cm="1">
        <f t="array" ref="D899">IFERROR([1]!CalculateHyphenString(C899),"")</f>
        <v/>
      </c>
      <c r="G899" s="26"/>
      <c r="H899" s="2"/>
      <c r="L899" s="21">
        <f t="shared" si="26"/>
        <v>0</v>
      </c>
      <c r="N899" s="21">
        <f t="shared" si="27"/>
        <v>0</v>
      </c>
      <c r="O899" s="2" cm="1">
        <f t="array" ref="O899:Q899">[1]!ConvertFeet(N899)</f>
        <v>0</v>
      </c>
      <c r="P899" s="2">
        <v>0</v>
      </c>
      <c r="Q899" s="2">
        <v>0</v>
      </c>
    </row>
    <row r="900" spans="1:17" x14ac:dyDescent="0.6">
      <c r="A900" s="35">
        <v>900</v>
      </c>
      <c r="D900" s="23" t="str" cm="1">
        <f t="array" ref="D900">IFERROR([1]!CalculateHyphenString(C900),"")</f>
        <v/>
      </c>
      <c r="G900" s="26"/>
      <c r="H900" s="2"/>
      <c r="L900" s="21">
        <f t="shared" si="26"/>
        <v>0</v>
      </c>
      <c r="N900" s="21">
        <f t="shared" si="27"/>
        <v>0</v>
      </c>
      <c r="O900" s="2" cm="1">
        <f t="array" ref="O900:Q900">[1]!ConvertFeet(N900)</f>
        <v>0</v>
      </c>
      <c r="P900" s="2">
        <v>0</v>
      </c>
      <c r="Q900" s="2">
        <v>0</v>
      </c>
    </row>
    <row r="901" spans="1:17" x14ac:dyDescent="0.6">
      <c r="A901" s="34">
        <v>901</v>
      </c>
      <c r="D901" s="23" t="str" cm="1">
        <f t="array" ref="D901">IFERROR([1]!CalculateHyphenString(C901),"")</f>
        <v/>
      </c>
      <c r="G901" s="26"/>
      <c r="H901" s="2"/>
      <c r="L901" s="21">
        <f t="shared" si="26"/>
        <v>0</v>
      </c>
      <c r="N901" s="21">
        <f t="shared" si="27"/>
        <v>0</v>
      </c>
      <c r="O901" s="2" cm="1">
        <f t="array" ref="O901:Q901">[1]!ConvertFeet(N901)</f>
        <v>0</v>
      </c>
      <c r="P901" s="2">
        <v>0</v>
      </c>
      <c r="Q901" s="2">
        <v>0</v>
      </c>
    </row>
    <row r="902" spans="1:17" x14ac:dyDescent="0.6">
      <c r="A902" s="35">
        <v>902</v>
      </c>
      <c r="D902" s="23" t="str" cm="1">
        <f t="array" ref="D902">IFERROR([1]!CalculateHyphenString(C902),"")</f>
        <v/>
      </c>
      <c r="G902" s="26"/>
      <c r="H902" s="2"/>
      <c r="L902" s="21">
        <f t="shared" si="26"/>
        <v>0</v>
      </c>
      <c r="N902" s="21">
        <f t="shared" si="27"/>
        <v>0</v>
      </c>
      <c r="O902" s="2" cm="1">
        <f t="array" ref="O902:Q902">[1]!ConvertFeet(N902)</f>
        <v>0</v>
      </c>
      <c r="P902" s="2">
        <v>0</v>
      </c>
      <c r="Q902" s="2">
        <v>0</v>
      </c>
    </row>
    <row r="903" spans="1:17" x14ac:dyDescent="0.6">
      <c r="A903" s="34">
        <v>903</v>
      </c>
      <c r="D903" s="23" t="str" cm="1">
        <f t="array" ref="D903">IFERROR([1]!CalculateHyphenString(C903),"")</f>
        <v/>
      </c>
      <c r="G903" s="26"/>
      <c r="H903" s="2"/>
      <c r="L903" s="21">
        <f t="shared" ref="L903:L966" si="28">(K903*$G$3)/100</f>
        <v>0</v>
      </c>
      <c r="N903" s="21">
        <f t="shared" ref="N903:N966" si="29">K903-(L903+M903)</f>
        <v>0</v>
      </c>
      <c r="O903" s="2" cm="1">
        <f t="array" ref="O903:Q903">[1]!ConvertFeet(N903)</f>
        <v>0</v>
      </c>
      <c r="P903" s="2">
        <v>0</v>
      </c>
      <c r="Q903" s="2">
        <v>0</v>
      </c>
    </row>
    <row r="904" spans="1:17" x14ac:dyDescent="0.6">
      <c r="A904" s="35">
        <v>904</v>
      </c>
      <c r="D904" s="23" t="str" cm="1">
        <f t="array" ref="D904">IFERROR([1]!CalculateHyphenString(C904),"")</f>
        <v/>
      </c>
      <c r="G904" s="26"/>
      <c r="H904" s="2"/>
      <c r="L904" s="21">
        <f t="shared" si="28"/>
        <v>0</v>
      </c>
      <c r="N904" s="21">
        <f t="shared" si="29"/>
        <v>0</v>
      </c>
      <c r="O904" s="2" cm="1">
        <f t="array" ref="O904:Q904">[1]!ConvertFeet(N904)</f>
        <v>0</v>
      </c>
      <c r="P904" s="2">
        <v>0</v>
      </c>
      <c r="Q904" s="2">
        <v>0</v>
      </c>
    </row>
    <row r="905" spans="1:17" x14ac:dyDescent="0.6">
      <c r="A905" s="34">
        <v>905</v>
      </c>
      <c r="D905" s="23" t="str" cm="1">
        <f t="array" ref="D905">IFERROR([1]!CalculateHyphenString(C905),"")</f>
        <v/>
      </c>
      <c r="G905" s="26"/>
      <c r="H905" s="2"/>
      <c r="L905" s="21">
        <f t="shared" si="28"/>
        <v>0</v>
      </c>
      <c r="N905" s="21">
        <f t="shared" si="29"/>
        <v>0</v>
      </c>
      <c r="O905" s="2" cm="1">
        <f t="array" ref="O905:Q905">[1]!ConvertFeet(N905)</f>
        <v>0</v>
      </c>
      <c r="P905" s="2">
        <v>0</v>
      </c>
      <c r="Q905" s="2">
        <v>0</v>
      </c>
    </row>
    <row r="906" spans="1:17" x14ac:dyDescent="0.6">
      <c r="A906" s="35">
        <v>906</v>
      </c>
      <c r="D906" s="23" t="str" cm="1">
        <f t="array" ref="D906">IFERROR([1]!CalculateHyphenString(C906),"")</f>
        <v/>
      </c>
      <c r="G906" s="26"/>
      <c r="H906" s="2"/>
      <c r="L906" s="21">
        <f t="shared" si="28"/>
        <v>0</v>
      </c>
      <c r="N906" s="21">
        <f t="shared" si="29"/>
        <v>0</v>
      </c>
      <c r="O906" s="2" cm="1">
        <f t="array" ref="O906:Q906">[1]!ConvertFeet(N906)</f>
        <v>0</v>
      </c>
      <c r="P906" s="2">
        <v>0</v>
      </c>
      <c r="Q906" s="2">
        <v>0</v>
      </c>
    </row>
    <row r="907" spans="1:17" x14ac:dyDescent="0.6">
      <c r="A907" s="34">
        <v>907</v>
      </c>
      <c r="D907" s="23" t="str" cm="1">
        <f t="array" ref="D907">IFERROR([1]!CalculateHyphenString(C907),"")</f>
        <v/>
      </c>
      <c r="G907" s="26"/>
      <c r="H907" s="2"/>
      <c r="L907" s="21">
        <f t="shared" si="28"/>
        <v>0</v>
      </c>
      <c r="N907" s="21">
        <f t="shared" si="29"/>
        <v>0</v>
      </c>
      <c r="O907" s="2" cm="1">
        <f t="array" ref="O907:Q907">[1]!ConvertFeet(N907)</f>
        <v>0</v>
      </c>
      <c r="P907" s="2">
        <v>0</v>
      </c>
      <c r="Q907" s="2">
        <v>0</v>
      </c>
    </row>
    <row r="908" spans="1:17" x14ac:dyDescent="0.6">
      <c r="A908" s="35">
        <v>908</v>
      </c>
      <c r="D908" s="23" t="str" cm="1">
        <f t="array" ref="D908">IFERROR([1]!CalculateHyphenString(C908),"")</f>
        <v/>
      </c>
      <c r="G908" s="26"/>
      <c r="H908" s="2"/>
      <c r="L908" s="21">
        <f t="shared" si="28"/>
        <v>0</v>
      </c>
      <c r="N908" s="21">
        <f t="shared" si="29"/>
        <v>0</v>
      </c>
      <c r="O908" s="2" cm="1">
        <f t="array" ref="O908:Q908">[1]!ConvertFeet(N908)</f>
        <v>0</v>
      </c>
      <c r="P908" s="2">
        <v>0</v>
      </c>
      <c r="Q908" s="2">
        <v>0</v>
      </c>
    </row>
    <row r="909" spans="1:17" x14ac:dyDescent="0.6">
      <c r="A909" s="34">
        <v>909</v>
      </c>
      <c r="D909" s="23" t="str" cm="1">
        <f t="array" ref="D909">IFERROR([1]!CalculateHyphenString(C909),"")</f>
        <v/>
      </c>
      <c r="G909" s="26"/>
      <c r="H909" s="2"/>
      <c r="L909" s="21">
        <f t="shared" si="28"/>
        <v>0</v>
      </c>
      <c r="N909" s="21">
        <f t="shared" si="29"/>
        <v>0</v>
      </c>
      <c r="O909" s="2" cm="1">
        <f t="array" ref="O909:Q909">[1]!ConvertFeet(N909)</f>
        <v>0</v>
      </c>
      <c r="P909" s="2">
        <v>0</v>
      </c>
      <c r="Q909" s="2">
        <v>0</v>
      </c>
    </row>
    <row r="910" spans="1:17" x14ac:dyDescent="0.6">
      <c r="A910" s="35">
        <v>910</v>
      </c>
      <c r="D910" s="23" t="str" cm="1">
        <f t="array" ref="D910">IFERROR([1]!CalculateHyphenString(C910),"")</f>
        <v/>
      </c>
      <c r="G910" s="26"/>
      <c r="H910" s="2"/>
      <c r="L910" s="21">
        <f t="shared" si="28"/>
        <v>0</v>
      </c>
      <c r="N910" s="21">
        <f t="shared" si="29"/>
        <v>0</v>
      </c>
      <c r="O910" s="2" cm="1">
        <f t="array" ref="O910:Q910">[1]!ConvertFeet(N910)</f>
        <v>0</v>
      </c>
      <c r="P910" s="2">
        <v>0</v>
      </c>
      <c r="Q910" s="2">
        <v>0</v>
      </c>
    </row>
    <row r="911" spans="1:17" x14ac:dyDescent="0.6">
      <c r="A911" s="34">
        <v>911</v>
      </c>
      <c r="D911" s="23" t="str" cm="1">
        <f t="array" ref="D911">IFERROR([1]!CalculateHyphenString(C911),"")</f>
        <v/>
      </c>
      <c r="G911" s="26"/>
      <c r="H911" s="2"/>
      <c r="L911" s="21">
        <f t="shared" si="28"/>
        <v>0</v>
      </c>
      <c r="N911" s="21">
        <f t="shared" si="29"/>
        <v>0</v>
      </c>
      <c r="O911" s="2" cm="1">
        <f t="array" ref="O911:Q911">[1]!ConvertFeet(N911)</f>
        <v>0</v>
      </c>
      <c r="P911" s="2">
        <v>0</v>
      </c>
      <c r="Q911" s="2">
        <v>0</v>
      </c>
    </row>
    <row r="912" spans="1:17" x14ac:dyDescent="0.6">
      <c r="A912" s="35">
        <v>912</v>
      </c>
      <c r="D912" s="23" t="str" cm="1">
        <f t="array" ref="D912">IFERROR([1]!CalculateHyphenString(C912),"")</f>
        <v/>
      </c>
      <c r="G912" s="26"/>
      <c r="H912" s="2"/>
      <c r="L912" s="21">
        <f t="shared" si="28"/>
        <v>0</v>
      </c>
      <c r="N912" s="21">
        <f t="shared" si="29"/>
        <v>0</v>
      </c>
      <c r="O912" s="2" cm="1">
        <f t="array" ref="O912:Q912">[1]!ConvertFeet(N912)</f>
        <v>0</v>
      </c>
      <c r="P912" s="2">
        <v>0</v>
      </c>
      <c r="Q912" s="2">
        <v>0</v>
      </c>
    </row>
    <row r="913" spans="1:17" x14ac:dyDescent="0.6">
      <c r="A913" s="34">
        <v>913</v>
      </c>
      <c r="D913" s="23" t="str" cm="1">
        <f t="array" ref="D913">IFERROR([1]!CalculateHyphenString(C913),"")</f>
        <v/>
      </c>
      <c r="G913" s="26"/>
      <c r="H913" s="2"/>
      <c r="L913" s="21">
        <f t="shared" si="28"/>
        <v>0</v>
      </c>
      <c r="N913" s="21">
        <f t="shared" si="29"/>
        <v>0</v>
      </c>
      <c r="O913" s="2" cm="1">
        <f t="array" ref="O913:Q913">[1]!ConvertFeet(N913)</f>
        <v>0</v>
      </c>
      <c r="P913" s="2">
        <v>0</v>
      </c>
      <c r="Q913" s="2">
        <v>0</v>
      </c>
    </row>
    <row r="914" spans="1:17" x14ac:dyDescent="0.6">
      <c r="A914" s="35">
        <v>914</v>
      </c>
      <c r="D914" s="23" t="str" cm="1">
        <f t="array" ref="D914">IFERROR([1]!CalculateHyphenString(C914),"")</f>
        <v/>
      </c>
      <c r="G914" s="26"/>
      <c r="H914" s="2"/>
      <c r="L914" s="21">
        <f t="shared" si="28"/>
        <v>0</v>
      </c>
      <c r="N914" s="21">
        <f t="shared" si="29"/>
        <v>0</v>
      </c>
      <c r="O914" s="2" cm="1">
        <f t="array" ref="O914:Q914">[1]!ConvertFeet(N914)</f>
        <v>0</v>
      </c>
      <c r="P914" s="2">
        <v>0</v>
      </c>
      <c r="Q914" s="2">
        <v>0</v>
      </c>
    </row>
    <row r="915" spans="1:17" x14ac:dyDescent="0.6">
      <c r="A915" s="34">
        <v>915</v>
      </c>
      <c r="D915" s="23" t="str" cm="1">
        <f t="array" ref="D915">IFERROR([1]!CalculateHyphenString(C915),"")</f>
        <v/>
      </c>
      <c r="G915" s="26"/>
      <c r="H915" s="2"/>
      <c r="L915" s="21">
        <f t="shared" si="28"/>
        <v>0</v>
      </c>
      <c r="N915" s="21">
        <f t="shared" si="29"/>
        <v>0</v>
      </c>
      <c r="O915" s="2" cm="1">
        <f t="array" ref="O915:Q915">[1]!ConvertFeet(N915)</f>
        <v>0</v>
      </c>
      <c r="P915" s="2">
        <v>0</v>
      </c>
      <c r="Q915" s="2">
        <v>0</v>
      </c>
    </row>
    <row r="916" spans="1:17" x14ac:dyDescent="0.6">
      <c r="A916" s="35">
        <v>916</v>
      </c>
      <c r="D916" s="23" t="str" cm="1">
        <f t="array" ref="D916">IFERROR([1]!CalculateHyphenString(C916),"")</f>
        <v/>
      </c>
      <c r="G916" s="26"/>
      <c r="H916" s="2"/>
      <c r="L916" s="21">
        <f t="shared" si="28"/>
        <v>0</v>
      </c>
      <c r="N916" s="21">
        <f t="shared" si="29"/>
        <v>0</v>
      </c>
      <c r="O916" s="2" cm="1">
        <f t="array" ref="O916:Q916">[1]!ConvertFeet(N916)</f>
        <v>0</v>
      </c>
      <c r="P916" s="2">
        <v>0</v>
      </c>
      <c r="Q916" s="2">
        <v>0</v>
      </c>
    </row>
    <row r="917" spans="1:17" x14ac:dyDescent="0.6">
      <c r="A917" s="34">
        <v>917</v>
      </c>
      <c r="D917" s="23" t="str" cm="1">
        <f t="array" ref="D917">IFERROR([1]!CalculateHyphenString(C917),"")</f>
        <v/>
      </c>
      <c r="G917" s="26"/>
      <c r="H917" s="2"/>
      <c r="L917" s="21">
        <f t="shared" si="28"/>
        <v>0</v>
      </c>
      <c r="N917" s="21">
        <f t="shared" si="29"/>
        <v>0</v>
      </c>
      <c r="O917" s="2" cm="1">
        <f t="array" ref="O917:Q917">[1]!ConvertFeet(N917)</f>
        <v>0</v>
      </c>
      <c r="P917" s="2">
        <v>0</v>
      </c>
      <c r="Q917" s="2">
        <v>0</v>
      </c>
    </row>
    <row r="918" spans="1:17" x14ac:dyDescent="0.6">
      <c r="A918" s="35">
        <v>918</v>
      </c>
      <c r="D918" s="23" t="str" cm="1">
        <f t="array" ref="D918">IFERROR([1]!CalculateHyphenString(C918),"")</f>
        <v/>
      </c>
      <c r="G918" s="26"/>
      <c r="H918" s="2"/>
      <c r="L918" s="21">
        <f t="shared" si="28"/>
        <v>0</v>
      </c>
      <c r="N918" s="21">
        <f t="shared" si="29"/>
        <v>0</v>
      </c>
      <c r="O918" s="2" cm="1">
        <f t="array" ref="O918:Q918">[1]!ConvertFeet(N918)</f>
        <v>0</v>
      </c>
      <c r="P918" s="2">
        <v>0</v>
      </c>
      <c r="Q918" s="2">
        <v>0</v>
      </c>
    </row>
    <row r="919" spans="1:17" x14ac:dyDescent="0.6">
      <c r="A919" s="34">
        <v>919</v>
      </c>
      <c r="D919" s="23" t="str" cm="1">
        <f t="array" ref="D919">IFERROR([1]!CalculateHyphenString(C919),"")</f>
        <v/>
      </c>
      <c r="G919" s="26"/>
      <c r="H919" s="2"/>
      <c r="L919" s="21">
        <f t="shared" si="28"/>
        <v>0</v>
      </c>
      <c r="N919" s="21">
        <f t="shared" si="29"/>
        <v>0</v>
      </c>
      <c r="O919" s="2" cm="1">
        <f t="array" ref="O919:Q919">[1]!ConvertFeet(N919)</f>
        <v>0</v>
      </c>
      <c r="P919" s="2">
        <v>0</v>
      </c>
      <c r="Q919" s="2">
        <v>0</v>
      </c>
    </row>
    <row r="920" spans="1:17" x14ac:dyDescent="0.6">
      <c r="A920" s="35">
        <v>920</v>
      </c>
      <c r="D920" s="23" t="str" cm="1">
        <f t="array" ref="D920">IFERROR([1]!CalculateHyphenString(C920),"")</f>
        <v/>
      </c>
      <c r="G920" s="26"/>
      <c r="H920" s="2"/>
      <c r="L920" s="21">
        <f t="shared" si="28"/>
        <v>0</v>
      </c>
      <c r="N920" s="21">
        <f t="shared" si="29"/>
        <v>0</v>
      </c>
      <c r="O920" s="2" cm="1">
        <f t="array" ref="O920:Q920">[1]!ConvertFeet(N920)</f>
        <v>0</v>
      </c>
      <c r="P920" s="2">
        <v>0</v>
      </c>
      <c r="Q920" s="2">
        <v>0</v>
      </c>
    </row>
    <row r="921" spans="1:17" x14ac:dyDescent="0.6">
      <c r="A921" s="34">
        <v>921</v>
      </c>
      <c r="D921" s="23" t="str" cm="1">
        <f t="array" ref="D921">IFERROR([1]!CalculateHyphenString(C921),"")</f>
        <v/>
      </c>
      <c r="G921" s="26"/>
      <c r="H921" s="2"/>
      <c r="L921" s="21">
        <f t="shared" si="28"/>
        <v>0</v>
      </c>
      <c r="N921" s="21">
        <f t="shared" si="29"/>
        <v>0</v>
      </c>
      <c r="O921" s="2" cm="1">
        <f t="array" ref="O921:Q921">[1]!ConvertFeet(N921)</f>
        <v>0</v>
      </c>
      <c r="P921" s="2">
        <v>0</v>
      </c>
      <c r="Q921" s="2">
        <v>0</v>
      </c>
    </row>
    <row r="922" spans="1:17" x14ac:dyDescent="0.6">
      <c r="A922" s="35">
        <v>922</v>
      </c>
      <c r="D922" s="23" t="str" cm="1">
        <f t="array" ref="D922">IFERROR([1]!CalculateHyphenString(C922),"")</f>
        <v/>
      </c>
      <c r="G922" s="26"/>
      <c r="H922" s="2"/>
      <c r="L922" s="21">
        <f t="shared" si="28"/>
        <v>0</v>
      </c>
      <c r="N922" s="21">
        <f t="shared" si="29"/>
        <v>0</v>
      </c>
      <c r="O922" s="2" cm="1">
        <f t="array" ref="O922:Q922">[1]!ConvertFeet(N922)</f>
        <v>0</v>
      </c>
      <c r="P922" s="2">
        <v>0</v>
      </c>
      <c r="Q922" s="2">
        <v>0</v>
      </c>
    </row>
    <row r="923" spans="1:17" x14ac:dyDescent="0.6">
      <c r="A923" s="34">
        <v>923</v>
      </c>
      <c r="D923" s="23" t="str" cm="1">
        <f t="array" ref="D923">IFERROR([1]!CalculateHyphenString(C923),"")</f>
        <v/>
      </c>
      <c r="G923" s="26"/>
      <c r="H923" s="2"/>
      <c r="L923" s="21">
        <f t="shared" si="28"/>
        <v>0</v>
      </c>
      <c r="N923" s="21">
        <f t="shared" si="29"/>
        <v>0</v>
      </c>
      <c r="O923" s="2" cm="1">
        <f t="array" ref="O923:Q923">[1]!ConvertFeet(N923)</f>
        <v>0</v>
      </c>
      <c r="P923" s="2">
        <v>0</v>
      </c>
      <c r="Q923" s="2">
        <v>0</v>
      </c>
    </row>
    <row r="924" spans="1:17" x14ac:dyDescent="0.6">
      <c r="A924" s="35">
        <v>924</v>
      </c>
      <c r="D924" s="23" t="str" cm="1">
        <f t="array" ref="D924">IFERROR([1]!CalculateHyphenString(C924),"")</f>
        <v/>
      </c>
      <c r="G924" s="26"/>
      <c r="H924" s="2"/>
      <c r="L924" s="21">
        <f t="shared" si="28"/>
        <v>0</v>
      </c>
      <c r="N924" s="21">
        <f t="shared" si="29"/>
        <v>0</v>
      </c>
      <c r="O924" s="2" cm="1">
        <f t="array" ref="O924:Q924">[1]!ConvertFeet(N924)</f>
        <v>0</v>
      </c>
      <c r="P924" s="2">
        <v>0</v>
      </c>
      <c r="Q924" s="2">
        <v>0</v>
      </c>
    </row>
    <row r="925" spans="1:17" x14ac:dyDescent="0.6">
      <c r="A925" s="34">
        <v>925</v>
      </c>
      <c r="D925" s="23" t="str" cm="1">
        <f t="array" ref="D925">IFERROR([1]!CalculateHyphenString(C925),"")</f>
        <v/>
      </c>
      <c r="G925" s="26"/>
      <c r="H925" s="2"/>
      <c r="L925" s="21">
        <f t="shared" si="28"/>
        <v>0</v>
      </c>
      <c r="N925" s="21">
        <f t="shared" si="29"/>
        <v>0</v>
      </c>
      <c r="O925" s="2" cm="1">
        <f t="array" ref="O925:Q925">[1]!ConvertFeet(N925)</f>
        <v>0</v>
      </c>
      <c r="P925" s="2">
        <v>0</v>
      </c>
      <c r="Q925" s="2">
        <v>0</v>
      </c>
    </row>
    <row r="926" spans="1:17" x14ac:dyDescent="0.6">
      <c r="A926" s="35">
        <v>926</v>
      </c>
      <c r="D926" s="23" t="str" cm="1">
        <f t="array" ref="D926">IFERROR([1]!CalculateHyphenString(C926),"")</f>
        <v/>
      </c>
      <c r="G926" s="26"/>
      <c r="H926" s="2"/>
      <c r="L926" s="21">
        <f t="shared" si="28"/>
        <v>0</v>
      </c>
      <c r="N926" s="21">
        <f t="shared" si="29"/>
        <v>0</v>
      </c>
      <c r="O926" s="2" cm="1">
        <f t="array" ref="O926:Q926">[1]!ConvertFeet(N926)</f>
        <v>0</v>
      </c>
      <c r="P926" s="2">
        <v>0</v>
      </c>
      <c r="Q926" s="2">
        <v>0</v>
      </c>
    </row>
    <row r="927" spans="1:17" x14ac:dyDescent="0.6">
      <c r="A927" s="34">
        <v>927</v>
      </c>
      <c r="D927" s="23" t="str" cm="1">
        <f t="array" ref="D927">IFERROR([1]!CalculateHyphenString(C927),"")</f>
        <v/>
      </c>
      <c r="G927" s="26"/>
      <c r="H927" s="2"/>
      <c r="L927" s="21">
        <f t="shared" si="28"/>
        <v>0</v>
      </c>
      <c r="N927" s="21">
        <f t="shared" si="29"/>
        <v>0</v>
      </c>
      <c r="O927" s="2" cm="1">
        <f t="array" ref="O927:Q927">[1]!ConvertFeet(N927)</f>
        <v>0</v>
      </c>
      <c r="P927" s="2">
        <v>0</v>
      </c>
      <c r="Q927" s="2">
        <v>0</v>
      </c>
    </row>
    <row r="928" spans="1:17" x14ac:dyDescent="0.6">
      <c r="A928" s="35">
        <v>928</v>
      </c>
      <c r="D928" s="23" t="str" cm="1">
        <f t="array" ref="D928">IFERROR([1]!CalculateHyphenString(C928),"")</f>
        <v/>
      </c>
      <c r="G928" s="26"/>
      <c r="H928" s="2"/>
      <c r="L928" s="21">
        <f t="shared" si="28"/>
        <v>0</v>
      </c>
      <c r="N928" s="21">
        <f t="shared" si="29"/>
        <v>0</v>
      </c>
      <c r="O928" s="2" cm="1">
        <f t="array" ref="O928:Q928">[1]!ConvertFeet(N928)</f>
        <v>0</v>
      </c>
      <c r="P928" s="2">
        <v>0</v>
      </c>
      <c r="Q928" s="2">
        <v>0</v>
      </c>
    </row>
    <row r="929" spans="1:17" x14ac:dyDescent="0.6">
      <c r="A929" s="34">
        <v>929</v>
      </c>
      <c r="D929" s="23" t="str" cm="1">
        <f t="array" ref="D929">IFERROR([1]!CalculateHyphenString(C929),"")</f>
        <v/>
      </c>
      <c r="G929" s="26"/>
      <c r="H929" s="2"/>
      <c r="L929" s="21">
        <f t="shared" si="28"/>
        <v>0</v>
      </c>
      <c r="N929" s="21">
        <f t="shared" si="29"/>
        <v>0</v>
      </c>
      <c r="O929" s="2" cm="1">
        <f t="array" ref="O929:Q929">[1]!ConvertFeet(N929)</f>
        <v>0</v>
      </c>
      <c r="P929" s="2">
        <v>0</v>
      </c>
      <c r="Q929" s="2">
        <v>0</v>
      </c>
    </row>
    <row r="930" spans="1:17" x14ac:dyDescent="0.6">
      <c r="A930" s="35">
        <v>930</v>
      </c>
      <c r="D930" s="23" t="str" cm="1">
        <f t="array" ref="D930">IFERROR([1]!CalculateHyphenString(C930),"")</f>
        <v/>
      </c>
      <c r="G930" s="26"/>
      <c r="H930" s="2"/>
      <c r="L930" s="21">
        <f t="shared" si="28"/>
        <v>0</v>
      </c>
      <c r="N930" s="21">
        <f t="shared" si="29"/>
        <v>0</v>
      </c>
      <c r="O930" s="2" cm="1">
        <f t="array" ref="O930:Q930">[1]!ConvertFeet(N930)</f>
        <v>0</v>
      </c>
      <c r="P930" s="2">
        <v>0</v>
      </c>
      <c r="Q930" s="2">
        <v>0</v>
      </c>
    </row>
    <row r="931" spans="1:17" x14ac:dyDescent="0.6">
      <c r="A931" s="34">
        <v>931</v>
      </c>
      <c r="D931" s="23" t="str" cm="1">
        <f t="array" ref="D931">IFERROR([1]!CalculateHyphenString(C931),"")</f>
        <v/>
      </c>
      <c r="G931" s="26"/>
      <c r="H931" s="2"/>
      <c r="L931" s="21">
        <f t="shared" si="28"/>
        <v>0</v>
      </c>
      <c r="N931" s="21">
        <f t="shared" si="29"/>
        <v>0</v>
      </c>
      <c r="O931" s="2" cm="1">
        <f t="array" ref="O931:Q931">[1]!ConvertFeet(N931)</f>
        <v>0</v>
      </c>
      <c r="P931" s="2">
        <v>0</v>
      </c>
      <c r="Q931" s="2">
        <v>0</v>
      </c>
    </row>
    <row r="932" spans="1:17" x14ac:dyDescent="0.6">
      <c r="A932" s="35">
        <v>932</v>
      </c>
      <c r="D932" s="23" t="str" cm="1">
        <f t="array" ref="D932">IFERROR([1]!CalculateHyphenString(C932),"")</f>
        <v/>
      </c>
      <c r="G932" s="26"/>
      <c r="H932" s="2"/>
      <c r="L932" s="21">
        <f t="shared" si="28"/>
        <v>0</v>
      </c>
      <c r="N932" s="21">
        <f t="shared" si="29"/>
        <v>0</v>
      </c>
      <c r="O932" s="2" cm="1">
        <f t="array" ref="O932:Q932">[1]!ConvertFeet(N932)</f>
        <v>0</v>
      </c>
      <c r="P932" s="2">
        <v>0</v>
      </c>
      <c r="Q932" s="2">
        <v>0</v>
      </c>
    </row>
    <row r="933" spans="1:17" x14ac:dyDescent="0.6">
      <c r="A933" s="34">
        <v>933</v>
      </c>
      <c r="D933" s="23" t="str" cm="1">
        <f t="array" ref="D933">IFERROR([1]!CalculateHyphenString(C933),"")</f>
        <v/>
      </c>
      <c r="G933" s="26"/>
      <c r="H933" s="2"/>
      <c r="L933" s="21">
        <f t="shared" si="28"/>
        <v>0</v>
      </c>
      <c r="N933" s="21">
        <f t="shared" si="29"/>
        <v>0</v>
      </c>
      <c r="O933" s="2" cm="1">
        <f t="array" ref="O933:Q933">[1]!ConvertFeet(N933)</f>
        <v>0</v>
      </c>
      <c r="P933" s="2">
        <v>0</v>
      </c>
      <c r="Q933" s="2">
        <v>0</v>
      </c>
    </row>
    <row r="934" spans="1:17" x14ac:dyDescent="0.6">
      <c r="A934" s="35">
        <v>934</v>
      </c>
      <c r="D934" s="23" t="str" cm="1">
        <f t="array" ref="D934">IFERROR([1]!CalculateHyphenString(C934),"")</f>
        <v/>
      </c>
      <c r="G934" s="26"/>
      <c r="H934" s="2"/>
      <c r="L934" s="21">
        <f t="shared" si="28"/>
        <v>0</v>
      </c>
      <c r="N934" s="21">
        <f t="shared" si="29"/>
        <v>0</v>
      </c>
      <c r="O934" s="2" cm="1">
        <f t="array" ref="O934:Q934">[1]!ConvertFeet(N934)</f>
        <v>0</v>
      </c>
      <c r="P934" s="2">
        <v>0</v>
      </c>
      <c r="Q934" s="2">
        <v>0</v>
      </c>
    </row>
    <row r="935" spans="1:17" x14ac:dyDescent="0.6">
      <c r="A935" s="34">
        <v>935</v>
      </c>
      <c r="D935" s="23" t="str" cm="1">
        <f t="array" ref="D935">IFERROR([1]!CalculateHyphenString(C935),"")</f>
        <v/>
      </c>
      <c r="G935" s="26"/>
      <c r="H935" s="2"/>
      <c r="L935" s="21">
        <f t="shared" si="28"/>
        <v>0</v>
      </c>
      <c r="N935" s="21">
        <f t="shared" si="29"/>
        <v>0</v>
      </c>
      <c r="O935" s="2" cm="1">
        <f t="array" ref="O935:Q935">[1]!ConvertFeet(N935)</f>
        <v>0</v>
      </c>
      <c r="P935" s="2">
        <v>0</v>
      </c>
      <c r="Q935" s="2">
        <v>0</v>
      </c>
    </row>
    <row r="936" spans="1:17" x14ac:dyDescent="0.6">
      <c r="A936" s="35">
        <v>936</v>
      </c>
      <c r="D936" s="23" t="str" cm="1">
        <f t="array" ref="D936">IFERROR([1]!CalculateHyphenString(C936),"")</f>
        <v/>
      </c>
      <c r="G936" s="26"/>
      <c r="H936" s="2"/>
      <c r="L936" s="21">
        <f t="shared" si="28"/>
        <v>0</v>
      </c>
      <c r="N936" s="21">
        <f t="shared" si="29"/>
        <v>0</v>
      </c>
      <c r="O936" s="2" cm="1">
        <f t="array" ref="O936:Q936">[1]!ConvertFeet(N936)</f>
        <v>0</v>
      </c>
      <c r="P936" s="2">
        <v>0</v>
      </c>
      <c r="Q936" s="2">
        <v>0</v>
      </c>
    </row>
    <row r="937" spans="1:17" x14ac:dyDescent="0.6">
      <c r="A937" s="34">
        <v>937</v>
      </c>
      <c r="D937" s="23" t="str" cm="1">
        <f t="array" ref="D937">IFERROR([1]!CalculateHyphenString(C937),"")</f>
        <v/>
      </c>
      <c r="G937" s="26"/>
      <c r="H937" s="2"/>
      <c r="L937" s="21">
        <f t="shared" si="28"/>
        <v>0</v>
      </c>
      <c r="N937" s="21">
        <f t="shared" si="29"/>
        <v>0</v>
      </c>
      <c r="O937" s="2" cm="1">
        <f t="array" ref="O937:Q937">[1]!ConvertFeet(N937)</f>
        <v>0</v>
      </c>
      <c r="P937" s="2">
        <v>0</v>
      </c>
      <c r="Q937" s="2">
        <v>0</v>
      </c>
    </row>
    <row r="938" spans="1:17" x14ac:dyDescent="0.6">
      <c r="A938" s="35">
        <v>938</v>
      </c>
      <c r="D938" s="23" t="str" cm="1">
        <f t="array" ref="D938">IFERROR([1]!CalculateHyphenString(C938),"")</f>
        <v/>
      </c>
      <c r="G938" s="26"/>
      <c r="H938" s="2"/>
      <c r="L938" s="21">
        <f t="shared" si="28"/>
        <v>0</v>
      </c>
      <c r="N938" s="21">
        <f t="shared" si="29"/>
        <v>0</v>
      </c>
      <c r="O938" s="2" cm="1">
        <f t="array" ref="O938:Q938">[1]!ConvertFeet(N938)</f>
        <v>0</v>
      </c>
      <c r="P938" s="2">
        <v>0</v>
      </c>
      <c r="Q938" s="2">
        <v>0</v>
      </c>
    </row>
    <row r="939" spans="1:17" x14ac:dyDescent="0.6">
      <c r="A939" s="34">
        <v>939</v>
      </c>
      <c r="D939" s="23" t="str" cm="1">
        <f t="array" ref="D939">IFERROR([1]!CalculateHyphenString(C939),"")</f>
        <v/>
      </c>
      <c r="G939" s="26"/>
      <c r="H939" s="2"/>
      <c r="L939" s="21">
        <f t="shared" si="28"/>
        <v>0</v>
      </c>
      <c r="N939" s="21">
        <f t="shared" si="29"/>
        <v>0</v>
      </c>
      <c r="O939" s="2" cm="1">
        <f t="array" ref="O939:Q939">[1]!ConvertFeet(N939)</f>
        <v>0</v>
      </c>
      <c r="P939" s="2">
        <v>0</v>
      </c>
      <c r="Q939" s="2">
        <v>0</v>
      </c>
    </row>
    <row r="940" spans="1:17" x14ac:dyDescent="0.6">
      <c r="A940" s="35">
        <v>940</v>
      </c>
      <c r="D940" s="23" t="str" cm="1">
        <f t="array" ref="D940">IFERROR([1]!CalculateHyphenString(C940),"")</f>
        <v/>
      </c>
      <c r="G940" s="26"/>
      <c r="H940" s="2"/>
      <c r="L940" s="21">
        <f t="shared" si="28"/>
        <v>0</v>
      </c>
      <c r="N940" s="21">
        <f t="shared" si="29"/>
        <v>0</v>
      </c>
      <c r="O940" s="2" cm="1">
        <f t="array" ref="O940:Q940">[1]!ConvertFeet(N940)</f>
        <v>0</v>
      </c>
      <c r="P940" s="2">
        <v>0</v>
      </c>
      <c r="Q940" s="2">
        <v>0</v>
      </c>
    </row>
    <row r="941" spans="1:17" x14ac:dyDescent="0.6">
      <c r="A941" s="34">
        <v>941</v>
      </c>
      <c r="D941" s="23" t="str" cm="1">
        <f t="array" ref="D941">IFERROR([1]!CalculateHyphenString(C941),"")</f>
        <v/>
      </c>
      <c r="G941" s="26"/>
      <c r="H941" s="2"/>
      <c r="L941" s="21">
        <f t="shared" si="28"/>
        <v>0</v>
      </c>
      <c r="N941" s="21">
        <f t="shared" si="29"/>
        <v>0</v>
      </c>
      <c r="O941" s="2" cm="1">
        <f t="array" ref="O941:Q941">[1]!ConvertFeet(N941)</f>
        <v>0</v>
      </c>
      <c r="P941" s="2">
        <v>0</v>
      </c>
      <c r="Q941" s="2">
        <v>0</v>
      </c>
    </row>
    <row r="942" spans="1:17" x14ac:dyDescent="0.6">
      <c r="A942" s="35">
        <v>942</v>
      </c>
      <c r="D942" s="23" t="str" cm="1">
        <f t="array" ref="D942">IFERROR([1]!CalculateHyphenString(C942),"")</f>
        <v/>
      </c>
      <c r="G942" s="26"/>
      <c r="H942" s="2"/>
      <c r="L942" s="21">
        <f t="shared" si="28"/>
        <v>0</v>
      </c>
      <c r="N942" s="21">
        <f t="shared" si="29"/>
        <v>0</v>
      </c>
      <c r="O942" s="2" cm="1">
        <f t="array" ref="O942:Q942">[1]!ConvertFeet(N942)</f>
        <v>0</v>
      </c>
      <c r="P942" s="2">
        <v>0</v>
      </c>
      <c r="Q942" s="2">
        <v>0</v>
      </c>
    </row>
    <row r="943" spans="1:17" x14ac:dyDescent="0.6">
      <c r="A943" s="34">
        <v>943</v>
      </c>
      <c r="D943" s="23" t="str" cm="1">
        <f t="array" ref="D943">IFERROR([1]!CalculateHyphenString(C943),"")</f>
        <v/>
      </c>
      <c r="G943" s="26"/>
      <c r="H943" s="2"/>
      <c r="L943" s="21">
        <f t="shared" si="28"/>
        <v>0</v>
      </c>
      <c r="N943" s="21">
        <f t="shared" si="29"/>
        <v>0</v>
      </c>
      <c r="O943" s="2" cm="1">
        <f t="array" ref="O943:Q943">[1]!ConvertFeet(N943)</f>
        <v>0</v>
      </c>
      <c r="P943" s="2">
        <v>0</v>
      </c>
      <c r="Q943" s="2">
        <v>0</v>
      </c>
    </row>
    <row r="944" spans="1:17" x14ac:dyDescent="0.6">
      <c r="A944" s="35">
        <v>944</v>
      </c>
      <c r="D944" s="23" t="str" cm="1">
        <f t="array" ref="D944">IFERROR([1]!CalculateHyphenString(C944),"")</f>
        <v/>
      </c>
      <c r="G944" s="26"/>
      <c r="H944" s="2"/>
      <c r="L944" s="21">
        <f t="shared" si="28"/>
        <v>0</v>
      </c>
      <c r="N944" s="21">
        <f t="shared" si="29"/>
        <v>0</v>
      </c>
      <c r="O944" s="2" cm="1">
        <f t="array" ref="O944:Q944">[1]!ConvertFeet(N944)</f>
        <v>0</v>
      </c>
      <c r="P944" s="2">
        <v>0</v>
      </c>
      <c r="Q944" s="2">
        <v>0</v>
      </c>
    </row>
    <row r="945" spans="1:17" x14ac:dyDescent="0.6">
      <c r="A945" s="34">
        <v>945</v>
      </c>
      <c r="D945" s="23" t="str" cm="1">
        <f t="array" ref="D945">IFERROR([1]!CalculateHyphenString(C945),"")</f>
        <v/>
      </c>
      <c r="G945" s="26"/>
      <c r="H945" s="2"/>
      <c r="L945" s="21">
        <f t="shared" si="28"/>
        <v>0</v>
      </c>
      <c r="N945" s="21">
        <f t="shared" si="29"/>
        <v>0</v>
      </c>
      <c r="O945" s="2" cm="1">
        <f t="array" ref="O945:Q945">[1]!ConvertFeet(N945)</f>
        <v>0</v>
      </c>
      <c r="P945" s="2">
        <v>0</v>
      </c>
      <c r="Q945" s="2">
        <v>0</v>
      </c>
    </row>
    <row r="946" spans="1:17" x14ac:dyDescent="0.6">
      <c r="A946" s="35">
        <v>946</v>
      </c>
      <c r="D946" s="23" t="str" cm="1">
        <f t="array" ref="D946">IFERROR([1]!CalculateHyphenString(C946),"")</f>
        <v/>
      </c>
      <c r="G946" s="26"/>
      <c r="H946" s="2"/>
      <c r="L946" s="21">
        <f t="shared" si="28"/>
        <v>0</v>
      </c>
      <c r="N946" s="21">
        <f t="shared" si="29"/>
        <v>0</v>
      </c>
      <c r="O946" s="2" cm="1">
        <f t="array" ref="O946:Q946">[1]!ConvertFeet(N946)</f>
        <v>0</v>
      </c>
      <c r="P946" s="2">
        <v>0</v>
      </c>
      <c r="Q946" s="2">
        <v>0</v>
      </c>
    </row>
    <row r="947" spans="1:17" x14ac:dyDescent="0.6">
      <c r="A947" s="34">
        <v>947</v>
      </c>
      <c r="D947" s="23" t="str" cm="1">
        <f t="array" ref="D947">IFERROR([1]!CalculateHyphenString(C947),"")</f>
        <v/>
      </c>
      <c r="G947" s="26"/>
      <c r="H947" s="2"/>
      <c r="L947" s="21">
        <f t="shared" si="28"/>
        <v>0</v>
      </c>
      <c r="N947" s="21">
        <f t="shared" si="29"/>
        <v>0</v>
      </c>
      <c r="O947" s="2" cm="1">
        <f t="array" ref="O947:Q947">[1]!ConvertFeet(N947)</f>
        <v>0</v>
      </c>
      <c r="P947" s="2">
        <v>0</v>
      </c>
      <c r="Q947" s="2">
        <v>0</v>
      </c>
    </row>
    <row r="948" spans="1:17" x14ac:dyDescent="0.6">
      <c r="A948" s="35">
        <v>948</v>
      </c>
      <c r="D948" s="23" t="str" cm="1">
        <f t="array" ref="D948">IFERROR([1]!CalculateHyphenString(C948),"")</f>
        <v/>
      </c>
      <c r="G948" s="26"/>
      <c r="H948" s="2"/>
      <c r="L948" s="21">
        <f t="shared" si="28"/>
        <v>0</v>
      </c>
      <c r="N948" s="21">
        <f t="shared" si="29"/>
        <v>0</v>
      </c>
      <c r="O948" s="2" cm="1">
        <f t="array" ref="O948:Q948">[1]!ConvertFeet(N948)</f>
        <v>0</v>
      </c>
      <c r="P948" s="2">
        <v>0</v>
      </c>
      <c r="Q948" s="2">
        <v>0</v>
      </c>
    </row>
    <row r="949" spans="1:17" x14ac:dyDescent="0.6">
      <c r="A949" s="34">
        <v>949</v>
      </c>
      <c r="D949" s="23" t="str" cm="1">
        <f t="array" ref="D949">IFERROR([1]!CalculateHyphenString(C949),"")</f>
        <v/>
      </c>
      <c r="G949" s="26"/>
      <c r="H949" s="2"/>
      <c r="L949" s="21">
        <f t="shared" si="28"/>
        <v>0</v>
      </c>
      <c r="N949" s="21">
        <f t="shared" si="29"/>
        <v>0</v>
      </c>
      <c r="O949" s="2" cm="1">
        <f t="array" ref="O949:Q949">[1]!ConvertFeet(N949)</f>
        <v>0</v>
      </c>
      <c r="P949" s="2">
        <v>0</v>
      </c>
      <c r="Q949" s="2">
        <v>0</v>
      </c>
    </row>
    <row r="950" spans="1:17" x14ac:dyDescent="0.6">
      <c r="A950" s="35">
        <v>950</v>
      </c>
      <c r="D950" s="23" t="str" cm="1">
        <f t="array" ref="D950">IFERROR([1]!CalculateHyphenString(C950),"")</f>
        <v/>
      </c>
      <c r="G950" s="26"/>
      <c r="H950" s="2"/>
      <c r="L950" s="21">
        <f t="shared" si="28"/>
        <v>0</v>
      </c>
      <c r="N950" s="21">
        <f t="shared" si="29"/>
        <v>0</v>
      </c>
      <c r="O950" s="2" cm="1">
        <f t="array" ref="O950:Q950">[1]!ConvertFeet(N950)</f>
        <v>0</v>
      </c>
      <c r="P950" s="2">
        <v>0</v>
      </c>
      <c r="Q950" s="2">
        <v>0</v>
      </c>
    </row>
    <row r="951" spans="1:17" x14ac:dyDescent="0.6">
      <c r="A951" s="34">
        <v>951</v>
      </c>
      <c r="D951" s="23" t="str" cm="1">
        <f t="array" ref="D951">IFERROR([1]!CalculateHyphenString(C951),"")</f>
        <v/>
      </c>
      <c r="G951" s="26"/>
      <c r="H951" s="2"/>
      <c r="L951" s="21">
        <f t="shared" si="28"/>
        <v>0</v>
      </c>
      <c r="N951" s="21">
        <f t="shared" si="29"/>
        <v>0</v>
      </c>
      <c r="O951" s="2" cm="1">
        <f t="array" ref="O951:Q951">[1]!ConvertFeet(N951)</f>
        <v>0</v>
      </c>
      <c r="P951" s="2">
        <v>0</v>
      </c>
      <c r="Q951" s="2">
        <v>0</v>
      </c>
    </row>
    <row r="952" spans="1:17" x14ac:dyDescent="0.6">
      <c r="A952" s="35">
        <v>952</v>
      </c>
      <c r="D952" s="23" t="str" cm="1">
        <f t="array" ref="D952">IFERROR([1]!CalculateHyphenString(C952),"")</f>
        <v/>
      </c>
      <c r="G952" s="26"/>
      <c r="H952" s="2"/>
      <c r="L952" s="21">
        <f t="shared" si="28"/>
        <v>0</v>
      </c>
      <c r="N952" s="21">
        <f t="shared" si="29"/>
        <v>0</v>
      </c>
      <c r="O952" s="2" cm="1">
        <f t="array" ref="O952:Q952">[1]!ConvertFeet(N952)</f>
        <v>0</v>
      </c>
      <c r="P952" s="2">
        <v>0</v>
      </c>
      <c r="Q952" s="2">
        <v>0</v>
      </c>
    </row>
    <row r="953" spans="1:17" x14ac:dyDescent="0.6">
      <c r="A953" s="34">
        <v>953</v>
      </c>
      <c r="D953" s="23" t="str" cm="1">
        <f t="array" ref="D953">IFERROR([1]!CalculateHyphenString(C953),"")</f>
        <v/>
      </c>
      <c r="G953" s="26"/>
      <c r="H953" s="2"/>
      <c r="L953" s="21">
        <f t="shared" si="28"/>
        <v>0</v>
      </c>
      <c r="N953" s="21">
        <f t="shared" si="29"/>
        <v>0</v>
      </c>
      <c r="O953" s="2" cm="1">
        <f t="array" ref="O953:Q953">[1]!ConvertFeet(N953)</f>
        <v>0</v>
      </c>
      <c r="P953" s="2">
        <v>0</v>
      </c>
      <c r="Q953" s="2">
        <v>0</v>
      </c>
    </row>
    <row r="954" spans="1:17" x14ac:dyDescent="0.6">
      <c r="A954" s="35">
        <v>954</v>
      </c>
      <c r="D954" s="23" t="str" cm="1">
        <f t="array" ref="D954">IFERROR([1]!CalculateHyphenString(C954),"")</f>
        <v/>
      </c>
      <c r="G954" s="26"/>
      <c r="H954" s="2"/>
      <c r="L954" s="21">
        <f t="shared" si="28"/>
        <v>0</v>
      </c>
      <c r="N954" s="21">
        <f t="shared" si="29"/>
        <v>0</v>
      </c>
      <c r="O954" s="2" cm="1">
        <f t="array" ref="O954:Q954">[1]!ConvertFeet(N954)</f>
        <v>0</v>
      </c>
      <c r="P954" s="2">
        <v>0</v>
      </c>
      <c r="Q954" s="2">
        <v>0</v>
      </c>
    </row>
    <row r="955" spans="1:17" x14ac:dyDescent="0.6">
      <c r="A955" s="34">
        <v>955</v>
      </c>
      <c r="D955" s="23" t="str" cm="1">
        <f t="array" ref="D955">IFERROR([1]!CalculateHyphenString(C955),"")</f>
        <v/>
      </c>
      <c r="G955" s="26"/>
      <c r="H955" s="2"/>
      <c r="L955" s="21">
        <f t="shared" si="28"/>
        <v>0</v>
      </c>
      <c r="N955" s="21">
        <f t="shared" si="29"/>
        <v>0</v>
      </c>
      <c r="O955" s="2" cm="1">
        <f t="array" ref="O955:Q955">[1]!ConvertFeet(N955)</f>
        <v>0</v>
      </c>
      <c r="P955" s="2">
        <v>0</v>
      </c>
      <c r="Q955" s="2">
        <v>0</v>
      </c>
    </row>
    <row r="956" spans="1:17" x14ac:dyDescent="0.6">
      <c r="A956" s="35">
        <v>956</v>
      </c>
      <c r="D956" s="23" t="str" cm="1">
        <f t="array" ref="D956">IFERROR([1]!CalculateHyphenString(C956),"")</f>
        <v/>
      </c>
      <c r="G956" s="26"/>
      <c r="H956" s="2"/>
      <c r="L956" s="21">
        <f t="shared" si="28"/>
        <v>0</v>
      </c>
      <c r="N956" s="21">
        <f t="shared" si="29"/>
        <v>0</v>
      </c>
      <c r="O956" s="2" cm="1">
        <f t="array" ref="O956:Q956">[1]!ConvertFeet(N956)</f>
        <v>0</v>
      </c>
      <c r="P956" s="2">
        <v>0</v>
      </c>
      <c r="Q956" s="2">
        <v>0</v>
      </c>
    </row>
    <row r="957" spans="1:17" x14ac:dyDescent="0.6">
      <c r="A957" s="34">
        <v>957</v>
      </c>
      <c r="D957" s="23" t="str" cm="1">
        <f t="array" ref="D957">IFERROR([1]!CalculateHyphenString(C957),"")</f>
        <v/>
      </c>
      <c r="G957" s="26"/>
      <c r="H957" s="2"/>
      <c r="L957" s="21">
        <f t="shared" si="28"/>
        <v>0</v>
      </c>
      <c r="N957" s="21">
        <f t="shared" si="29"/>
        <v>0</v>
      </c>
      <c r="O957" s="2" cm="1">
        <f t="array" ref="O957:Q957">[1]!ConvertFeet(N957)</f>
        <v>0</v>
      </c>
      <c r="P957" s="2">
        <v>0</v>
      </c>
      <c r="Q957" s="2">
        <v>0</v>
      </c>
    </row>
    <row r="958" spans="1:17" x14ac:dyDescent="0.6">
      <c r="A958" s="35">
        <v>958</v>
      </c>
      <c r="D958" s="23" t="str" cm="1">
        <f t="array" ref="D958">IFERROR([1]!CalculateHyphenString(C958),"")</f>
        <v/>
      </c>
      <c r="G958" s="26"/>
      <c r="H958" s="2"/>
      <c r="L958" s="21">
        <f t="shared" si="28"/>
        <v>0</v>
      </c>
      <c r="N958" s="21">
        <f t="shared" si="29"/>
        <v>0</v>
      </c>
      <c r="O958" s="2" cm="1">
        <f t="array" ref="O958:Q958">[1]!ConvertFeet(N958)</f>
        <v>0</v>
      </c>
      <c r="P958" s="2">
        <v>0</v>
      </c>
      <c r="Q958" s="2">
        <v>0</v>
      </c>
    </row>
    <row r="959" spans="1:17" x14ac:dyDescent="0.6">
      <c r="A959" s="34">
        <v>959</v>
      </c>
      <c r="D959" s="23" t="str" cm="1">
        <f t="array" ref="D959">IFERROR([1]!CalculateHyphenString(C959),"")</f>
        <v/>
      </c>
      <c r="G959" s="26"/>
      <c r="H959" s="2"/>
      <c r="L959" s="21">
        <f t="shared" si="28"/>
        <v>0</v>
      </c>
      <c r="N959" s="21">
        <f t="shared" si="29"/>
        <v>0</v>
      </c>
      <c r="O959" s="2" cm="1">
        <f t="array" ref="O959:Q959">[1]!ConvertFeet(N959)</f>
        <v>0</v>
      </c>
      <c r="P959" s="2">
        <v>0</v>
      </c>
      <c r="Q959" s="2">
        <v>0</v>
      </c>
    </row>
    <row r="960" spans="1:17" x14ac:dyDescent="0.6">
      <c r="A960" s="35">
        <v>960</v>
      </c>
      <c r="D960" s="23" t="str" cm="1">
        <f t="array" ref="D960">IFERROR([1]!CalculateHyphenString(C960),"")</f>
        <v/>
      </c>
      <c r="G960" s="26"/>
      <c r="H960" s="2"/>
      <c r="L960" s="21">
        <f t="shared" si="28"/>
        <v>0</v>
      </c>
      <c r="N960" s="21">
        <f t="shared" si="29"/>
        <v>0</v>
      </c>
      <c r="O960" s="2" cm="1">
        <f t="array" ref="O960:Q960">[1]!ConvertFeet(N960)</f>
        <v>0</v>
      </c>
      <c r="P960" s="2">
        <v>0</v>
      </c>
      <c r="Q960" s="2">
        <v>0</v>
      </c>
    </row>
    <row r="961" spans="1:17" x14ac:dyDescent="0.6">
      <c r="A961" s="34">
        <v>961</v>
      </c>
      <c r="D961" s="23" t="str" cm="1">
        <f t="array" ref="D961">IFERROR([1]!CalculateHyphenString(C961),"")</f>
        <v/>
      </c>
      <c r="G961" s="26"/>
      <c r="H961" s="2"/>
      <c r="L961" s="21">
        <f t="shared" si="28"/>
        <v>0</v>
      </c>
      <c r="N961" s="21">
        <f t="shared" si="29"/>
        <v>0</v>
      </c>
      <c r="O961" s="2" cm="1">
        <f t="array" ref="O961:Q961">[1]!ConvertFeet(N961)</f>
        <v>0</v>
      </c>
      <c r="P961" s="2">
        <v>0</v>
      </c>
      <c r="Q961" s="2">
        <v>0</v>
      </c>
    </row>
    <row r="962" spans="1:17" x14ac:dyDescent="0.6">
      <c r="A962" s="35">
        <v>962</v>
      </c>
      <c r="D962" s="23" t="str" cm="1">
        <f t="array" ref="D962">IFERROR([1]!CalculateHyphenString(C962),"")</f>
        <v/>
      </c>
      <c r="G962" s="26"/>
      <c r="H962" s="2"/>
      <c r="L962" s="21">
        <f t="shared" si="28"/>
        <v>0</v>
      </c>
      <c r="N962" s="21">
        <f t="shared" si="29"/>
        <v>0</v>
      </c>
      <c r="O962" s="2" cm="1">
        <f t="array" ref="O962:Q962">[1]!ConvertFeet(N962)</f>
        <v>0</v>
      </c>
      <c r="P962" s="2">
        <v>0</v>
      </c>
      <c r="Q962" s="2">
        <v>0</v>
      </c>
    </row>
    <row r="963" spans="1:17" x14ac:dyDescent="0.6">
      <c r="A963" s="34">
        <v>963</v>
      </c>
      <c r="D963" s="23" t="str" cm="1">
        <f t="array" ref="D963">IFERROR([1]!CalculateHyphenString(C963),"")</f>
        <v/>
      </c>
      <c r="G963" s="26"/>
      <c r="H963" s="2"/>
      <c r="L963" s="21">
        <f t="shared" si="28"/>
        <v>0</v>
      </c>
      <c r="N963" s="21">
        <f t="shared" si="29"/>
        <v>0</v>
      </c>
      <c r="O963" s="2" cm="1">
        <f t="array" ref="O963:Q963">[1]!ConvertFeet(N963)</f>
        <v>0</v>
      </c>
      <c r="P963" s="2">
        <v>0</v>
      </c>
      <c r="Q963" s="2">
        <v>0</v>
      </c>
    </row>
    <row r="964" spans="1:17" x14ac:dyDescent="0.6">
      <c r="A964" s="35">
        <v>964</v>
      </c>
      <c r="D964" s="23" t="str" cm="1">
        <f t="array" ref="D964">IFERROR([1]!CalculateHyphenString(C964),"")</f>
        <v/>
      </c>
      <c r="G964" s="26"/>
      <c r="H964" s="2"/>
      <c r="L964" s="21">
        <f t="shared" si="28"/>
        <v>0</v>
      </c>
      <c r="N964" s="21">
        <f t="shared" si="29"/>
        <v>0</v>
      </c>
      <c r="O964" s="2" cm="1">
        <f t="array" ref="O964:Q964">[1]!ConvertFeet(N964)</f>
        <v>0</v>
      </c>
      <c r="P964" s="2">
        <v>0</v>
      </c>
      <c r="Q964" s="2">
        <v>0</v>
      </c>
    </row>
    <row r="965" spans="1:17" x14ac:dyDescent="0.6">
      <c r="A965" s="34">
        <v>965</v>
      </c>
      <c r="D965" s="23" t="str" cm="1">
        <f t="array" ref="D965">IFERROR([1]!CalculateHyphenString(C965),"")</f>
        <v/>
      </c>
      <c r="G965" s="26"/>
      <c r="H965" s="2"/>
      <c r="L965" s="21">
        <f t="shared" si="28"/>
        <v>0</v>
      </c>
      <c r="N965" s="21">
        <f t="shared" si="29"/>
        <v>0</v>
      </c>
      <c r="O965" s="2" cm="1">
        <f t="array" ref="O965:Q965">[1]!ConvertFeet(N965)</f>
        <v>0</v>
      </c>
      <c r="P965" s="2">
        <v>0</v>
      </c>
      <c r="Q965" s="2">
        <v>0</v>
      </c>
    </row>
    <row r="966" spans="1:17" x14ac:dyDescent="0.6">
      <c r="A966" s="35">
        <v>966</v>
      </c>
      <c r="D966" s="23" t="str" cm="1">
        <f t="array" ref="D966">IFERROR([1]!CalculateHyphenString(C966),"")</f>
        <v/>
      </c>
      <c r="G966" s="26"/>
      <c r="H966" s="2"/>
      <c r="L966" s="21">
        <f t="shared" si="28"/>
        <v>0</v>
      </c>
      <c r="N966" s="21">
        <f t="shared" si="29"/>
        <v>0</v>
      </c>
      <c r="O966" s="2" cm="1">
        <f t="array" ref="O966:Q966">[1]!ConvertFeet(N966)</f>
        <v>0</v>
      </c>
      <c r="P966" s="2">
        <v>0</v>
      </c>
      <c r="Q966" s="2">
        <v>0</v>
      </c>
    </row>
    <row r="967" spans="1:17" x14ac:dyDescent="0.6">
      <c r="A967" s="34">
        <v>967</v>
      </c>
      <c r="D967" s="23" t="str" cm="1">
        <f t="array" ref="D967">IFERROR([1]!CalculateHyphenString(C967),"")</f>
        <v/>
      </c>
      <c r="G967" s="26"/>
      <c r="H967" s="2"/>
      <c r="L967" s="21">
        <f t="shared" ref="L967:L1004" si="30">(K967*$G$3)/100</f>
        <v>0</v>
      </c>
      <c r="N967" s="21">
        <f t="shared" ref="N967:N1004" si="31">K967-(L967+M967)</f>
        <v>0</v>
      </c>
      <c r="O967" s="2" cm="1">
        <f t="array" ref="O967:Q967">[1]!ConvertFeet(N967)</f>
        <v>0</v>
      </c>
      <c r="P967" s="2">
        <v>0</v>
      </c>
      <c r="Q967" s="2">
        <v>0</v>
      </c>
    </row>
    <row r="968" spans="1:17" x14ac:dyDescent="0.6">
      <c r="A968" s="35">
        <v>968</v>
      </c>
      <c r="D968" s="23" t="str" cm="1">
        <f t="array" ref="D968">IFERROR([1]!CalculateHyphenString(C968),"")</f>
        <v/>
      </c>
      <c r="G968" s="26"/>
      <c r="H968" s="2"/>
      <c r="L968" s="21">
        <f t="shared" si="30"/>
        <v>0</v>
      </c>
      <c r="N968" s="21">
        <f t="shared" si="31"/>
        <v>0</v>
      </c>
      <c r="O968" s="2" cm="1">
        <f t="array" ref="O968:Q968">[1]!ConvertFeet(N968)</f>
        <v>0</v>
      </c>
      <c r="P968" s="2">
        <v>0</v>
      </c>
      <c r="Q968" s="2">
        <v>0</v>
      </c>
    </row>
    <row r="969" spans="1:17" x14ac:dyDescent="0.6">
      <c r="A969" s="34">
        <v>969</v>
      </c>
      <c r="D969" s="23" t="str" cm="1">
        <f t="array" ref="D969">IFERROR([1]!CalculateHyphenString(C969),"")</f>
        <v/>
      </c>
      <c r="G969" s="26"/>
      <c r="H969" s="2"/>
      <c r="L969" s="21">
        <f t="shared" si="30"/>
        <v>0</v>
      </c>
      <c r="N969" s="21">
        <f t="shared" si="31"/>
        <v>0</v>
      </c>
      <c r="O969" s="2" cm="1">
        <f t="array" ref="O969:Q969">[1]!ConvertFeet(N969)</f>
        <v>0</v>
      </c>
      <c r="P969" s="2">
        <v>0</v>
      </c>
      <c r="Q969" s="2">
        <v>0</v>
      </c>
    </row>
    <row r="970" spans="1:17" x14ac:dyDescent="0.6">
      <c r="A970" s="35">
        <v>970</v>
      </c>
      <c r="D970" s="23" t="str" cm="1">
        <f t="array" ref="D970">IFERROR([1]!CalculateHyphenString(C970),"")</f>
        <v/>
      </c>
      <c r="G970" s="26"/>
      <c r="H970" s="2"/>
      <c r="L970" s="21">
        <f t="shared" si="30"/>
        <v>0</v>
      </c>
      <c r="N970" s="21">
        <f t="shared" si="31"/>
        <v>0</v>
      </c>
      <c r="O970" s="2" cm="1">
        <f t="array" ref="O970:Q970">[1]!ConvertFeet(N970)</f>
        <v>0</v>
      </c>
      <c r="P970" s="2">
        <v>0</v>
      </c>
      <c r="Q970" s="2">
        <v>0</v>
      </c>
    </row>
    <row r="971" spans="1:17" x14ac:dyDescent="0.6">
      <c r="A971" s="34">
        <v>971</v>
      </c>
      <c r="D971" s="23" t="str" cm="1">
        <f t="array" ref="D971">IFERROR([1]!CalculateHyphenString(C971),"")</f>
        <v/>
      </c>
      <c r="G971" s="26"/>
      <c r="H971" s="2"/>
      <c r="L971" s="21">
        <f t="shared" si="30"/>
        <v>0</v>
      </c>
      <c r="N971" s="21">
        <f t="shared" si="31"/>
        <v>0</v>
      </c>
      <c r="O971" s="2" cm="1">
        <f t="array" ref="O971:Q971">[1]!ConvertFeet(N971)</f>
        <v>0</v>
      </c>
      <c r="P971" s="2">
        <v>0</v>
      </c>
      <c r="Q971" s="2">
        <v>0</v>
      </c>
    </row>
    <row r="972" spans="1:17" x14ac:dyDescent="0.6">
      <c r="A972" s="35">
        <v>972</v>
      </c>
      <c r="D972" s="23" t="str" cm="1">
        <f t="array" ref="D972">IFERROR([1]!CalculateHyphenString(C972),"")</f>
        <v/>
      </c>
      <c r="G972" s="26"/>
      <c r="H972" s="2"/>
      <c r="L972" s="21">
        <f t="shared" si="30"/>
        <v>0</v>
      </c>
      <c r="N972" s="21">
        <f t="shared" si="31"/>
        <v>0</v>
      </c>
      <c r="O972" s="2" cm="1">
        <f t="array" ref="O972:Q972">[1]!ConvertFeet(N972)</f>
        <v>0</v>
      </c>
      <c r="P972" s="2">
        <v>0</v>
      </c>
      <c r="Q972" s="2">
        <v>0</v>
      </c>
    </row>
    <row r="973" spans="1:17" x14ac:dyDescent="0.6">
      <c r="A973" s="34">
        <v>973</v>
      </c>
      <c r="D973" s="23" t="str" cm="1">
        <f t="array" ref="D973">IFERROR([1]!CalculateHyphenString(C973),"")</f>
        <v/>
      </c>
      <c r="G973" s="26"/>
      <c r="H973" s="2"/>
      <c r="L973" s="21">
        <f t="shared" si="30"/>
        <v>0</v>
      </c>
      <c r="N973" s="21">
        <f t="shared" si="31"/>
        <v>0</v>
      </c>
      <c r="O973" s="2" cm="1">
        <f t="array" ref="O973:Q973">[1]!ConvertFeet(N973)</f>
        <v>0</v>
      </c>
      <c r="P973" s="2">
        <v>0</v>
      </c>
      <c r="Q973" s="2">
        <v>0</v>
      </c>
    </row>
    <row r="974" spans="1:17" x14ac:dyDescent="0.6">
      <c r="A974" s="35">
        <v>974</v>
      </c>
      <c r="D974" s="23" t="str" cm="1">
        <f t="array" ref="D974">IFERROR([1]!CalculateHyphenString(C974),"")</f>
        <v/>
      </c>
      <c r="G974" s="26"/>
      <c r="H974" s="2"/>
      <c r="L974" s="21">
        <f t="shared" si="30"/>
        <v>0</v>
      </c>
      <c r="N974" s="21">
        <f t="shared" si="31"/>
        <v>0</v>
      </c>
      <c r="O974" s="2" cm="1">
        <f t="array" ref="O974:Q974">[1]!ConvertFeet(N974)</f>
        <v>0</v>
      </c>
      <c r="P974" s="2">
        <v>0</v>
      </c>
      <c r="Q974" s="2">
        <v>0</v>
      </c>
    </row>
    <row r="975" spans="1:17" x14ac:dyDescent="0.6">
      <c r="A975" s="34">
        <v>975</v>
      </c>
      <c r="D975" s="23" t="str" cm="1">
        <f t="array" ref="D975">IFERROR([1]!CalculateHyphenString(C975),"")</f>
        <v/>
      </c>
      <c r="G975" s="26"/>
      <c r="H975" s="2"/>
      <c r="L975" s="21">
        <f t="shared" si="30"/>
        <v>0</v>
      </c>
      <c r="N975" s="21">
        <f t="shared" si="31"/>
        <v>0</v>
      </c>
      <c r="O975" s="2" cm="1">
        <f t="array" ref="O975:Q975">[1]!ConvertFeet(N975)</f>
        <v>0</v>
      </c>
      <c r="P975" s="2">
        <v>0</v>
      </c>
      <c r="Q975" s="2">
        <v>0</v>
      </c>
    </row>
    <row r="976" spans="1:17" x14ac:dyDescent="0.6">
      <c r="A976" s="35">
        <v>976</v>
      </c>
      <c r="D976" s="23" t="str" cm="1">
        <f t="array" ref="D976">IFERROR([1]!CalculateHyphenString(C976),"")</f>
        <v/>
      </c>
      <c r="G976" s="26"/>
      <c r="H976" s="2"/>
      <c r="L976" s="21">
        <f t="shared" si="30"/>
        <v>0</v>
      </c>
      <c r="N976" s="21">
        <f t="shared" si="31"/>
        <v>0</v>
      </c>
      <c r="O976" s="2" cm="1">
        <f t="array" ref="O976:Q976">[1]!ConvertFeet(N976)</f>
        <v>0</v>
      </c>
      <c r="P976" s="2">
        <v>0</v>
      </c>
      <c r="Q976" s="2">
        <v>0</v>
      </c>
    </row>
    <row r="977" spans="1:17" x14ac:dyDescent="0.6">
      <c r="A977" s="34">
        <v>977</v>
      </c>
      <c r="D977" s="23" t="str" cm="1">
        <f t="array" ref="D977">IFERROR([1]!CalculateHyphenString(C977),"")</f>
        <v/>
      </c>
      <c r="G977" s="26"/>
      <c r="H977" s="2"/>
      <c r="L977" s="21">
        <f t="shared" si="30"/>
        <v>0</v>
      </c>
      <c r="N977" s="21">
        <f t="shared" si="31"/>
        <v>0</v>
      </c>
      <c r="O977" s="2" cm="1">
        <f t="array" ref="O977:Q977">[1]!ConvertFeet(N977)</f>
        <v>0</v>
      </c>
      <c r="P977" s="2">
        <v>0</v>
      </c>
      <c r="Q977" s="2">
        <v>0</v>
      </c>
    </row>
    <row r="978" spans="1:17" x14ac:dyDescent="0.6">
      <c r="A978" s="35">
        <v>978</v>
      </c>
      <c r="D978" s="23" t="str" cm="1">
        <f t="array" ref="D978">IFERROR([1]!CalculateHyphenString(C978),"")</f>
        <v/>
      </c>
      <c r="G978" s="26"/>
      <c r="H978" s="2"/>
      <c r="L978" s="21">
        <f t="shared" si="30"/>
        <v>0</v>
      </c>
      <c r="N978" s="21">
        <f t="shared" si="31"/>
        <v>0</v>
      </c>
      <c r="O978" s="2" cm="1">
        <f t="array" ref="O978:Q978">[1]!ConvertFeet(N978)</f>
        <v>0</v>
      </c>
      <c r="P978" s="2">
        <v>0</v>
      </c>
      <c r="Q978" s="2">
        <v>0</v>
      </c>
    </row>
    <row r="979" spans="1:17" x14ac:dyDescent="0.6">
      <c r="A979" s="34">
        <v>979</v>
      </c>
      <c r="D979" s="23" t="str" cm="1">
        <f t="array" ref="D979">IFERROR([1]!CalculateHyphenString(C979),"")</f>
        <v/>
      </c>
      <c r="G979" s="26"/>
      <c r="H979" s="2"/>
      <c r="L979" s="21">
        <f t="shared" si="30"/>
        <v>0</v>
      </c>
      <c r="N979" s="21">
        <f t="shared" si="31"/>
        <v>0</v>
      </c>
      <c r="O979" s="2" cm="1">
        <f t="array" ref="O979:Q979">[1]!ConvertFeet(N979)</f>
        <v>0</v>
      </c>
      <c r="P979" s="2">
        <v>0</v>
      </c>
      <c r="Q979" s="2">
        <v>0</v>
      </c>
    </row>
    <row r="980" spans="1:17" x14ac:dyDescent="0.6">
      <c r="A980" s="35">
        <v>980</v>
      </c>
      <c r="D980" s="23" t="str" cm="1">
        <f t="array" ref="D980">IFERROR([1]!CalculateHyphenString(C980),"")</f>
        <v/>
      </c>
      <c r="G980" s="26"/>
      <c r="H980" s="2"/>
      <c r="L980" s="21">
        <f t="shared" si="30"/>
        <v>0</v>
      </c>
      <c r="N980" s="21">
        <f t="shared" si="31"/>
        <v>0</v>
      </c>
      <c r="O980" s="2" cm="1">
        <f t="array" ref="O980:Q980">[1]!ConvertFeet(N980)</f>
        <v>0</v>
      </c>
      <c r="P980" s="2">
        <v>0</v>
      </c>
      <c r="Q980" s="2">
        <v>0</v>
      </c>
    </row>
    <row r="981" spans="1:17" x14ac:dyDescent="0.6">
      <c r="A981" s="34">
        <v>981</v>
      </c>
      <c r="D981" s="23" t="str" cm="1">
        <f t="array" ref="D981">IFERROR([1]!CalculateHyphenString(C981),"")</f>
        <v/>
      </c>
      <c r="G981" s="26"/>
      <c r="H981" s="2"/>
      <c r="L981" s="21">
        <f t="shared" si="30"/>
        <v>0</v>
      </c>
      <c r="N981" s="21">
        <f t="shared" si="31"/>
        <v>0</v>
      </c>
      <c r="O981" s="2" cm="1">
        <f t="array" ref="O981:Q981">[1]!ConvertFeet(N981)</f>
        <v>0</v>
      </c>
      <c r="P981" s="2">
        <v>0</v>
      </c>
      <c r="Q981" s="2">
        <v>0</v>
      </c>
    </row>
    <row r="982" spans="1:17" x14ac:dyDescent="0.6">
      <c r="A982" s="35">
        <v>982</v>
      </c>
      <c r="D982" s="23" t="str" cm="1">
        <f t="array" ref="D982">IFERROR([1]!CalculateHyphenString(C982),"")</f>
        <v/>
      </c>
      <c r="G982" s="26"/>
      <c r="H982" s="2"/>
      <c r="L982" s="21">
        <f t="shared" si="30"/>
        <v>0</v>
      </c>
      <c r="N982" s="21">
        <f t="shared" si="31"/>
        <v>0</v>
      </c>
      <c r="O982" s="2" cm="1">
        <f t="array" ref="O982:Q982">[1]!ConvertFeet(N982)</f>
        <v>0</v>
      </c>
      <c r="P982" s="2">
        <v>0</v>
      </c>
      <c r="Q982" s="2">
        <v>0</v>
      </c>
    </row>
    <row r="983" spans="1:17" x14ac:dyDescent="0.6">
      <c r="A983" s="34">
        <v>983</v>
      </c>
      <c r="D983" s="23" t="str" cm="1">
        <f t="array" ref="D983">IFERROR([1]!CalculateHyphenString(C983),"")</f>
        <v/>
      </c>
      <c r="G983" s="26"/>
      <c r="H983" s="2"/>
      <c r="L983" s="21">
        <f t="shared" si="30"/>
        <v>0</v>
      </c>
      <c r="N983" s="21">
        <f t="shared" si="31"/>
        <v>0</v>
      </c>
      <c r="O983" s="2" cm="1">
        <f t="array" ref="O983:Q983">[1]!ConvertFeet(N983)</f>
        <v>0</v>
      </c>
      <c r="P983" s="2">
        <v>0</v>
      </c>
      <c r="Q983" s="2">
        <v>0</v>
      </c>
    </row>
    <row r="984" spans="1:17" x14ac:dyDescent="0.6">
      <c r="A984" s="35">
        <v>984</v>
      </c>
      <c r="D984" s="23" t="str" cm="1">
        <f t="array" ref="D984">IFERROR([1]!CalculateHyphenString(C984),"")</f>
        <v/>
      </c>
      <c r="G984" s="26"/>
      <c r="H984" s="2"/>
      <c r="L984" s="21">
        <f t="shared" si="30"/>
        <v>0</v>
      </c>
      <c r="N984" s="21">
        <f t="shared" si="31"/>
        <v>0</v>
      </c>
      <c r="O984" s="2" cm="1">
        <f t="array" ref="O984:Q984">[1]!ConvertFeet(N984)</f>
        <v>0</v>
      </c>
      <c r="P984" s="2">
        <v>0</v>
      </c>
      <c r="Q984" s="2">
        <v>0</v>
      </c>
    </row>
    <row r="985" spans="1:17" x14ac:dyDescent="0.6">
      <c r="A985" s="34">
        <v>985</v>
      </c>
      <c r="D985" s="23" t="str" cm="1">
        <f t="array" ref="D985">IFERROR([1]!CalculateHyphenString(C985),"")</f>
        <v/>
      </c>
      <c r="G985" s="26"/>
      <c r="H985" s="2"/>
      <c r="L985" s="21">
        <f t="shared" si="30"/>
        <v>0</v>
      </c>
      <c r="N985" s="21">
        <f t="shared" si="31"/>
        <v>0</v>
      </c>
      <c r="O985" s="2" cm="1">
        <f t="array" ref="O985:Q985">[1]!ConvertFeet(N985)</f>
        <v>0</v>
      </c>
      <c r="P985" s="2">
        <v>0</v>
      </c>
      <c r="Q985" s="2">
        <v>0</v>
      </c>
    </row>
    <row r="986" spans="1:17" x14ac:dyDescent="0.6">
      <c r="A986" s="35">
        <v>986</v>
      </c>
      <c r="D986" s="23" t="str" cm="1">
        <f t="array" ref="D986">IFERROR([1]!CalculateHyphenString(C986),"")</f>
        <v/>
      </c>
      <c r="G986" s="26"/>
      <c r="H986" s="2"/>
      <c r="L986" s="21">
        <f t="shared" si="30"/>
        <v>0</v>
      </c>
      <c r="N986" s="21">
        <f t="shared" si="31"/>
        <v>0</v>
      </c>
      <c r="O986" s="2" cm="1">
        <f t="array" ref="O986:Q986">[1]!ConvertFeet(N986)</f>
        <v>0</v>
      </c>
      <c r="P986" s="2">
        <v>0</v>
      </c>
      <c r="Q986" s="2">
        <v>0</v>
      </c>
    </row>
    <row r="987" spans="1:17" x14ac:dyDescent="0.6">
      <c r="A987" s="34">
        <v>987</v>
      </c>
      <c r="D987" s="23" t="str" cm="1">
        <f t="array" ref="D987">IFERROR([1]!CalculateHyphenString(C987),"")</f>
        <v/>
      </c>
      <c r="G987" s="26"/>
      <c r="H987" s="2"/>
      <c r="L987" s="21">
        <f t="shared" si="30"/>
        <v>0</v>
      </c>
      <c r="N987" s="21">
        <f t="shared" si="31"/>
        <v>0</v>
      </c>
      <c r="O987" s="2" cm="1">
        <f t="array" ref="O987:Q987">[1]!ConvertFeet(N987)</f>
        <v>0</v>
      </c>
      <c r="P987" s="2">
        <v>0</v>
      </c>
      <c r="Q987" s="2">
        <v>0</v>
      </c>
    </row>
    <row r="988" spans="1:17" x14ac:dyDescent="0.6">
      <c r="A988" s="35">
        <v>988</v>
      </c>
      <c r="D988" s="23" t="str" cm="1">
        <f t="array" ref="D988">IFERROR([1]!CalculateHyphenString(C988),"")</f>
        <v/>
      </c>
      <c r="G988" s="26"/>
      <c r="H988" s="2"/>
      <c r="L988" s="21">
        <f t="shared" si="30"/>
        <v>0</v>
      </c>
      <c r="N988" s="21">
        <f t="shared" si="31"/>
        <v>0</v>
      </c>
      <c r="O988" s="2" cm="1">
        <f t="array" ref="O988:Q988">[1]!ConvertFeet(N988)</f>
        <v>0</v>
      </c>
      <c r="P988" s="2">
        <v>0</v>
      </c>
      <c r="Q988" s="2">
        <v>0</v>
      </c>
    </row>
    <row r="989" spans="1:17" x14ac:dyDescent="0.6">
      <c r="A989" s="34">
        <v>989</v>
      </c>
      <c r="D989" s="23" t="str" cm="1">
        <f t="array" ref="D989">IFERROR([1]!CalculateHyphenString(C989),"")</f>
        <v/>
      </c>
      <c r="G989" s="26"/>
      <c r="H989" s="2"/>
      <c r="L989" s="21">
        <f t="shared" si="30"/>
        <v>0</v>
      </c>
      <c r="N989" s="21">
        <f t="shared" si="31"/>
        <v>0</v>
      </c>
      <c r="O989" s="2" cm="1">
        <f t="array" ref="O989:Q989">[1]!ConvertFeet(N989)</f>
        <v>0</v>
      </c>
      <c r="P989" s="2">
        <v>0</v>
      </c>
      <c r="Q989" s="2">
        <v>0</v>
      </c>
    </row>
    <row r="990" spans="1:17" x14ac:dyDescent="0.6">
      <c r="A990" s="35">
        <v>990</v>
      </c>
      <c r="D990" s="23" t="str" cm="1">
        <f t="array" ref="D990">IFERROR([1]!CalculateHyphenString(C990),"")</f>
        <v/>
      </c>
      <c r="G990" s="26"/>
      <c r="H990" s="2"/>
      <c r="L990" s="21">
        <f t="shared" si="30"/>
        <v>0</v>
      </c>
      <c r="N990" s="21">
        <f t="shared" si="31"/>
        <v>0</v>
      </c>
      <c r="O990" s="2" cm="1">
        <f t="array" ref="O990:Q990">[1]!ConvertFeet(N990)</f>
        <v>0</v>
      </c>
      <c r="P990" s="2">
        <v>0</v>
      </c>
      <c r="Q990" s="2">
        <v>0</v>
      </c>
    </row>
    <row r="991" spans="1:17" x14ac:dyDescent="0.6">
      <c r="A991" s="34">
        <v>991</v>
      </c>
      <c r="D991" s="23" t="str" cm="1">
        <f t="array" ref="D991">IFERROR([1]!CalculateHyphenString(C991),"")</f>
        <v/>
      </c>
      <c r="G991" s="26"/>
      <c r="H991" s="2"/>
      <c r="L991" s="21">
        <f t="shared" si="30"/>
        <v>0</v>
      </c>
      <c r="N991" s="21">
        <f t="shared" si="31"/>
        <v>0</v>
      </c>
      <c r="O991" s="2" cm="1">
        <f t="array" ref="O991:Q991">[1]!ConvertFeet(N991)</f>
        <v>0</v>
      </c>
      <c r="P991" s="2">
        <v>0</v>
      </c>
      <c r="Q991" s="2">
        <v>0</v>
      </c>
    </row>
    <row r="992" spans="1:17" x14ac:dyDescent="0.6">
      <c r="A992" s="35">
        <v>992</v>
      </c>
      <c r="D992" s="23" t="str" cm="1">
        <f t="array" ref="D992">IFERROR([1]!CalculateHyphenString(C992),"")</f>
        <v/>
      </c>
      <c r="G992" s="26"/>
      <c r="H992" s="2"/>
      <c r="L992" s="21">
        <f t="shared" si="30"/>
        <v>0</v>
      </c>
      <c r="N992" s="21">
        <f t="shared" si="31"/>
        <v>0</v>
      </c>
      <c r="O992" s="2" cm="1">
        <f t="array" ref="O992:Q992">[1]!ConvertFeet(N992)</f>
        <v>0</v>
      </c>
      <c r="P992" s="2">
        <v>0</v>
      </c>
      <c r="Q992" s="2">
        <v>0</v>
      </c>
    </row>
    <row r="993" spans="1:17" x14ac:dyDescent="0.6">
      <c r="A993" s="34">
        <v>993</v>
      </c>
      <c r="D993" s="23" t="str" cm="1">
        <f t="array" ref="D993">IFERROR([1]!CalculateHyphenString(C993),"")</f>
        <v/>
      </c>
      <c r="G993" s="26"/>
      <c r="H993" s="2"/>
      <c r="L993" s="21">
        <f t="shared" si="30"/>
        <v>0</v>
      </c>
      <c r="N993" s="21">
        <f t="shared" si="31"/>
        <v>0</v>
      </c>
      <c r="O993" s="2" cm="1">
        <f t="array" ref="O993:Q993">[1]!ConvertFeet(N993)</f>
        <v>0</v>
      </c>
      <c r="P993" s="2">
        <v>0</v>
      </c>
      <c r="Q993" s="2">
        <v>0</v>
      </c>
    </row>
    <row r="994" spans="1:17" x14ac:dyDescent="0.6">
      <c r="A994" s="35">
        <v>994</v>
      </c>
      <c r="D994" s="23" t="str" cm="1">
        <f t="array" ref="D994">IFERROR([1]!CalculateHyphenString(C994),"")</f>
        <v/>
      </c>
      <c r="G994" s="26"/>
      <c r="H994" s="2"/>
      <c r="L994" s="21">
        <f t="shared" si="30"/>
        <v>0</v>
      </c>
      <c r="N994" s="21">
        <f t="shared" si="31"/>
        <v>0</v>
      </c>
      <c r="O994" s="2" cm="1">
        <f t="array" ref="O994:Q994">[1]!ConvertFeet(N994)</f>
        <v>0</v>
      </c>
      <c r="P994" s="2">
        <v>0</v>
      </c>
      <c r="Q994" s="2">
        <v>0</v>
      </c>
    </row>
    <row r="995" spans="1:17" x14ac:dyDescent="0.6">
      <c r="A995" s="34">
        <v>995</v>
      </c>
      <c r="D995" s="23" t="str" cm="1">
        <f t="array" ref="D995">IFERROR([1]!CalculateHyphenString(C995),"")</f>
        <v/>
      </c>
      <c r="G995" s="26"/>
      <c r="H995" s="2"/>
      <c r="L995" s="21">
        <f t="shared" si="30"/>
        <v>0</v>
      </c>
      <c r="N995" s="21">
        <f t="shared" si="31"/>
        <v>0</v>
      </c>
      <c r="O995" s="2" cm="1">
        <f t="array" ref="O995:Q995">[1]!ConvertFeet(N995)</f>
        <v>0</v>
      </c>
      <c r="P995" s="2">
        <v>0</v>
      </c>
      <c r="Q995" s="2">
        <v>0</v>
      </c>
    </row>
    <row r="996" spans="1:17" x14ac:dyDescent="0.6">
      <c r="A996" s="35">
        <v>996</v>
      </c>
      <c r="D996" s="23" t="str" cm="1">
        <f t="array" ref="D996">IFERROR([1]!CalculateHyphenString(C996),"")</f>
        <v/>
      </c>
      <c r="G996" s="26"/>
      <c r="H996" s="2"/>
      <c r="L996" s="21">
        <f t="shared" si="30"/>
        <v>0</v>
      </c>
      <c r="N996" s="21">
        <f t="shared" si="31"/>
        <v>0</v>
      </c>
      <c r="O996" s="2" cm="1">
        <f t="array" ref="O996:Q996">[1]!ConvertFeet(N996)</f>
        <v>0</v>
      </c>
      <c r="P996" s="2">
        <v>0</v>
      </c>
      <c r="Q996" s="2">
        <v>0</v>
      </c>
    </row>
    <row r="997" spans="1:17" x14ac:dyDescent="0.6">
      <c r="A997" s="34">
        <v>997</v>
      </c>
      <c r="D997" s="23" t="str" cm="1">
        <f t="array" ref="D997">IFERROR([1]!CalculateHyphenString(C997),"")</f>
        <v/>
      </c>
      <c r="G997" s="26"/>
      <c r="H997" s="2"/>
      <c r="L997" s="21">
        <f t="shared" si="30"/>
        <v>0</v>
      </c>
      <c r="N997" s="21">
        <f t="shared" si="31"/>
        <v>0</v>
      </c>
      <c r="O997" s="2" cm="1">
        <f t="array" ref="O997:Q997">[1]!ConvertFeet(N997)</f>
        <v>0</v>
      </c>
      <c r="P997" s="2">
        <v>0</v>
      </c>
      <c r="Q997" s="2">
        <v>0</v>
      </c>
    </row>
    <row r="998" spans="1:17" x14ac:dyDescent="0.6">
      <c r="A998" s="35">
        <v>998</v>
      </c>
      <c r="D998" s="23" t="str" cm="1">
        <f t="array" ref="D998">IFERROR([1]!CalculateHyphenString(C998),"")</f>
        <v/>
      </c>
      <c r="G998" s="26"/>
      <c r="H998" s="2"/>
      <c r="L998" s="21">
        <f t="shared" si="30"/>
        <v>0</v>
      </c>
      <c r="N998" s="21">
        <f t="shared" si="31"/>
        <v>0</v>
      </c>
      <c r="O998" s="2" cm="1">
        <f t="array" ref="O998:Q998">[1]!ConvertFeet(N998)</f>
        <v>0</v>
      </c>
      <c r="P998" s="2">
        <v>0</v>
      </c>
      <c r="Q998" s="2">
        <v>0</v>
      </c>
    </row>
    <row r="999" spans="1:17" x14ac:dyDescent="0.6">
      <c r="A999" s="34">
        <v>999</v>
      </c>
      <c r="D999" s="23" t="str" cm="1">
        <f t="array" ref="D999">IFERROR([1]!CalculateHyphenString(C999),"")</f>
        <v/>
      </c>
      <c r="G999" s="26"/>
      <c r="H999" s="2"/>
      <c r="L999" s="21">
        <f t="shared" si="30"/>
        <v>0</v>
      </c>
      <c r="N999" s="21">
        <f t="shared" si="31"/>
        <v>0</v>
      </c>
      <c r="O999" s="2" cm="1">
        <f t="array" ref="O999:Q999">[1]!ConvertFeet(N999)</f>
        <v>0</v>
      </c>
      <c r="P999" s="2">
        <v>0</v>
      </c>
      <c r="Q999" s="2">
        <v>0</v>
      </c>
    </row>
    <row r="1000" spans="1:17" x14ac:dyDescent="0.6">
      <c r="A1000" s="35">
        <v>1000</v>
      </c>
      <c r="D1000" s="23" t="str" cm="1">
        <f t="array" ref="D1000">IFERROR([1]!CalculateHyphenString(C1000),"")</f>
        <v/>
      </c>
      <c r="G1000" s="26"/>
      <c r="H1000" s="2"/>
      <c r="L1000" s="21">
        <f t="shared" si="30"/>
        <v>0</v>
      </c>
      <c r="N1000" s="21">
        <f t="shared" si="31"/>
        <v>0</v>
      </c>
      <c r="O1000" s="2" cm="1">
        <f t="array" ref="O1000:Q1000">[1]!ConvertFeet(N1000)</f>
        <v>0</v>
      </c>
      <c r="P1000" s="2">
        <v>0</v>
      </c>
      <c r="Q1000" s="2">
        <v>0</v>
      </c>
    </row>
    <row r="1001" spans="1:17" x14ac:dyDescent="0.6">
      <c r="A1001" s="34">
        <v>1001</v>
      </c>
      <c r="D1001" s="23" t="str" cm="1">
        <f t="array" ref="D1001">IFERROR([1]!CalculateHyphenString(C1001),"")</f>
        <v/>
      </c>
      <c r="G1001" s="26"/>
      <c r="H1001" s="2"/>
      <c r="L1001" s="21">
        <f t="shared" si="30"/>
        <v>0</v>
      </c>
      <c r="N1001" s="21">
        <f t="shared" si="31"/>
        <v>0</v>
      </c>
      <c r="O1001" s="2" cm="1">
        <f t="array" ref="O1001:Q1001">[1]!ConvertFeet(N1001)</f>
        <v>0</v>
      </c>
      <c r="P1001" s="2">
        <v>0</v>
      </c>
      <c r="Q1001" s="2">
        <v>0</v>
      </c>
    </row>
    <row r="1002" spans="1:17" x14ac:dyDescent="0.6">
      <c r="A1002" s="35">
        <v>1002</v>
      </c>
      <c r="D1002" s="23" t="str" cm="1">
        <f t="array" ref="D1002">IFERROR([1]!CalculateHyphenString(C1002),"")</f>
        <v/>
      </c>
      <c r="G1002" s="26"/>
      <c r="H1002" s="2"/>
      <c r="L1002" s="21">
        <f t="shared" si="30"/>
        <v>0</v>
      </c>
      <c r="N1002" s="21">
        <f t="shared" si="31"/>
        <v>0</v>
      </c>
      <c r="O1002" s="2" cm="1">
        <f t="array" ref="O1002:Q1002">[1]!ConvertFeet(N1002)</f>
        <v>0</v>
      </c>
      <c r="P1002" s="2">
        <v>0</v>
      </c>
      <c r="Q1002" s="2">
        <v>0</v>
      </c>
    </row>
    <row r="1003" spans="1:17" x14ac:dyDescent="0.6">
      <c r="A1003" s="34">
        <v>1003</v>
      </c>
      <c r="D1003" s="23" t="str" cm="1">
        <f t="array" ref="D1003">IFERROR([1]!CalculateHyphenString(C1003),"")</f>
        <v/>
      </c>
      <c r="G1003" s="26"/>
      <c r="H1003" s="2"/>
      <c r="L1003" s="21">
        <f t="shared" si="30"/>
        <v>0</v>
      </c>
      <c r="N1003" s="21">
        <f t="shared" si="31"/>
        <v>0</v>
      </c>
      <c r="O1003" s="2" cm="1">
        <f t="array" ref="O1003:Q1003">[1]!ConvertFeet(N1003)</f>
        <v>0</v>
      </c>
      <c r="P1003" s="2">
        <v>0</v>
      </c>
      <c r="Q1003" s="2">
        <v>0</v>
      </c>
    </row>
    <row r="1004" spans="1:17" x14ac:dyDescent="0.6">
      <c r="A1004" s="35">
        <v>1004</v>
      </c>
      <c r="D1004" s="23" t="str" cm="1">
        <f t="array" ref="D1004">IFERROR([1]!CalculateHyphenString(C1004),"")</f>
        <v/>
      </c>
      <c r="G1004" s="26"/>
      <c r="H1004" s="2"/>
      <c r="L1004" s="21">
        <f t="shared" si="30"/>
        <v>0</v>
      </c>
      <c r="N1004" s="21">
        <f t="shared" si="31"/>
        <v>0</v>
      </c>
      <c r="O1004" s="2" cm="1">
        <f t="array" ref="O1004:Q1004">[1]!ConvertFeet(N1004)</f>
        <v>0</v>
      </c>
      <c r="P1004" s="2">
        <v>0</v>
      </c>
      <c r="Q1004" s="2">
        <v>0</v>
      </c>
    </row>
    <row r="1005" spans="1:17" s="3" customFormat="1" x14ac:dyDescent="0.6">
      <c r="B1005" s="14"/>
      <c r="C1005" s="14"/>
      <c r="D1005" s="5"/>
      <c r="I1005" s="20"/>
      <c r="K1005" s="4"/>
      <c r="L1005" s="4"/>
    </row>
  </sheetData>
  <sheetProtection algorithmName="SHA-512" hashValue="8rEj04h3iDEC2lDoXoxJjF9OCz6hYms3/85YMdgIGsfQyuimitjSbSgbZ/276KkubJjwBQuHjI49nRDv1hIH4Q==" saltValue="K31DNQWa0wnDYiHVwrFzyg==" spinCount="100000" sheet="1" objects="1" scenarios="1"/>
  <protectedRanges>
    <protectedRange sqref="C4" name="Range11"/>
    <protectedRange sqref="R1:XFD1048576" name="Range10"/>
    <protectedRange sqref="B8:C1048576" name="Range8"/>
    <protectedRange sqref="O4:P4" name="Range7"/>
    <protectedRange sqref="L4" name="Range6"/>
    <protectedRange sqref="H4" name="Range5"/>
    <protectedRange sqref="C3" name="Range4"/>
    <protectedRange sqref="J1:L2" name="Range3"/>
    <protectedRange sqref="G1" name="Range2"/>
    <protectedRange sqref="C1:E1" name="Range1"/>
    <protectedRange sqref="H6:K1004 M6:M1004" name="Range9"/>
  </protectedRange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65F61-DAE6-4371-A6BA-D10FE09F5299}">
  <dimension ref="A1:K1001"/>
  <sheetViews>
    <sheetView tabSelected="1" topLeftCell="C1" zoomScaleNormal="100" workbookViewId="0">
      <selection activeCell="M4" sqref="M4"/>
    </sheetView>
  </sheetViews>
  <sheetFormatPr defaultRowHeight="24" x14ac:dyDescent="0.6"/>
  <cols>
    <col min="1" max="2" width="0" hidden="1" customWidth="1"/>
    <col min="3" max="3" width="9.5703125" bestFit="1" customWidth="1"/>
    <col min="4" max="4" width="11.140625" customWidth="1"/>
    <col min="6" max="6" width="50.7109375" style="19" customWidth="1"/>
  </cols>
  <sheetData>
    <row r="1" spans="1:11" s="2" customFormat="1" ht="72" x14ac:dyDescent="0.6">
      <c r="A1" s="2">
        <v>6</v>
      </c>
      <c r="B1" s="2">
        <v>1</v>
      </c>
      <c r="C1" s="9" t="s">
        <v>37</v>
      </c>
      <c r="D1" s="6" t="str">
        <f>IFERROR(VLOOKUP($B1,Q,3,FALSE),"")</f>
        <v>Kisran</v>
      </c>
      <c r="E1" s="9" t="s">
        <v>35</v>
      </c>
      <c r="F1" s="36">
        <f ca="1">IFERROR(VLOOKUP($B1,Q,7,FALSE),"")</f>
        <v>45679</v>
      </c>
      <c r="G1" s="10" t="s">
        <v>40</v>
      </c>
      <c r="H1" s="11">
        <f>IFERROR(VLOOKUP($A1,Q,4,FALSE),"")</f>
        <v>5</v>
      </c>
      <c r="I1" s="11">
        <f>IFERROR(VLOOKUP($A1,Q,5,FALSE),"")</f>
        <v>4</v>
      </c>
      <c r="J1" s="11">
        <f>IFERROR(VLOOKUP($A1,Q,6,FALSE),"")</f>
        <v>0</v>
      </c>
    </row>
    <row r="2" spans="1:11" s="2" customFormat="1" ht="48" x14ac:dyDescent="0.6">
      <c r="B2" s="2">
        <v>4</v>
      </c>
      <c r="C2" s="9" t="s">
        <v>38</v>
      </c>
      <c r="D2" s="2">
        <f>IFERROR(VLOOKUP($B2,Q,3,FALSE),"")</f>
        <v>2</v>
      </c>
      <c r="E2" s="9" t="s">
        <v>39</v>
      </c>
      <c r="F2" s="10" t="s">
        <v>41</v>
      </c>
      <c r="G2" s="9" t="s">
        <v>42</v>
      </c>
      <c r="H2" s="9" t="s">
        <v>43</v>
      </c>
      <c r="I2" s="9" t="s">
        <v>44</v>
      </c>
      <c r="J2" s="9" t="s">
        <v>45</v>
      </c>
      <c r="K2" s="9" t="s">
        <v>46</v>
      </c>
    </row>
    <row r="3" spans="1:11" s="2" customFormat="1" x14ac:dyDescent="0.6">
      <c r="B3" s="2">
        <v>6</v>
      </c>
      <c r="E3" s="2">
        <f>IF(VLOOKUP($B3,Q,8,FALSE)=0,"",(VLOOKUP($B3,Q,8,FALSE)))</f>
        <v>1</v>
      </c>
      <c r="F3" s="19" t="str">
        <f>IF(VLOOKUP($B3,Q,9,FALSE)=0,"",(VLOOKUP($B3,Q,9,FALSE)))</f>
        <v>Sardar Kamal</v>
      </c>
      <c r="G3" s="2" t="str">
        <f>IF(VLOOKUP($B3,Q,10,FALSE)=0,"",(VLOOKUP($B3,Q,10,FALSE)))</f>
        <v/>
      </c>
      <c r="H3" s="2">
        <f>IF(VLOOKUP($B3,Q,14,FALSE)=0,"",(VLOOKUP($B3,Q,14,FALSE)))</f>
        <v>3367.6190476190477</v>
      </c>
      <c r="I3" s="2">
        <f>IF(VLOOKUP($B3,Q,14,FALSE)=0,"",(VLOOKUP($B3,Q,15,FALSE)))</f>
        <v>0</v>
      </c>
      <c r="J3" s="2">
        <f>IF(VLOOKUP($B3,Q,14,FALSE)=0,"",(VLOOKUP($B3,Q,16,FALSE)))</f>
        <v>12</v>
      </c>
      <c r="K3" s="2">
        <f>IF(VLOOKUP($B3,Q,14,FALSE)=0,"",(VLOOKUP($B3,Q,17,FALSE)))</f>
        <v>104</v>
      </c>
    </row>
    <row r="4" spans="1:11" x14ac:dyDescent="0.6">
      <c r="B4" s="2">
        <v>7</v>
      </c>
      <c r="C4" s="2" t="str">
        <f>IFERROR(VLOOKUP($B4,Q,2,FALSE),"")</f>
        <v>Kharsa NO</v>
      </c>
      <c r="D4" s="2" t="str">
        <f>IFERROR(VLOOKUP($B4,Q,3,FALSE),"")</f>
        <v>Khasra Area</v>
      </c>
      <c r="E4" s="2">
        <f>IF(VLOOKUP($B4,Q,8,FALSE)=0,"",(VLOOKUP($B4,Q,8,FALSE)))</f>
        <v>2</v>
      </c>
      <c r="F4" s="19" t="str">
        <f>IF(VLOOKUP($B4,Q,9,FALSE)=0,"",(VLOOKUP($B4,Q,9,FALSE)))</f>
        <v>Navid Khan</v>
      </c>
      <c r="G4" s="2" t="str">
        <f>IF(VLOOKUP($B4,Q,10,FALSE)=0,"",(VLOOKUP($B4,Q,10,FALSE)))</f>
        <v/>
      </c>
      <c r="H4" s="2">
        <f>IF(VLOOKUP($B4,Q,14,FALSE)=0,"",(VLOOKUP($B4,Q,14,FALSE)))</f>
        <v>1683.8095238095239</v>
      </c>
      <c r="I4" s="2">
        <f>IF(VLOOKUP($B4,Q,14,FALSE)=0,"",(VLOOKUP($B4,Q,15,FALSE)))</f>
        <v>0</v>
      </c>
      <c r="J4" s="2">
        <f>IF(VLOOKUP($B4,Q,14,FALSE)=0,"",(VLOOKUP($B4,Q,16,FALSE)))</f>
        <v>6</v>
      </c>
      <c r="K4" s="2">
        <f>IF(VLOOKUP($B4,Q,14,FALSE)=0,"",(VLOOKUP($B4,Q,17,FALSE)))</f>
        <v>52</v>
      </c>
    </row>
    <row r="5" spans="1:11" x14ac:dyDescent="0.6">
      <c r="B5" s="2">
        <v>8</v>
      </c>
      <c r="C5" s="2">
        <f>IF(VLOOKUP($B5,Q,2,FALSE)=0,"",(VLOOKUP($B5,Q,2,FALSE)))</f>
        <v>1234</v>
      </c>
      <c r="D5" s="2" t="str">
        <f>IF(VLOOKUP($B5,Q,3,FALSE)=0,"",(VLOOKUP($B5,Q,3,FALSE)))</f>
        <v>2-1-0</v>
      </c>
      <c r="E5" s="2">
        <f>IF(VLOOKUP($B5,Q,8,FALSE)=0,"",(VLOOKUP($B5,Q,8,FALSE)))</f>
        <v>3</v>
      </c>
      <c r="F5" s="19" t="str">
        <f>IF(VLOOKUP($B5,Q,9,FALSE)=0,"",(VLOOKUP($B5,Q,9,FALSE)))</f>
        <v>Shair Khan</v>
      </c>
      <c r="G5" s="2" t="str">
        <f>IF(VLOOKUP($B5,Q,10,FALSE)=0,"",(VLOOKUP($B5,Q,10,FALSE)))</f>
        <v/>
      </c>
      <c r="H5" s="2">
        <f>IF(VLOOKUP($B5,Q,14,FALSE)=0,"",(VLOOKUP($B5,Q,14,FALSE)))</f>
        <v>6735.2380952380954</v>
      </c>
      <c r="I5" s="2">
        <f>IF(VLOOKUP($B5,Q,14,FALSE)=0,"",(VLOOKUP($B5,Q,15,FALSE)))</f>
        <v>1</v>
      </c>
      <c r="J5" s="2">
        <f>IF(VLOOKUP($B5,Q,14,FALSE)=0,"",(VLOOKUP($B5,Q,16,FALSE)))</f>
        <v>4</v>
      </c>
      <c r="K5" s="2">
        <f>IF(VLOOKUP($B5,Q,14,FALSE)=0,"",(VLOOKUP($B5,Q,17,FALSE)))</f>
        <v>207</v>
      </c>
    </row>
    <row r="6" spans="1:11" x14ac:dyDescent="0.6">
      <c r="B6" s="1">
        <v>9</v>
      </c>
      <c r="C6" s="2">
        <f>IF(VLOOKUP($B6,Q,2,FALSE)=0,"",(VLOOKUP($B6,Q,2,FALSE)))</f>
        <v>1235</v>
      </c>
      <c r="D6" s="2" t="str">
        <f>IF(VLOOKUP($B6,Q,3,FALSE)=0,"",(VLOOKUP($B6,Q,3,FALSE)))</f>
        <v>2-2-0</v>
      </c>
      <c r="E6" s="2">
        <f>IF(VLOOKUP($B6,Q,8,FALSE)=0,"",(VLOOKUP($B6,Q,8,FALSE)))</f>
        <v>4</v>
      </c>
      <c r="F6" s="19" t="str">
        <f>IF(VLOOKUP($B6,Q,9,FALSE)=0,"",(VLOOKUP($B6,Q,9,FALSE)))</f>
        <v>Jamil Khan</v>
      </c>
      <c r="G6" s="2" t="str">
        <f>IF(VLOOKUP($B6,Q,10,FALSE)=0,"",(VLOOKUP($B6,Q,10,FALSE)))</f>
        <v/>
      </c>
      <c r="H6" s="2">
        <f>IF(VLOOKUP($B6,Q,14,FALSE)=0,"",(VLOOKUP($B6,Q,14,FALSE)))</f>
        <v>1683.8095238095239</v>
      </c>
      <c r="I6" s="2">
        <f>IF(VLOOKUP($B6,Q,14,FALSE)=0,"",(VLOOKUP($B6,Q,15,FALSE)))</f>
        <v>0</v>
      </c>
      <c r="J6" s="2">
        <f>IF(VLOOKUP($B6,Q,14,FALSE)=0,"",(VLOOKUP($B6,Q,16,FALSE)))</f>
        <v>6</v>
      </c>
      <c r="K6" s="2">
        <f>IF(VLOOKUP($B6,Q,14,FALSE)=0,"",(VLOOKUP($B6,Q,17,FALSE)))</f>
        <v>52</v>
      </c>
    </row>
    <row r="7" spans="1:11" x14ac:dyDescent="0.6">
      <c r="B7" s="1">
        <v>10</v>
      </c>
      <c r="C7" s="2">
        <f>IF(VLOOKUP($B7,Q,2,FALSE)=0,"",(VLOOKUP($B7,Q,2,FALSE)))</f>
        <v>1260</v>
      </c>
      <c r="D7" s="2" t="str">
        <f>IF(VLOOKUP($B7,Q,3,FALSE)=0,"",(VLOOKUP($B7,Q,3,FALSE)))</f>
        <v>1-1-0</v>
      </c>
      <c r="E7" s="2">
        <f>IF(VLOOKUP($B7,Q,8,FALSE)=0,"",(VLOOKUP($B7,Q,8,FALSE)))</f>
        <v>5</v>
      </c>
      <c r="F7" s="19" t="str">
        <f>IF(VLOOKUP($B7,Q,9,FALSE)=0,"",(VLOOKUP($B7,Q,9,FALSE)))</f>
        <v>Noor Zaman</v>
      </c>
      <c r="G7" s="2" t="str">
        <f>IF(VLOOKUP($B7,Q,10,FALSE)=0,"",(VLOOKUP($B7,Q,10,FALSE)))</f>
        <v/>
      </c>
      <c r="H7" s="2">
        <f>IF(VLOOKUP($B7,Q,14,FALSE)=0,"",(VLOOKUP($B7,Q,14,FALSE)))</f>
        <v>673.52380952380952</v>
      </c>
      <c r="I7" s="2">
        <f>IF(VLOOKUP($B7,Q,14,FALSE)=0,"",(VLOOKUP($B7,Q,15,FALSE)))</f>
        <v>0</v>
      </c>
      <c r="J7" s="2">
        <f>IF(VLOOKUP($B7,Q,14,FALSE)=0,"",(VLOOKUP($B7,Q,16,FALSE)))</f>
        <v>2</v>
      </c>
      <c r="K7" s="2">
        <f>IF(VLOOKUP($B7,Q,14,FALSE)=0,"",(VLOOKUP($B7,Q,17,FALSE)))</f>
        <v>130</v>
      </c>
    </row>
    <row r="8" spans="1:11" x14ac:dyDescent="0.6">
      <c r="B8" s="1">
        <v>11</v>
      </c>
      <c r="C8" s="2" t="str">
        <f>IF(VLOOKUP($B8,Q,2,FALSE)=0,"",(VLOOKUP($B8,Q,2,FALSE)))</f>
        <v/>
      </c>
      <c r="D8" s="2" t="str">
        <f>IF(VLOOKUP($B8,Q,3,FALSE)=0,"",(VLOOKUP($B8,Q,3,FALSE)))</f>
        <v/>
      </c>
      <c r="E8" s="2">
        <f>IF(VLOOKUP($B8,Q,8,FALSE)=0,"",(VLOOKUP($B8,Q,8,FALSE)))</f>
        <v>6</v>
      </c>
      <c r="F8" s="19" t="str">
        <f>IF(VLOOKUP($B8,Q,9,FALSE)=0,"",(VLOOKUP($B8,Q,9,FALSE)))</f>
        <v>Jawad Ahmad</v>
      </c>
      <c r="G8" s="2" t="str">
        <f>IF(VLOOKUP($B8,Q,10,FALSE)=0,"",(VLOOKUP($B8,Q,10,FALSE)))</f>
        <v/>
      </c>
      <c r="H8" s="2">
        <f>IF(VLOOKUP($B8,Q,14,FALSE)=0,"",(VLOOKUP($B8,Q,14,FALSE)))</f>
        <v>14144</v>
      </c>
      <c r="I8" s="2">
        <f>IF(VLOOKUP($B8,Q,14,FALSE)=0,"",(VLOOKUP($B8,Q,15,FALSE)))</f>
        <v>2</v>
      </c>
      <c r="J8" s="2">
        <f>IF(VLOOKUP($B8,Q,14,FALSE)=0,"",(VLOOKUP($B8,Q,16,FALSE)))</f>
        <v>12</v>
      </c>
      <c r="K8" s="2">
        <f>IF(VLOOKUP($B8,Q,14,FALSE)=0,"",(VLOOKUP($B8,Q,17,FALSE)))</f>
        <v>0</v>
      </c>
    </row>
    <row r="9" spans="1:11" x14ac:dyDescent="0.6">
      <c r="B9" s="1">
        <v>12</v>
      </c>
      <c r="C9" s="2" t="str">
        <f>IF(VLOOKUP($B9,Q,2,FALSE)=0,"",(VLOOKUP($B9,Q,2,FALSE)))</f>
        <v/>
      </c>
      <c r="D9" s="2" t="str">
        <f>IF(VLOOKUP($B9,Q,3,FALSE)=0,"",(VLOOKUP($B9,Q,3,FALSE)))</f>
        <v/>
      </c>
      <c r="E9" s="2" t="str">
        <f>IF(VLOOKUP($B9,Q,8,FALSE)=0,"",(VLOOKUP($B9,Q,8,FALSE)))</f>
        <v/>
      </c>
      <c r="F9" s="19" t="str">
        <f>IF(VLOOKUP($B9,Q,9,FALSE)=0,"",(VLOOKUP($B9,Q,9,FALSE)))</f>
        <v/>
      </c>
      <c r="G9" s="2" t="str">
        <f>IF(VLOOKUP($B9,Q,10,FALSE)=0,"",(VLOOKUP($B9,Q,10,FALSE)))</f>
        <v/>
      </c>
      <c r="H9" s="2" t="str">
        <f>IF(VLOOKUP($B9,Q,14,FALSE)=0,"",(VLOOKUP($B9,Q,14,FALSE)))</f>
        <v/>
      </c>
      <c r="I9" s="2" t="str">
        <f>IF(VLOOKUP($B9,Q,14,FALSE)=0,"",(VLOOKUP($B9,Q,15,FALSE)))</f>
        <v/>
      </c>
      <c r="J9" s="2" t="str">
        <f>IF(VLOOKUP($B9,Q,14,FALSE)=0,"",(VLOOKUP($B9,Q,16,FALSE)))</f>
        <v/>
      </c>
      <c r="K9" s="2" t="str">
        <f>IF(VLOOKUP($B9,Q,14,FALSE)=0,"",(VLOOKUP($B9,Q,17,FALSE)))</f>
        <v/>
      </c>
    </row>
    <row r="10" spans="1:11" x14ac:dyDescent="0.6">
      <c r="B10" s="1">
        <v>13</v>
      </c>
      <c r="C10" s="2" t="str">
        <f>IF(VLOOKUP($B10,Q,2,FALSE)=0,"",(VLOOKUP($B10,Q,2,FALSE)))</f>
        <v/>
      </c>
      <c r="D10" s="2" t="str">
        <f>IF(VLOOKUP($B10,Q,3,FALSE)=0,"",(VLOOKUP($B10,Q,3,FALSE)))</f>
        <v/>
      </c>
      <c r="E10" s="2" t="str">
        <f>IF(VLOOKUP($B10,Q,8,FALSE)=0,"",(VLOOKUP($B10,Q,8,FALSE)))</f>
        <v/>
      </c>
      <c r="F10" s="19" t="str">
        <f>IF(VLOOKUP($B10,Q,9,FALSE)=0,"",(VLOOKUP($B10,Q,9,FALSE)))</f>
        <v/>
      </c>
      <c r="G10" s="2" t="str">
        <f>IF(VLOOKUP($B10,Q,10,FALSE)=0,"",(VLOOKUP($B10,Q,10,FALSE)))</f>
        <v/>
      </c>
      <c r="H10" s="2" t="str">
        <f>IF(VLOOKUP($B10,Q,14,FALSE)=0,"",(VLOOKUP($B10,Q,14,FALSE)))</f>
        <v/>
      </c>
      <c r="I10" s="2" t="str">
        <f>IF(VLOOKUP($B10,Q,14,FALSE)=0,"",(VLOOKUP($B10,Q,15,FALSE)))</f>
        <v/>
      </c>
      <c r="J10" s="2" t="str">
        <f>IF(VLOOKUP($B10,Q,14,FALSE)=0,"",(VLOOKUP($B10,Q,16,FALSE)))</f>
        <v/>
      </c>
      <c r="K10" s="2" t="str">
        <f>IF(VLOOKUP($B10,Q,14,FALSE)=0,"",(VLOOKUP($B10,Q,17,FALSE)))</f>
        <v/>
      </c>
    </row>
    <row r="11" spans="1:11" x14ac:dyDescent="0.6">
      <c r="B11" s="1">
        <v>14</v>
      </c>
      <c r="C11" s="2" t="str">
        <f>IF(VLOOKUP($B11,Q,2,FALSE)=0,"",(VLOOKUP($B11,Q,2,FALSE)))</f>
        <v/>
      </c>
      <c r="D11" s="2" t="str">
        <f>IF(VLOOKUP($B11,Q,3,FALSE)=0,"",(VLOOKUP($B11,Q,3,FALSE)))</f>
        <v/>
      </c>
      <c r="E11" s="2" t="str">
        <f>IF(VLOOKUP($B11,Q,8,FALSE)=0,"",(VLOOKUP($B11,Q,8,FALSE)))</f>
        <v/>
      </c>
      <c r="F11" s="19" t="str">
        <f>IF(VLOOKUP($B11,Q,9,FALSE)=0,"",(VLOOKUP($B11,Q,9,FALSE)))</f>
        <v/>
      </c>
      <c r="G11" s="2" t="str">
        <f>IF(VLOOKUP($B11,Q,10,FALSE)=0,"",(VLOOKUP($B11,Q,10,FALSE)))</f>
        <v/>
      </c>
      <c r="H11" s="2" t="str">
        <f>IF(VLOOKUP($B11,Q,14,FALSE)=0,"",(VLOOKUP($B11,Q,14,FALSE)))</f>
        <v/>
      </c>
      <c r="I11" s="2" t="str">
        <f>IF(VLOOKUP($B11,Q,14,FALSE)=0,"",(VLOOKUP($B11,Q,15,FALSE)))</f>
        <v/>
      </c>
      <c r="J11" s="2" t="str">
        <f>IF(VLOOKUP($B11,Q,14,FALSE)=0,"",(VLOOKUP($B11,Q,16,FALSE)))</f>
        <v/>
      </c>
      <c r="K11" s="2" t="str">
        <f>IF(VLOOKUP($B11,Q,14,FALSE)=0,"",(VLOOKUP($B11,Q,17,FALSE)))</f>
        <v/>
      </c>
    </row>
    <row r="12" spans="1:11" x14ac:dyDescent="0.6">
      <c r="B12" s="1">
        <v>15</v>
      </c>
      <c r="C12" s="2" t="str">
        <f>IF(VLOOKUP($B12,Q,2,FALSE)=0,"",(VLOOKUP($B12,Q,2,FALSE)))</f>
        <v/>
      </c>
      <c r="D12" s="2" t="str">
        <f>IF(VLOOKUP($B12,Q,3,FALSE)=0,"",(VLOOKUP($B12,Q,3,FALSE)))</f>
        <v/>
      </c>
      <c r="E12" s="2" t="str">
        <f>IF(VLOOKUP($B12,Q,8,FALSE)=0,"",(VLOOKUP($B12,Q,8,FALSE)))</f>
        <v/>
      </c>
      <c r="F12" s="19" t="str">
        <f>IF(VLOOKUP($B12,Q,9,FALSE)=0,"",(VLOOKUP($B12,Q,9,FALSE)))</f>
        <v/>
      </c>
      <c r="G12" s="2" t="str">
        <f>IF(VLOOKUP($B12,Q,10,FALSE)=0,"",(VLOOKUP($B12,Q,10,FALSE)))</f>
        <v/>
      </c>
      <c r="H12" s="2" t="str">
        <f>IF(VLOOKUP($B12,Q,14,FALSE)=0,"",(VLOOKUP($B12,Q,14,FALSE)))</f>
        <v/>
      </c>
      <c r="I12" s="2" t="str">
        <f>IF(VLOOKUP($B12,Q,14,FALSE)=0,"",(VLOOKUP($B12,Q,15,FALSE)))</f>
        <v/>
      </c>
      <c r="J12" s="2" t="str">
        <f>IF(VLOOKUP($B12,Q,14,FALSE)=0,"",(VLOOKUP($B12,Q,16,FALSE)))</f>
        <v/>
      </c>
      <c r="K12" s="2" t="str">
        <f>IF(VLOOKUP($B12,Q,14,FALSE)=0,"",(VLOOKUP($B12,Q,17,FALSE)))</f>
        <v/>
      </c>
    </row>
    <row r="13" spans="1:11" x14ac:dyDescent="0.6">
      <c r="B13" s="1">
        <v>16</v>
      </c>
      <c r="C13" s="2" t="str">
        <f>IF(VLOOKUP($B13,Q,2,FALSE)=0,"",(VLOOKUP($B13,Q,2,FALSE)))</f>
        <v/>
      </c>
      <c r="D13" s="2" t="str">
        <f>IF(VLOOKUP($B13,Q,3,FALSE)=0,"",(VLOOKUP($B13,Q,3,FALSE)))</f>
        <v/>
      </c>
      <c r="E13" s="2" t="str">
        <f>IF(VLOOKUP($B13,Q,8,FALSE)=0,"",(VLOOKUP($B13,Q,8,FALSE)))</f>
        <v/>
      </c>
      <c r="F13" s="19" t="str">
        <f>IF(VLOOKUP($B13,Q,9,FALSE)=0,"",(VLOOKUP($B13,Q,9,FALSE)))</f>
        <v/>
      </c>
      <c r="G13" s="2" t="str">
        <f>IF(VLOOKUP($B13,Q,10,FALSE)=0,"",(VLOOKUP($B13,Q,10,FALSE)))</f>
        <v/>
      </c>
      <c r="H13" s="2" t="str">
        <f>IF(VLOOKUP($B13,Q,14,FALSE)=0,"",(VLOOKUP($B13,Q,14,FALSE)))</f>
        <v/>
      </c>
      <c r="I13" s="2" t="str">
        <f>IF(VLOOKUP($B13,Q,14,FALSE)=0,"",(VLOOKUP($B13,Q,15,FALSE)))</f>
        <v/>
      </c>
      <c r="J13" s="2" t="str">
        <f>IF(VLOOKUP($B13,Q,14,FALSE)=0,"",(VLOOKUP($B13,Q,16,FALSE)))</f>
        <v/>
      </c>
      <c r="K13" s="2" t="str">
        <f>IF(VLOOKUP($B13,Q,14,FALSE)=0,"",(VLOOKUP($B13,Q,17,FALSE)))</f>
        <v/>
      </c>
    </row>
    <row r="14" spans="1:11" x14ac:dyDescent="0.6">
      <c r="B14" s="1">
        <v>17</v>
      </c>
      <c r="C14" s="2" t="str">
        <f>IF(VLOOKUP($B14,Q,2,FALSE)=0,"",(VLOOKUP($B14,Q,2,FALSE)))</f>
        <v/>
      </c>
      <c r="D14" s="2" t="str">
        <f>IF(VLOOKUP($B14,Q,3,FALSE)=0,"",(VLOOKUP($B14,Q,3,FALSE)))</f>
        <v/>
      </c>
      <c r="E14" s="2" t="str">
        <f>IF(VLOOKUP($B14,Q,8,FALSE)=0,"",(VLOOKUP($B14,Q,8,FALSE)))</f>
        <v/>
      </c>
      <c r="F14" s="19" t="str">
        <f>IF(VLOOKUP($B14,Q,9,FALSE)=0,"",(VLOOKUP($B14,Q,9,FALSE)))</f>
        <v/>
      </c>
      <c r="G14" s="2" t="str">
        <f>IF(VLOOKUP($B14,Q,10,FALSE)=0,"",(VLOOKUP($B14,Q,10,FALSE)))</f>
        <v/>
      </c>
      <c r="H14" s="2" t="str">
        <f>IF(VLOOKUP($B14,Q,14,FALSE)=0,"",(VLOOKUP($B14,Q,14,FALSE)))</f>
        <v/>
      </c>
      <c r="I14" s="2" t="str">
        <f>IF(VLOOKUP($B14,Q,14,FALSE)=0,"",(VLOOKUP($B14,Q,15,FALSE)))</f>
        <v/>
      </c>
      <c r="J14" s="2" t="str">
        <f>IF(VLOOKUP($B14,Q,14,FALSE)=0,"",(VLOOKUP($B14,Q,16,FALSE)))</f>
        <v/>
      </c>
      <c r="K14" s="2" t="str">
        <f>IF(VLOOKUP($B14,Q,14,FALSE)=0,"",(VLOOKUP($B14,Q,17,FALSE)))</f>
        <v/>
      </c>
    </row>
    <row r="15" spans="1:11" x14ac:dyDescent="0.6">
      <c r="B15" s="1">
        <v>18</v>
      </c>
      <c r="C15" s="2" t="str">
        <f>IF(VLOOKUP($B15,Q,2,FALSE)=0,"",(VLOOKUP($B15,Q,2,FALSE)))</f>
        <v/>
      </c>
      <c r="D15" s="2" t="str">
        <f>IF(VLOOKUP($B15,Q,3,FALSE)=0,"",(VLOOKUP($B15,Q,3,FALSE)))</f>
        <v/>
      </c>
      <c r="E15" s="2" t="str">
        <f>IF(VLOOKUP($B15,Q,8,FALSE)=0,"",(VLOOKUP($B15,Q,8,FALSE)))</f>
        <v/>
      </c>
      <c r="F15" s="19" t="str">
        <f>IF(VLOOKUP($B15,Q,9,FALSE)=0,"",(VLOOKUP($B15,Q,9,FALSE)))</f>
        <v/>
      </c>
      <c r="G15" s="2" t="str">
        <f>IF(VLOOKUP($B15,Q,10,FALSE)=0,"",(VLOOKUP($B15,Q,10,FALSE)))</f>
        <v/>
      </c>
      <c r="H15" s="2" t="str">
        <f>IF(VLOOKUP($B15,Q,14,FALSE)=0,"",(VLOOKUP($B15,Q,14,FALSE)))</f>
        <v/>
      </c>
      <c r="I15" s="2" t="str">
        <f>IF(VLOOKUP($B15,Q,14,FALSE)=0,"",(VLOOKUP($B15,Q,15,FALSE)))</f>
        <v/>
      </c>
      <c r="J15" s="2" t="str">
        <f>IF(VLOOKUP($B15,Q,14,FALSE)=0,"",(VLOOKUP($B15,Q,16,FALSE)))</f>
        <v/>
      </c>
      <c r="K15" s="2" t="str">
        <f>IF(VLOOKUP($B15,Q,14,FALSE)=0,"",(VLOOKUP($B15,Q,17,FALSE)))</f>
        <v/>
      </c>
    </row>
    <row r="16" spans="1:11" x14ac:dyDescent="0.6">
      <c r="B16" s="1">
        <v>19</v>
      </c>
      <c r="C16" s="2" t="str">
        <f>IF(VLOOKUP($B16,Q,2,FALSE)=0,"",(VLOOKUP($B16,Q,2,FALSE)))</f>
        <v/>
      </c>
      <c r="D16" s="2" t="str">
        <f>IF(VLOOKUP($B16,Q,3,FALSE)=0,"",(VLOOKUP($B16,Q,3,FALSE)))</f>
        <v/>
      </c>
      <c r="E16" s="2" t="str">
        <f>IF(VLOOKUP($B16,Q,8,FALSE)=0,"",(VLOOKUP($B16,Q,8,FALSE)))</f>
        <v/>
      </c>
      <c r="F16" s="19" t="str">
        <f>IF(VLOOKUP($B16,Q,9,FALSE)=0,"",(VLOOKUP($B16,Q,9,FALSE)))</f>
        <v/>
      </c>
      <c r="G16" s="2" t="str">
        <f>IF(VLOOKUP($B16,Q,10,FALSE)=0,"",(VLOOKUP($B16,Q,10,FALSE)))</f>
        <v/>
      </c>
      <c r="H16" s="2" t="str">
        <f>IF(VLOOKUP($B16,Q,14,FALSE)=0,"",(VLOOKUP($B16,Q,14,FALSE)))</f>
        <v/>
      </c>
      <c r="I16" s="2" t="str">
        <f>IF(VLOOKUP($B16,Q,14,FALSE)=0,"",(VLOOKUP($B16,Q,15,FALSE)))</f>
        <v/>
      </c>
      <c r="J16" s="2" t="str">
        <f>IF(VLOOKUP($B16,Q,14,FALSE)=0,"",(VLOOKUP($B16,Q,16,FALSE)))</f>
        <v/>
      </c>
      <c r="K16" s="2" t="str">
        <f>IF(VLOOKUP($B16,Q,14,FALSE)=0,"",(VLOOKUP($B16,Q,17,FALSE)))</f>
        <v/>
      </c>
    </row>
    <row r="17" spans="2:11" x14ac:dyDescent="0.6">
      <c r="B17" s="1">
        <v>20</v>
      </c>
      <c r="C17" s="2" t="str">
        <f>IF(VLOOKUP($B17,Q,2,FALSE)=0,"",(VLOOKUP($B17,Q,2,FALSE)))</f>
        <v/>
      </c>
      <c r="D17" s="2" t="str">
        <f>IF(VLOOKUP($B17,Q,3,FALSE)=0,"",(VLOOKUP($B17,Q,3,FALSE)))</f>
        <v/>
      </c>
      <c r="E17" s="2" t="str">
        <f>IF(VLOOKUP($B17,Q,8,FALSE)=0,"",(VLOOKUP($B17,Q,8,FALSE)))</f>
        <v/>
      </c>
      <c r="F17" s="19" t="str">
        <f>IF(VLOOKUP($B17,Q,9,FALSE)=0,"",(VLOOKUP($B17,Q,9,FALSE)))</f>
        <v/>
      </c>
      <c r="G17" s="2" t="str">
        <f>IF(VLOOKUP($B17,Q,10,FALSE)=0,"",(VLOOKUP($B17,Q,10,FALSE)))</f>
        <v/>
      </c>
      <c r="H17" s="2" t="str">
        <f>IF(VLOOKUP($B17,Q,14,FALSE)=0,"",(VLOOKUP($B17,Q,14,FALSE)))</f>
        <v/>
      </c>
      <c r="I17" s="2" t="str">
        <f>IF(VLOOKUP($B17,Q,14,FALSE)=0,"",(VLOOKUP($B17,Q,15,FALSE)))</f>
        <v/>
      </c>
      <c r="J17" s="2" t="str">
        <f>IF(VLOOKUP($B17,Q,14,FALSE)=0,"",(VLOOKUP($B17,Q,16,FALSE)))</f>
        <v/>
      </c>
      <c r="K17" s="2" t="str">
        <f>IF(VLOOKUP($B17,Q,14,FALSE)=0,"",(VLOOKUP($B17,Q,17,FALSE)))</f>
        <v/>
      </c>
    </row>
    <row r="18" spans="2:11" x14ac:dyDescent="0.6">
      <c r="B18" s="1">
        <v>21</v>
      </c>
      <c r="C18" s="2" t="str">
        <f>IF(VLOOKUP($B18,Q,2,FALSE)=0,"",(VLOOKUP($B18,Q,2,FALSE)))</f>
        <v/>
      </c>
      <c r="D18" s="2" t="str">
        <f>IF(VLOOKUP($B18,Q,3,FALSE)=0,"",(VLOOKUP($B18,Q,3,FALSE)))</f>
        <v/>
      </c>
      <c r="E18" s="2" t="str">
        <f>IF(VLOOKUP($B18,Q,8,FALSE)=0,"",(VLOOKUP($B18,Q,8,FALSE)))</f>
        <v/>
      </c>
      <c r="F18" s="19" t="str">
        <f>IF(VLOOKUP($B18,Q,9,FALSE)=0,"",(VLOOKUP($B18,Q,9,FALSE)))</f>
        <v/>
      </c>
      <c r="G18" s="2" t="str">
        <f>IF(VLOOKUP($B18,Q,10,FALSE)=0,"",(VLOOKUP($B18,Q,10,FALSE)))</f>
        <v/>
      </c>
      <c r="H18" s="2" t="str">
        <f>IF(VLOOKUP($B18,Q,14,FALSE)=0,"",(VLOOKUP($B18,Q,14,FALSE)))</f>
        <v/>
      </c>
      <c r="I18" s="2" t="str">
        <f>IF(VLOOKUP($B18,Q,14,FALSE)=0,"",(VLOOKUP($B18,Q,15,FALSE)))</f>
        <v/>
      </c>
      <c r="J18" s="2" t="str">
        <f>IF(VLOOKUP($B18,Q,14,FALSE)=0,"",(VLOOKUP($B18,Q,16,FALSE)))</f>
        <v/>
      </c>
      <c r="K18" s="2" t="str">
        <f>IF(VLOOKUP($B18,Q,14,FALSE)=0,"",(VLOOKUP($B18,Q,17,FALSE)))</f>
        <v/>
      </c>
    </row>
    <row r="19" spans="2:11" x14ac:dyDescent="0.6">
      <c r="B19" s="1">
        <v>22</v>
      </c>
      <c r="C19" s="2" t="str">
        <f>IF(VLOOKUP($B19,Q,2,FALSE)=0,"",(VLOOKUP($B19,Q,2,FALSE)))</f>
        <v/>
      </c>
      <c r="D19" s="2" t="str">
        <f>IF(VLOOKUP($B19,Q,3,FALSE)=0,"",(VLOOKUP($B19,Q,3,FALSE)))</f>
        <v/>
      </c>
      <c r="E19" s="2" t="str">
        <f>IF(VLOOKUP($B19,Q,8,FALSE)=0,"",(VLOOKUP($B19,Q,8,FALSE)))</f>
        <v/>
      </c>
      <c r="F19" s="19" t="str">
        <f>IF(VLOOKUP($B19,Q,9,FALSE)=0,"",(VLOOKUP($B19,Q,9,FALSE)))</f>
        <v/>
      </c>
      <c r="G19" s="2" t="str">
        <f>IF(VLOOKUP($B19,Q,10,FALSE)=0,"",(VLOOKUP($B19,Q,10,FALSE)))</f>
        <v/>
      </c>
      <c r="H19" s="2" t="str">
        <f>IF(VLOOKUP($B19,Q,14,FALSE)=0,"",(VLOOKUP($B19,Q,14,FALSE)))</f>
        <v/>
      </c>
      <c r="I19" s="2" t="str">
        <f>IF(VLOOKUP($B19,Q,14,FALSE)=0,"",(VLOOKUP($B19,Q,15,FALSE)))</f>
        <v/>
      </c>
      <c r="J19" s="2" t="str">
        <f>IF(VLOOKUP($B19,Q,14,FALSE)=0,"",(VLOOKUP($B19,Q,16,FALSE)))</f>
        <v/>
      </c>
      <c r="K19" s="2" t="str">
        <f>IF(VLOOKUP($B19,Q,14,FALSE)=0,"",(VLOOKUP($B19,Q,17,FALSE)))</f>
        <v/>
      </c>
    </row>
    <row r="20" spans="2:11" x14ac:dyDescent="0.6">
      <c r="B20" s="1">
        <v>23</v>
      </c>
      <c r="C20" s="2" t="str">
        <f>IF(VLOOKUP($B20,Q,2,FALSE)=0,"",(VLOOKUP($B20,Q,2,FALSE)))</f>
        <v/>
      </c>
      <c r="D20" s="2" t="str">
        <f>IF(VLOOKUP($B20,Q,3,FALSE)=0,"",(VLOOKUP($B20,Q,3,FALSE)))</f>
        <v/>
      </c>
      <c r="E20" s="2" t="str">
        <f>IF(VLOOKUP($B20,Q,8,FALSE)=0,"",(VLOOKUP($B20,Q,8,FALSE)))</f>
        <v/>
      </c>
      <c r="F20" s="19" t="str">
        <f>IF(VLOOKUP($B20,Q,9,FALSE)=0,"",(VLOOKUP($B20,Q,9,FALSE)))</f>
        <v/>
      </c>
      <c r="G20" s="2" t="str">
        <f>IF(VLOOKUP($B20,Q,10,FALSE)=0,"",(VLOOKUP($B20,Q,10,FALSE)))</f>
        <v/>
      </c>
      <c r="H20" s="2" t="str">
        <f>IF(VLOOKUP($B20,Q,14,FALSE)=0,"",(VLOOKUP($B20,Q,14,FALSE)))</f>
        <v/>
      </c>
      <c r="I20" s="2" t="str">
        <f>IF(VLOOKUP($B20,Q,14,FALSE)=0,"",(VLOOKUP($B20,Q,15,FALSE)))</f>
        <v/>
      </c>
      <c r="J20" s="2" t="str">
        <f>IF(VLOOKUP($B20,Q,14,FALSE)=0,"",(VLOOKUP($B20,Q,16,FALSE)))</f>
        <v/>
      </c>
      <c r="K20" s="2" t="str">
        <f>IF(VLOOKUP($B20,Q,14,FALSE)=0,"",(VLOOKUP($B20,Q,17,FALSE)))</f>
        <v/>
      </c>
    </row>
    <row r="21" spans="2:11" x14ac:dyDescent="0.6">
      <c r="B21" s="1">
        <v>24</v>
      </c>
      <c r="C21" s="2" t="str">
        <f>IF(VLOOKUP($B21,Q,2,FALSE)=0,"",(VLOOKUP($B21,Q,2,FALSE)))</f>
        <v/>
      </c>
      <c r="D21" s="2" t="str">
        <f>IF(VLOOKUP($B21,Q,3,FALSE)=0,"",(VLOOKUP($B21,Q,3,FALSE)))</f>
        <v/>
      </c>
      <c r="E21" s="2" t="str">
        <f>IF(VLOOKUP($B21,Q,8,FALSE)=0,"",(VLOOKUP($B21,Q,8,FALSE)))</f>
        <v/>
      </c>
      <c r="F21" s="19" t="str">
        <f>IF(VLOOKUP($B21,Q,9,FALSE)=0,"",(VLOOKUP($B21,Q,9,FALSE)))</f>
        <v/>
      </c>
      <c r="G21" s="2" t="str">
        <f>IF(VLOOKUP($B21,Q,10,FALSE)=0,"",(VLOOKUP($B21,Q,10,FALSE)))</f>
        <v/>
      </c>
      <c r="H21" s="2" t="str">
        <f>IF(VLOOKUP($B21,Q,14,FALSE)=0,"",(VLOOKUP($B21,Q,14,FALSE)))</f>
        <v/>
      </c>
      <c r="I21" s="2" t="str">
        <f>IF(VLOOKUP($B21,Q,14,FALSE)=0,"",(VLOOKUP($B21,Q,15,FALSE)))</f>
        <v/>
      </c>
      <c r="J21" s="2" t="str">
        <f>IF(VLOOKUP($B21,Q,14,FALSE)=0,"",(VLOOKUP($B21,Q,16,FALSE)))</f>
        <v/>
      </c>
      <c r="K21" s="2" t="str">
        <f>IF(VLOOKUP($B21,Q,14,FALSE)=0,"",(VLOOKUP($B21,Q,17,FALSE)))</f>
        <v/>
      </c>
    </row>
    <row r="22" spans="2:11" x14ac:dyDescent="0.6">
      <c r="B22" s="1">
        <v>25</v>
      </c>
      <c r="C22" s="2" t="str">
        <f>IF(VLOOKUP($B22,Q,2,FALSE)=0,"",(VLOOKUP($B22,Q,2,FALSE)))</f>
        <v/>
      </c>
      <c r="D22" s="2" t="str">
        <f>IF(VLOOKUP($B22,Q,3,FALSE)=0,"",(VLOOKUP($B22,Q,3,FALSE)))</f>
        <v/>
      </c>
      <c r="E22" s="2" t="str">
        <f>IF(VLOOKUP($B22,Q,8,FALSE)=0,"",(VLOOKUP($B22,Q,8,FALSE)))</f>
        <v/>
      </c>
      <c r="F22" s="19" t="str">
        <f>IF(VLOOKUP($B22,Q,9,FALSE)=0,"",(VLOOKUP($B22,Q,9,FALSE)))</f>
        <v/>
      </c>
      <c r="G22" s="2" t="str">
        <f>IF(VLOOKUP($B22,Q,10,FALSE)=0,"",(VLOOKUP($B22,Q,10,FALSE)))</f>
        <v/>
      </c>
      <c r="H22" s="2" t="str">
        <f>IF(VLOOKUP($B22,Q,14,FALSE)=0,"",(VLOOKUP($B22,Q,14,FALSE)))</f>
        <v/>
      </c>
      <c r="I22" s="2" t="str">
        <f>IF(VLOOKUP($B22,Q,14,FALSE)=0,"",(VLOOKUP($B22,Q,15,FALSE)))</f>
        <v/>
      </c>
      <c r="J22" s="2" t="str">
        <f>IF(VLOOKUP($B22,Q,14,FALSE)=0,"",(VLOOKUP($B22,Q,16,FALSE)))</f>
        <v/>
      </c>
      <c r="K22" s="2" t="str">
        <f>IF(VLOOKUP($B22,Q,14,FALSE)=0,"",(VLOOKUP($B22,Q,17,FALSE)))</f>
        <v/>
      </c>
    </row>
    <row r="23" spans="2:11" x14ac:dyDescent="0.6">
      <c r="B23" s="1">
        <v>26</v>
      </c>
      <c r="C23" s="2" t="str">
        <f>IF(VLOOKUP($B23,Q,2,FALSE)=0,"",(VLOOKUP($B23,Q,2,FALSE)))</f>
        <v/>
      </c>
      <c r="D23" s="2" t="str">
        <f>IF(VLOOKUP($B23,Q,3,FALSE)=0,"",(VLOOKUP($B23,Q,3,FALSE)))</f>
        <v/>
      </c>
      <c r="E23" s="2" t="str">
        <f>IF(VLOOKUP($B23,Q,8,FALSE)=0,"",(VLOOKUP($B23,Q,8,FALSE)))</f>
        <v/>
      </c>
      <c r="F23" s="19" t="str">
        <f>IF(VLOOKUP($B23,Q,9,FALSE)=0,"",(VLOOKUP($B23,Q,9,FALSE)))</f>
        <v/>
      </c>
      <c r="G23" s="2" t="str">
        <f>IF(VLOOKUP($B23,Q,10,FALSE)=0,"",(VLOOKUP($B23,Q,10,FALSE)))</f>
        <v/>
      </c>
      <c r="H23" s="2" t="str">
        <f>IF(VLOOKUP($B23,Q,14,FALSE)=0,"",(VLOOKUP($B23,Q,14,FALSE)))</f>
        <v/>
      </c>
      <c r="I23" s="2" t="str">
        <f>IF(VLOOKUP($B23,Q,14,FALSE)=0,"",(VLOOKUP($B23,Q,15,FALSE)))</f>
        <v/>
      </c>
      <c r="J23" s="2" t="str">
        <f>IF(VLOOKUP($B23,Q,14,FALSE)=0,"",(VLOOKUP($B23,Q,16,FALSE)))</f>
        <v/>
      </c>
      <c r="K23" s="2" t="str">
        <f>IF(VLOOKUP($B23,Q,14,FALSE)=0,"",(VLOOKUP($B23,Q,17,FALSE)))</f>
        <v/>
      </c>
    </row>
    <row r="24" spans="2:11" x14ac:dyDescent="0.6">
      <c r="B24" s="1">
        <v>27</v>
      </c>
      <c r="C24" s="2" t="str">
        <f>IF(VLOOKUP($B24,Q,2,FALSE)=0,"",(VLOOKUP($B24,Q,2,FALSE)))</f>
        <v/>
      </c>
      <c r="D24" s="2" t="str">
        <f>IF(VLOOKUP($B24,Q,3,FALSE)=0,"",(VLOOKUP($B24,Q,3,FALSE)))</f>
        <v/>
      </c>
      <c r="E24" s="2" t="str">
        <f>IF(VLOOKUP($B24,Q,8,FALSE)=0,"",(VLOOKUP($B24,Q,8,FALSE)))</f>
        <v/>
      </c>
      <c r="F24" s="19" t="str">
        <f>IF(VLOOKUP($B24,Q,9,FALSE)=0,"",(VLOOKUP($B24,Q,9,FALSE)))</f>
        <v/>
      </c>
      <c r="G24" s="2" t="str">
        <f>IF(VLOOKUP($B24,Q,10,FALSE)=0,"",(VLOOKUP($B24,Q,10,FALSE)))</f>
        <v/>
      </c>
      <c r="H24" s="2" t="str">
        <f>IF(VLOOKUP($B24,Q,14,FALSE)=0,"",(VLOOKUP($B24,Q,14,FALSE)))</f>
        <v/>
      </c>
      <c r="I24" s="2" t="str">
        <f>IF(VLOOKUP($B24,Q,14,FALSE)=0,"",(VLOOKUP($B24,Q,15,FALSE)))</f>
        <v/>
      </c>
      <c r="J24" s="2" t="str">
        <f>IF(VLOOKUP($B24,Q,14,FALSE)=0,"",(VLOOKUP($B24,Q,16,FALSE)))</f>
        <v/>
      </c>
      <c r="K24" s="2" t="str">
        <f>IF(VLOOKUP($B24,Q,14,FALSE)=0,"",(VLOOKUP($B24,Q,17,FALSE)))</f>
        <v/>
      </c>
    </row>
    <row r="25" spans="2:11" x14ac:dyDescent="0.6">
      <c r="B25" s="1">
        <v>28</v>
      </c>
      <c r="C25" s="2" t="str">
        <f>IF(VLOOKUP($B25,Q,2,FALSE)=0,"",(VLOOKUP($B25,Q,2,FALSE)))</f>
        <v/>
      </c>
      <c r="D25" s="2" t="str">
        <f>IF(VLOOKUP($B25,Q,3,FALSE)=0,"",(VLOOKUP($B25,Q,3,FALSE)))</f>
        <v/>
      </c>
      <c r="E25" s="2" t="str">
        <f>IF(VLOOKUP($B25,Q,8,FALSE)=0,"",(VLOOKUP($B25,Q,8,FALSE)))</f>
        <v/>
      </c>
      <c r="F25" s="19" t="str">
        <f>IF(VLOOKUP($B25,Q,9,FALSE)=0,"",(VLOOKUP($B25,Q,9,FALSE)))</f>
        <v/>
      </c>
      <c r="G25" s="2" t="str">
        <f>IF(VLOOKUP($B25,Q,10,FALSE)=0,"",(VLOOKUP($B25,Q,10,FALSE)))</f>
        <v/>
      </c>
      <c r="H25" s="2" t="str">
        <f>IF(VLOOKUP($B25,Q,14,FALSE)=0,"",(VLOOKUP($B25,Q,14,FALSE)))</f>
        <v/>
      </c>
      <c r="I25" s="2" t="str">
        <f>IF(VLOOKUP($B25,Q,14,FALSE)=0,"",(VLOOKUP($B25,Q,15,FALSE)))</f>
        <v/>
      </c>
      <c r="J25" s="2" t="str">
        <f>IF(VLOOKUP($B25,Q,14,FALSE)=0,"",(VLOOKUP($B25,Q,16,FALSE)))</f>
        <v/>
      </c>
      <c r="K25" s="2" t="str">
        <f>IF(VLOOKUP($B25,Q,14,FALSE)=0,"",(VLOOKUP($B25,Q,17,FALSE)))</f>
        <v/>
      </c>
    </row>
    <row r="26" spans="2:11" x14ac:dyDescent="0.6">
      <c r="B26" s="1">
        <v>29</v>
      </c>
      <c r="C26" s="2" t="str">
        <f>IF(VLOOKUP($B26,Q,2,FALSE)=0,"",(VLOOKUP($B26,Q,2,FALSE)))</f>
        <v/>
      </c>
      <c r="D26" s="2" t="str">
        <f>IF(VLOOKUP($B26,Q,3,FALSE)=0,"",(VLOOKUP($B26,Q,3,FALSE)))</f>
        <v/>
      </c>
      <c r="E26" s="2" t="str">
        <f>IF(VLOOKUP($B26,Q,8,FALSE)=0,"",(VLOOKUP($B26,Q,8,FALSE)))</f>
        <v/>
      </c>
      <c r="F26" s="19" t="str">
        <f>IF(VLOOKUP($B26,Q,9,FALSE)=0,"",(VLOOKUP($B26,Q,9,FALSE)))</f>
        <v/>
      </c>
      <c r="G26" s="2" t="str">
        <f>IF(VLOOKUP($B26,Q,10,FALSE)=0,"",(VLOOKUP($B26,Q,10,FALSE)))</f>
        <v/>
      </c>
      <c r="H26" s="2" t="str">
        <f>IF(VLOOKUP($B26,Q,14,FALSE)=0,"",(VLOOKUP($B26,Q,14,FALSE)))</f>
        <v/>
      </c>
      <c r="I26" s="2" t="str">
        <f>IF(VLOOKUP($B26,Q,14,FALSE)=0,"",(VLOOKUP($B26,Q,15,FALSE)))</f>
        <v/>
      </c>
      <c r="J26" s="2" t="str">
        <f>IF(VLOOKUP($B26,Q,14,FALSE)=0,"",(VLOOKUP($B26,Q,16,FALSE)))</f>
        <v/>
      </c>
      <c r="K26" s="2" t="str">
        <f>IF(VLOOKUP($B26,Q,14,FALSE)=0,"",(VLOOKUP($B26,Q,17,FALSE)))</f>
        <v/>
      </c>
    </row>
    <row r="27" spans="2:11" x14ac:dyDescent="0.6">
      <c r="B27" s="1">
        <v>30</v>
      </c>
      <c r="C27" s="2" t="str">
        <f>IF(VLOOKUP($B27,Q,2,FALSE)=0,"",(VLOOKUP($B27,Q,2,FALSE)))</f>
        <v/>
      </c>
      <c r="D27" s="2" t="str">
        <f>IF(VLOOKUP($B27,Q,3,FALSE)=0,"",(VLOOKUP($B27,Q,3,FALSE)))</f>
        <v/>
      </c>
      <c r="E27" s="2" t="str">
        <f>IF(VLOOKUP($B27,Q,8,FALSE)=0,"",(VLOOKUP($B27,Q,8,FALSE)))</f>
        <v/>
      </c>
      <c r="F27" s="19" t="str">
        <f>IF(VLOOKUP($B27,Q,9,FALSE)=0,"",(VLOOKUP($B27,Q,9,FALSE)))</f>
        <v/>
      </c>
      <c r="G27" s="2" t="str">
        <f>IF(VLOOKUP($B27,Q,10,FALSE)=0,"",(VLOOKUP($B27,Q,10,FALSE)))</f>
        <v/>
      </c>
      <c r="H27" s="2" t="str">
        <f>IF(VLOOKUP($B27,Q,14,FALSE)=0,"",(VLOOKUP($B27,Q,14,FALSE)))</f>
        <v/>
      </c>
      <c r="I27" s="2" t="str">
        <f>IF(VLOOKUP($B27,Q,14,FALSE)=0,"",(VLOOKUP($B27,Q,15,FALSE)))</f>
        <v/>
      </c>
      <c r="J27" s="2" t="str">
        <f>IF(VLOOKUP($B27,Q,14,FALSE)=0,"",(VLOOKUP($B27,Q,16,FALSE)))</f>
        <v/>
      </c>
      <c r="K27" s="2" t="str">
        <f>IF(VLOOKUP($B27,Q,14,FALSE)=0,"",(VLOOKUP($B27,Q,17,FALSE)))</f>
        <v/>
      </c>
    </row>
    <row r="28" spans="2:11" x14ac:dyDescent="0.6">
      <c r="B28" s="1">
        <v>31</v>
      </c>
      <c r="C28" s="2" t="str">
        <f>IF(VLOOKUP($B28,Q,2,FALSE)=0,"",(VLOOKUP($B28,Q,2,FALSE)))</f>
        <v/>
      </c>
      <c r="D28" s="2" t="str">
        <f>IF(VLOOKUP($B28,Q,3,FALSE)=0,"",(VLOOKUP($B28,Q,3,FALSE)))</f>
        <v/>
      </c>
      <c r="E28" s="2" t="str">
        <f>IF(VLOOKUP($B28,Q,8,FALSE)=0,"",(VLOOKUP($B28,Q,8,FALSE)))</f>
        <v/>
      </c>
      <c r="F28" s="19" t="str">
        <f>IF(VLOOKUP($B28,Q,9,FALSE)=0,"",(VLOOKUP($B28,Q,9,FALSE)))</f>
        <v/>
      </c>
      <c r="G28" s="2" t="str">
        <f>IF(VLOOKUP($B28,Q,10,FALSE)=0,"",(VLOOKUP($B28,Q,10,FALSE)))</f>
        <v/>
      </c>
      <c r="H28" s="2" t="str">
        <f>IF(VLOOKUP($B28,Q,14,FALSE)=0,"",(VLOOKUP($B28,Q,14,FALSE)))</f>
        <v/>
      </c>
      <c r="I28" s="2" t="str">
        <f>IF(VLOOKUP($B28,Q,14,FALSE)=0,"",(VLOOKUP($B28,Q,15,FALSE)))</f>
        <v/>
      </c>
      <c r="J28" s="2" t="str">
        <f>IF(VLOOKUP($B28,Q,14,FALSE)=0,"",(VLOOKUP($B28,Q,16,FALSE)))</f>
        <v/>
      </c>
      <c r="K28" s="2" t="str">
        <f>IF(VLOOKUP($B28,Q,14,FALSE)=0,"",(VLOOKUP($B28,Q,17,FALSE)))</f>
        <v/>
      </c>
    </row>
    <row r="29" spans="2:11" x14ac:dyDescent="0.6">
      <c r="B29" s="1">
        <v>32</v>
      </c>
      <c r="C29" s="2" t="str">
        <f>IF(VLOOKUP($B29,Q,2,FALSE)=0,"",(VLOOKUP($B29,Q,2,FALSE)))</f>
        <v/>
      </c>
      <c r="D29" s="2" t="str">
        <f>IF(VLOOKUP($B29,Q,3,FALSE)=0,"",(VLOOKUP($B29,Q,3,FALSE)))</f>
        <v/>
      </c>
      <c r="E29" s="2" t="str">
        <f>IF(VLOOKUP($B29,Q,8,FALSE)=0,"",(VLOOKUP($B29,Q,8,FALSE)))</f>
        <v/>
      </c>
      <c r="F29" s="19" t="str">
        <f>IF(VLOOKUP($B29,Q,9,FALSE)=0,"",(VLOOKUP($B29,Q,9,FALSE)))</f>
        <v/>
      </c>
      <c r="G29" s="2" t="str">
        <f>IF(VLOOKUP($B29,Q,10,FALSE)=0,"",(VLOOKUP($B29,Q,10,FALSE)))</f>
        <v/>
      </c>
      <c r="H29" s="2" t="str">
        <f>IF(VLOOKUP($B29,Q,14,FALSE)=0,"",(VLOOKUP($B29,Q,14,FALSE)))</f>
        <v/>
      </c>
      <c r="I29" s="2" t="str">
        <f>IF(VLOOKUP($B29,Q,14,FALSE)=0,"",(VLOOKUP($B29,Q,15,FALSE)))</f>
        <v/>
      </c>
      <c r="J29" s="2" t="str">
        <f>IF(VLOOKUP($B29,Q,14,FALSE)=0,"",(VLOOKUP($B29,Q,16,FALSE)))</f>
        <v/>
      </c>
      <c r="K29" s="2" t="str">
        <f>IF(VLOOKUP($B29,Q,14,FALSE)=0,"",(VLOOKUP($B29,Q,17,FALSE)))</f>
        <v/>
      </c>
    </row>
    <row r="30" spans="2:11" x14ac:dyDescent="0.6">
      <c r="B30" s="1">
        <v>33</v>
      </c>
      <c r="C30" s="2" t="str">
        <f>IF(VLOOKUP($B30,Q,2,FALSE)=0,"",(VLOOKUP($B30,Q,2,FALSE)))</f>
        <v/>
      </c>
      <c r="D30" s="2" t="str">
        <f>IF(VLOOKUP($B30,Q,3,FALSE)=0,"",(VLOOKUP($B30,Q,3,FALSE)))</f>
        <v/>
      </c>
      <c r="E30" s="2" t="str">
        <f>IF(VLOOKUP($B30,Q,8,FALSE)=0,"",(VLOOKUP($B30,Q,8,FALSE)))</f>
        <v/>
      </c>
      <c r="F30" s="19" t="str">
        <f>IF(VLOOKUP($B30,Q,9,FALSE)=0,"",(VLOOKUP($B30,Q,9,FALSE)))</f>
        <v/>
      </c>
      <c r="G30" s="2" t="str">
        <f>IF(VLOOKUP($B30,Q,10,FALSE)=0,"",(VLOOKUP($B30,Q,10,FALSE)))</f>
        <v/>
      </c>
      <c r="H30" s="2" t="str">
        <f>IF(VLOOKUP($B30,Q,14,FALSE)=0,"",(VLOOKUP($B30,Q,14,FALSE)))</f>
        <v/>
      </c>
      <c r="I30" s="2" t="str">
        <f>IF(VLOOKUP($B30,Q,14,FALSE)=0,"",(VLOOKUP($B30,Q,15,FALSE)))</f>
        <v/>
      </c>
      <c r="J30" s="2" t="str">
        <f>IF(VLOOKUP($B30,Q,14,FALSE)=0,"",(VLOOKUP($B30,Q,16,FALSE)))</f>
        <v/>
      </c>
      <c r="K30" s="2" t="str">
        <f>IF(VLOOKUP($B30,Q,14,FALSE)=0,"",(VLOOKUP($B30,Q,17,FALSE)))</f>
        <v/>
      </c>
    </row>
    <row r="31" spans="2:11" x14ac:dyDescent="0.6">
      <c r="B31" s="1">
        <v>34</v>
      </c>
      <c r="C31" s="2" t="str">
        <f>IF(VLOOKUP($B31,Q,2,FALSE)=0,"",(VLOOKUP($B31,Q,2,FALSE)))</f>
        <v/>
      </c>
      <c r="D31" s="2" t="str">
        <f>IF(VLOOKUP($B31,Q,3,FALSE)=0,"",(VLOOKUP($B31,Q,3,FALSE)))</f>
        <v/>
      </c>
      <c r="E31" s="2" t="str">
        <f>IF(VLOOKUP($B31,Q,8,FALSE)=0,"",(VLOOKUP($B31,Q,8,FALSE)))</f>
        <v/>
      </c>
      <c r="F31" s="19" t="str">
        <f>IF(VLOOKUP($B31,Q,9,FALSE)=0,"",(VLOOKUP($B31,Q,9,FALSE)))</f>
        <v/>
      </c>
      <c r="G31" s="2" t="str">
        <f>IF(VLOOKUP($B31,Q,10,FALSE)=0,"",(VLOOKUP($B31,Q,10,FALSE)))</f>
        <v/>
      </c>
      <c r="H31" s="2" t="str">
        <f>IF(VLOOKUP($B31,Q,14,FALSE)=0,"",(VLOOKUP($B31,Q,14,FALSE)))</f>
        <v/>
      </c>
      <c r="I31" s="2" t="str">
        <f>IF(VLOOKUP($B31,Q,14,FALSE)=0,"",(VLOOKUP($B31,Q,15,FALSE)))</f>
        <v/>
      </c>
      <c r="J31" s="2" t="str">
        <f>IF(VLOOKUP($B31,Q,14,FALSE)=0,"",(VLOOKUP($B31,Q,16,FALSE)))</f>
        <v/>
      </c>
      <c r="K31" s="2" t="str">
        <f>IF(VLOOKUP($B31,Q,14,FALSE)=0,"",(VLOOKUP($B31,Q,17,FALSE)))</f>
        <v/>
      </c>
    </row>
    <row r="32" spans="2:11" x14ac:dyDescent="0.6">
      <c r="B32" s="1">
        <v>35</v>
      </c>
      <c r="C32" s="2" t="str">
        <f>IF(VLOOKUP($B32,Q,2,FALSE)=0,"",(VLOOKUP($B32,Q,2,FALSE)))</f>
        <v/>
      </c>
      <c r="D32" s="2" t="str">
        <f>IF(VLOOKUP($B32,Q,3,FALSE)=0,"",(VLOOKUP($B32,Q,3,FALSE)))</f>
        <v/>
      </c>
      <c r="E32" s="2" t="str">
        <f>IF(VLOOKUP($B32,Q,8,FALSE)=0,"",(VLOOKUP($B32,Q,8,FALSE)))</f>
        <v/>
      </c>
      <c r="F32" s="19" t="str">
        <f>IF(VLOOKUP($B32,Q,9,FALSE)=0,"",(VLOOKUP($B32,Q,9,FALSE)))</f>
        <v/>
      </c>
      <c r="G32" s="2" t="str">
        <f>IF(VLOOKUP($B32,Q,10,FALSE)=0,"",(VLOOKUP($B32,Q,10,FALSE)))</f>
        <v/>
      </c>
      <c r="H32" s="2" t="str">
        <f>IF(VLOOKUP($B32,Q,14,FALSE)=0,"",(VLOOKUP($B32,Q,14,FALSE)))</f>
        <v/>
      </c>
      <c r="I32" s="2" t="str">
        <f>IF(VLOOKUP($B32,Q,14,FALSE)=0,"",(VLOOKUP($B32,Q,15,FALSE)))</f>
        <v/>
      </c>
      <c r="J32" s="2" t="str">
        <f>IF(VLOOKUP($B32,Q,14,FALSE)=0,"",(VLOOKUP($B32,Q,16,FALSE)))</f>
        <v/>
      </c>
      <c r="K32" s="2" t="str">
        <f>IF(VLOOKUP($B32,Q,14,FALSE)=0,"",(VLOOKUP($B32,Q,17,FALSE)))</f>
        <v/>
      </c>
    </row>
    <row r="33" spans="2:11" x14ac:dyDescent="0.6">
      <c r="B33" s="1">
        <v>36</v>
      </c>
      <c r="C33" s="2" t="str">
        <f>IF(VLOOKUP($B33,Q,2,FALSE)=0,"",(VLOOKUP($B33,Q,2,FALSE)))</f>
        <v/>
      </c>
      <c r="D33" s="2" t="str">
        <f>IF(VLOOKUP($B33,Q,3,FALSE)=0,"",(VLOOKUP($B33,Q,3,FALSE)))</f>
        <v/>
      </c>
      <c r="E33" s="2" t="str">
        <f>IF(VLOOKUP($B33,Q,8,FALSE)=0,"",(VLOOKUP($B33,Q,8,FALSE)))</f>
        <v/>
      </c>
      <c r="F33" s="19" t="str">
        <f>IF(VLOOKUP($B33,Q,9,FALSE)=0,"",(VLOOKUP($B33,Q,9,FALSE)))</f>
        <v/>
      </c>
      <c r="G33" s="2" t="str">
        <f>IF(VLOOKUP($B33,Q,10,FALSE)=0,"",(VLOOKUP($B33,Q,10,FALSE)))</f>
        <v/>
      </c>
      <c r="H33" s="2" t="str">
        <f>IF(VLOOKUP($B33,Q,14,FALSE)=0,"",(VLOOKUP($B33,Q,14,FALSE)))</f>
        <v/>
      </c>
      <c r="I33" s="2" t="str">
        <f>IF(VLOOKUP($B33,Q,14,FALSE)=0,"",(VLOOKUP($B33,Q,15,FALSE)))</f>
        <v/>
      </c>
      <c r="J33" s="2" t="str">
        <f>IF(VLOOKUP($B33,Q,14,FALSE)=0,"",(VLOOKUP($B33,Q,16,FALSE)))</f>
        <v/>
      </c>
      <c r="K33" s="2" t="str">
        <f>IF(VLOOKUP($B33,Q,14,FALSE)=0,"",(VLOOKUP($B33,Q,17,FALSE)))</f>
        <v/>
      </c>
    </row>
    <row r="34" spans="2:11" x14ac:dyDescent="0.6">
      <c r="B34" s="1">
        <v>37</v>
      </c>
      <c r="C34" s="2" t="str">
        <f>IF(VLOOKUP($B34,Q,2,FALSE)=0,"",(VLOOKUP($B34,Q,2,FALSE)))</f>
        <v/>
      </c>
      <c r="D34" s="2" t="str">
        <f>IF(VLOOKUP($B34,Q,3,FALSE)=0,"",(VLOOKUP($B34,Q,3,FALSE)))</f>
        <v/>
      </c>
      <c r="E34" s="2" t="str">
        <f>IF(VLOOKUP($B34,Q,8,FALSE)=0,"",(VLOOKUP($B34,Q,8,FALSE)))</f>
        <v/>
      </c>
      <c r="F34" s="19" t="str">
        <f>IF(VLOOKUP($B34,Q,9,FALSE)=0,"",(VLOOKUP($B34,Q,9,FALSE)))</f>
        <v/>
      </c>
      <c r="G34" s="2" t="str">
        <f>IF(VLOOKUP($B34,Q,10,FALSE)=0,"",(VLOOKUP($B34,Q,10,FALSE)))</f>
        <v/>
      </c>
      <c r="H34" s="2" t="str">
        <f>IF(VLOOKUP($B34,Q,14,FALSE)=0,"",(VLOOKUP($B34,Q,14,FALSE)))</f>
        <v/>
      </c>
      <c r="I34" s="2" t="str">
        <f>IF(VLOOKUP($B34,Q,14,FALSE)=0,"",(VLOOKUP($B34,Q,15,FALSE)))</f>
        <v/>
      </c>
      <c r="J34" s="2" t="str">
        <f>IF(VLOOKUP($B34,Q,14,FALSE)=0,"",(VLOOKUP($B34,Q,16,FALSE)))</f>
        <v/>
      </c>
      <c r="K34" s="2" t="str">
        <f>IF(VLOOKUP($B34,Q,14,FALSE)=0,"",(VLOOKUP($B34,Q,17,FALSE)))</f>
        <v/>
      </c>
    </row>
    <row r="35" spans="2:11" x14ac:dyDescent="0.6">
      <c r="B35" s="1">
        <v>38</v>
      </c>
      <c r="C35" s="2" t="str">
        <f>IF(VLOOKUP($B35,Q,2,FALSE)=0,"",(VLOOKUP($B35,Q,2,FALSE)))</f>
        <v/>
      </c>
      <c r="D35" s="2" t="str">
        <f>IF(VLOOKUP($B35,Q,3,FALSE)=0,"",(VLOOKUP($B35,Q,3,FALSE)))</f>
        <v/>
      </c>
      <c r="E35" s="2" t="str">
        <f>IF(VLOOKUP($B35,Q,8,FALSE)=0,"",(VLOOKUP($B35,Q,8,FALSE)))</f>
        <v/>
      </c>
      <c r="F35" s="19" t="str">
        <f>IF(VLOOKUP($B35,Q,9,FALSE)=0,"",(VLOOKUP($B35,Q,9,FALSE)))</f>
        <v/>
      </c>
      <c r="G35" s="2" t="str">
        <f>IF(VLOOKUP($B35,Q,10,FALSE)=0,"",(VLOOKUP($B35,Q,10,FALSE)))</f>
        <v/>
      </c>
      <c r="H35" s="2" t="str">
        <f>IF(VLOOKUP($B35,Q,14,FALSE)=0,"",(VLOOKUP($B35,Q,14,FALSE)))</f>
        <v/>
      </c>
      <c r="I35" s="2" t="str">
        <f>IF(VLOOKUP($B35,Q,14,FALSE)=0,"",(VLOOKUP($B35,Q,15,FALSE)))</f>
        <v/>
      </c>
      <c r="J35" s="2" t="str">
        <f>IF(VLOOKUP($B35,Q,14,FALSE)=0,"",(VLOOKUP($B35,Q,16,FALSE)))</f>
        <v/>
      </c>
      <c r="K35" s="2" t="str">
        <f>IF(VLOOKUP($B35,Q,14,FALSE)=0,"",(VLOOKUP($B35,Q,17,FALSE)))</f>
        <v/>
      </c>
    </row>
    <row r="36" spans="2:11" x14ac:dyDescent="0.6">
      <c r="B36" s="1">
        <v>39</v>
      </c>
      <c r="C36" s="2" t="str">
        <f>IF(VLOOKUP($B36,Q,2,FALSE)=0,"",(VLOOKUP($B36,Q,2,FALSE)))</f>
        <v/>
      </c>
      <c r="D36" s="2" t="str">
        <f>IF(VLOOKUP($B36,Q,3,FALSE)=0,"",(VLOOKUP($B36,Q,3,FALSE)))</f>
        <v/>
      </c>
      <c r="E36" s="2" t="str">
        <f>IF(VLOOKUP($B36,Q,8,FALSE)=0,"",(VLOOKUP($B36,Q,8,FALSE)))</f>
        <v/>
      </c>
      <c r="F36" s="19" t="str">
        <f>IF(VLOOKUP($B36,Q,9,FALSE)=0,"",(VLOOKUP($B36,Q,9,FALSE)))</f>
        <v/>
      </c>
      <c r="G36" s="2" t="str">
        <f>IF(VLOOKUP($B36,Q,10,FALSE)=0,"",(VLOOKUP($B36,Q,10,FALSE)))</f>
        <v/>
      </c>
      <c r="H36" s="2" t="str">
        <f>IF(VLOOKUP($B36,Q,14,FALSE)=0,"",(VLOOKUP($B36,Q,14,FALSE)))</f>
        <v/>
      </c>
      <c r="I36" s="2" t="str">
        <f>IF(VLOOKUP($B36,Q,14,FALSE)=0,"",(VLOOKUP($B36,Q,15,FALSE)))</f>
        <v/>
      </c>
      <c r="J36" s="2" t="str">
        <f>IF(VLOOKUP($B36,Q,14,FALSE)=0,"",(VLOOKUP($B36,Q,16,FALSE)))</f>
        <v/>
      </c>
      <c r="K36" s="2" t="str">
        <f>IF(VLOOKUP($B36,Q,14,FALSE)=0,"",(VLOOKUP($B36,Q,17,FALSE)))</f>
        <v/>
      </c>
    </row>
    <row r="37" spans="2:11" x14ac:dyDescent="0.6">
      <c r="B37" s="1">
        <v>40</v>
      </c>
      <c r="C37" s="2" t="str">
        <f>IF(VLOOKUP($B37,Q,2,FALSE)=0,"",(VLOOKUP($B37,Q,2,FALSE)))</f>
        <v/>
      </c>
      <c r="D37" s="2" t="str">
        <f>IF(VLOOKUP($B37,Q,3,FALSE)=0,"",(VLOOKUP($B37,Q,3,FALSE)))</f>
        <v/>
      </c>
      <c r="E37" s="2" t="str">
        <f>IF(VLOOKUP($B37,Q,8,FALSE)=0,"",(VLOOKUP($B37,Q,8,FALSE)))</f>
        <v/>
      </c>
      <c r="F37" s="19" t="str">
        <f>IF(VLOOKUP($B37,Q,9,FALSE)=0,"",(VLOOKUP($B37,Q,9,FALSE)))</f>
        <v/>
      </c>
      <c r="G37" s="2" t="str">
        <f>IF(VLOOKUP($B37,Q,10,FALSE)=0,"",(VLOOKUP($B37,Q,10,FALSE)))</f>
        <v/>
      </c>
      <c r="H37" s="2" t="str">
        <f>IF(VLOOKUP($B37,Q,14,FALSE)=0,"",(VLOOKUP($B37,Q,14,FALSE)))</f>
        <v/>
      </c>
      <c r="I37" s="2" t="str">
        <f>IF(VLOOKUP($B37,Q,14,FALSE)=0,"",(VLOOKUP($B37,Q,15,FALSE)))</f>
        <v/>
      </c>
      <c r="J37" s="2" t="str">
        <f>IF(VLOOKUP($B37,Q,14,FALSE)=0,"",(VLOOKUP($B37,Q,16,FALSE)))</f>
        <v/>
      </c>
      <c r="K37" s="2" t="str">
        <f>IF(VLOOKUP($B37,Q,14,FALSE)=0,"",(VLOOKUP($B37,Q,17,FALSE)))</f>
        <v/>
      </c>
    </row>
    <row r="38" spans="2:11" x14ac:dyDescent="0.6">
      <c r="B38" s="1">
        <v>41</v>
      </c>
      <c r="C38" s="2" t="str">
        <f>IF(VLOOKUP($B38,Q,2,FALSE)=0,"",(VLOOKUP($B38,Q,2,FALSE)))</f>
        <v/>
      </c>
      <c r="D38" s="2" t="str">
        <f>IF(VLOOKUP($B38,Q,3,FALSE)=0,"",(VLOOKUP($B38,Q,3,FALSE)))</f>
        <v/>
      </c>
      <c r="E38" s="2" t="str">
        <f>IF(VLOOKUP($B38,Q,8,FALSE)=0,"",(VLOOKUP($B38,Q,8,FALSE)))</f>
        <v/>
      </c>
      <c r="F38" s="19" t="str">
        <f>IF(VLOOKUP($B38,Q,9,FALSE)=0,"",(VLOOKUP($B38,Q,9,FALSE)))</f>
        <v/>
      </c>
      <c r="G38" s="2" t="str">
        <f>IF(VLOOKUP($B38,Q,10,FALSE)=0,"",(VLOOKUP($B38,Q,10,FALSE)))</f>
        <v/>
      </c>
      <c r="H38" s="2" t="str">
        <f>IF(VLOOKUP($B38,Q,14,FALSE)=0,"",(VLOOKUP($B38,Q,14,FALSE)))</f>
        <v/>
      </c>
      <c r="I38" s="2" t="str">
        <f>IF(VLOOKUP($B38,Q,14,FALSE)=0,"",(VLOOKUP($B38,Q,15,FALSE)))</f>
        <v/>
      </c>
      <c r="J38" s="2" t="str">
        <f>IF(VLOOKUP($B38,Q,14,FALSE)=0,"",(VLOOKUP($B38,Q,16,FALSE)))</f>
        <v/>
      </c>
      <c r="K38" s="2" t="str">
        <f>IF(VLOOKUP($B38,Q,14,FALSE)=0,"",(VLOOKUP($B38,Q,17,FALSE)))</f>
        <v/>
      </c>
    </row>
    <row r="39" spans="2:11" x14ac:dyDescent="0.6">
      <c r="B39" s="1">
        <v>42</v>
      </c>
      <c r="C39" s="2" t="str">
        <f>IF(VLOOKUP($B39,Q,2,FALSE)=0,"",(VLOOKUP($B39,Q,2,FALSE)))</f>
        <v/>
      </c>
      <c r="D39" s="2" t="str">
        <f>IF(VLOOKUP($B39,Q,3,FALSE)=0,"",(VLOOKUP($B39,Q,3,FALSE)))</f>
        <v/>
      </c>
      <c r="E39" s="2" t="str">
        <f>IF(VLOOKUP($B39,Q,8,FALSE)=0,"",(VLOOKUP($B39,Q,8,FALSE)))</f>
        <v/>
      </c>
      <c r="F39" s="19" t="str">
        <f>IF(VLOOKUP($B39,Q,9,FALSE)=0,"",(VLOOKUP($B39,Q,9,FALSE)))</f>
        <v/>
      </c>
      <c r="G39" s="2" t="str">
        <f>IF(VLOOKUP($B39,Q,10,FALSE)=0,"",(VLOOKUP($B39,Q,10,FALSE)))</f>
        <v/>
      </c>
      <c r="H39" s="2" t="str">
        <f>IF(VLOOKUP($B39,Q,14,FALSE)=0,"",(VLOOKUP($B39,Q,14,FALSE)))</f>
        <v/>
      </c>
      <c r="I39" s="2" t="str">
        <f>IF(VLOOKUP($B39,Q,14,FALSE)=0,"",(VLOOKUP($B39,Q,15,FALSE)))</f>
        <v/>
      </c>
      <c r="J39" s="2" t="str">
        <f>IF(VLOOKUP($B39,Q,14,FALSE)=0,"",(VLOOKUP($B39,Q,16,FALSE)))</f>
        <v/>
      </c>
      <c r="K39" s="2" t="str">
        <f>IF(VLOOKUP($B39,Q,14,FALSE)=0,"",(VLOOKUP($B39,Q,17,FALSE)))</f>
        <v/>
      </c>
    </row>
    <row r="40" spans="2:11" x14ac:dyDescent="0.6">
      <c r="B40" s="1">
        <v>43</v>
      </c>
      <c r="C40" s="2" t="str">
        <f>IF(VLOOKUP($B40,Q,2,FALSE)=0,"",(VLOOKUP($B40,Q,2,FALSE)))</f>
        <v/>
      </c>
      <c r="D40" s="2" t="str">
        <f>IF(VLOOKUP($B40,Q,3,FALSE)=0,"",(VLOOKUP($B40,Q,3,FALSE)))</f>
        <v/>
      </c>
      <c r="E40" s="2" t="str">
        <f>IF(VLOOKUP($B40,Q,8,FALSE)=0,"",(VLOOKUP($B40,Q,8,FALSE)))</f>
        <v/>
      </c>
      <c r="F40" s="19" t="str">
        <f>IF(VLOOKUP($B40,Q,9,FALSE)=0,"",(VLOOKUP($B40,Q,9,FALSE)))</f>
        <v/>
      </c>
      <c r="G40" s="2" t="str">
        <f>IF(VLOOKUP($B40,Q,10,FALSE)=0,"",(VLOOKUP($B40,Q,10,FALSE)))</f>
        <v/>
      </c>
      <c r="H40" s="2" t="str">
        <f>IF(VLOOKUP($B40,Q,14,FALSE)=0,"",(VLOOKUP($B40,Q,14,FALSE)))</f>
        <v/>
      </c>
      <c r="I40" s="2" t="str">
        <f>IF(VLOOKUP($B40,Q,14,FALSE)=0,"",(VLOOKUP($B40,Q,15,FALSE)))</f>
        <v/>
      </c>
      <c r="J40" s="2" t="str">
        <f>IF(VLOOKUP($B40,Q,14,FALSE)=0,"",(VLOOKUP($B40,Q,16,FALSE)))</f>
        <v/>
      </c>
      <c r="K40" s="2" t="str">
        <f>IF(VLOOKUP($B40,Q,14,FALSE)=0,"",(VLOOKUP($B40,Q,17,FALSE)))</f>
        <v/>
      </c>
    </row>
    <row r="41" spans="2:11" x14ac:dyDescent="0.6">
      <c r="B41" s="1">
        <v>44</v>
      </c>
      <c r="C41" s="2" t="str">
        <f>IF(VLOOKUP($B41,Q,2,FALSE)=0,"",(VLOOKUP($B41,Q,2,FALSE)))</f>
        <v/>
      </c>
      <c r="D41" s="2" t="str">
        <f>IF(VLOOKUP($B41,Q,3,FALSE)=0,"",(VLOOKUP($B41,Q,3,FALSE)))</f>
        <v/>
      </c>
      <c r="E41" s="2" t="str">
        <f>IF(VLOOKUP($B41,Q,8,FALSE)=0,"",(VLOOKUP($B41,Q,8,FALSE)))</f>
        <v/>
      </c>
      <c r="F41" s="19" t="str">
        <f>IF(VLOOKUP($B41,Q,9,FALSE)=0,"",(VLOOKUP($B41,Q,9,FALSE)))</f>
        <v/>
      </c>
      <c r="G41" s="2" t="str">
        <f>IF(VLOOKUP($B41,Q,10,FALSE)=0,"",(VLOOKUP($B41,Q,10,FALSE)))</f>
        <v/>
      </c>
      <c r="H41" s="2" t="str">
        <f>IF(VLOOKUP($B41,Q,14,FALSE)=0,"",(VLOOKUP($B41,Q,14,FALSE)))</f>
        <v/>
      </c>
      <c r="I41" s="2" t="str">
        <f>IF(VLOOKUP($B41,Q,14,FALSE)=0,"",(VLOOKUP($B41,Q,15,FALSE)))</f>
        <v/>
      </c>
      <c r="J41" s="2" t="str">
        <f>IF(VLOOKUP($B41,Q,14,FALSE)=0,"",(VLOOKUP($B41,Q,16,FALSE)))</f>
        <v/>
      </c>
      <c r="K41" s="2" t="str">
        <f>IF(VLOOKUP($B41,Q,14,FALSE)=0,"",(VLOOKUP($B41,Q,17,FALSE)))</f>
        <v/>
      </c>
    </row>
    <row r="42" spans="2:11" x14ac:dyDescent="0.6">
      <c r="B42" s="1">
        <v>45</v>
      </c>
      <c r="C42" s="2" t="str">
        <f>IF(VLOOKUP($B42,Q,2,FALSE)=0,"",(VLOOKUP($B42,Q,2,FALSE)))</f>
        <v/>
      </c>
      <c r="D42" s="2" t="str">
        <f>IF(VLOOKUP($B42,Q,3,FALSE)=0,"",(VLOOKUP($B42,Q,3,FALSE)))</f>
        <v/>
      </c>
      <c r="E42" s="2" t="str">
        <f>IF(VLOOKUP($B42,Q,8,FALSE)=0,"",(VLOOKUP($B42,Q,8,FALSE)))</f>
        <v/>
      </c>
      <c r="F42" s="19" t="str">
        <f>IF(VLOOKUP($B42,Q,9,FALSE)=0,"",(VLOOKUP($B42,Q,9,FALSE)))</f>
        <v/>
      </c>
      <c r="G42" s="2" t="str">
        <f>IF(VLOOKUP($B42,Q,10,FALSE)=0,"",(VLOOKUP($B42,Q,10,FALSE)))</f>
        <v/>
      </c>
      <c r="H42" s="2" t="str">
        <f>IF(VLOOKUP($B42,Q,14,FALSE)=0,"",(VLOOKUP($B42,Q,14,FALSE)))</f>
        <v/>
      </c>
      <c r="I42" s="2" t="str">
        <f>IF(VLOOKUP($B42,Q,14,FALSE)=0,"",(VLOOKUP($B42,Q,15,FALSE)))</f>
        <v/>
      </c>
      <c r="J42" s="2" t="str">
        <f>IF(VLOOKUP($B42,Q,14,FALSE)=0,"",(VLOOKUP($B42,Q,16,FALSE)))</f>
        <v/>
      </c>
      <c r="K42" s="2" t="str">
        <f>IF(VLOOKUP($B42,Q,14,FALSE)=0,"",(VLOOKUP($B42,Q,17,FALSE)))</f>
        <v/>
      </c>
    </row>
    <row r="43" spans="2:11" x14ac:dyDescent="0.6">
      <c r="B43" s="1">
        <v>46</v>
      </c>
      <c r="C43" s="2" t="str">
        <f>IF(VLOOKUP($B43,Q,2,FALSE)=0,"",(VLOOKUP($B43,Q,2,FALSE)))</f>
        <v/>
      </c>
      <c r="D43" s="2" t="str">
        <f>IF(VLOOKUP($B43,Q,3,FALSE)=0,"",(VLOOKUP($B43,Q,3,FALSE)))</f>
        <v/>
      </c>
      <c r="E43" s="2" t="str">
        <f>IF(VLOOKUP($B43,Q,8,FALSE)=0,"",(VLOOKUP($B43,Q,8,FALSE)))</f>
        <v/>
      </c>
      <c r="F43" s="19" t="str">
        <f>IF(VLOOKUP($B43,Q,9,FALSE)=0,"",(VLOOKUP($B43,Q,9,FALSE)))</f>
        <v/>
      </c>
      <c r="G43" s="2" t="str">
        <f>IF(VLOOKUP($B43,Q,10,FALSE)=0,"",(VLOOKUP($B43,Q,10,FALSE)))</f>
        <v/>
      </c>
      <c r="H43" s="2" t="str">
        <f>IF(VLOOKUP($B43,Q,14,FALSE)=0,"",(VLOOKUP($B43,Q,14,FALSE)))</f>
        <v/>
      </c>
      <c r="I43" s="2" t="str">
        <f>IF(VLOOKUP($B43,Q,14,FALSE)=0,"",(VLOOKUP($B43,Q,15,FALSE)))</f>
        <v/>
      </c>
      <c r="J43" s="2" t="str">
        <f>IF(VLOOKUP($B43,Q,14,FALSE)=0,"",(VLOOKUP($B43,Q,16,FALSE)))</f>
        <v/>
      </c>
      <c r="K43" s="2" t="str">
        <f>IF(VLOOKUP($B43,Q,14,FALSE)=0,"",(VLOOKUP($B43,Q,17,FALSE)))</f>
        <v/>
      </c>
    </row>
    <row r="44" spans="2:11" x14ac:dyDescent="0.6">
      <c r="B44" s="1">
        <v>47</v>
      </c>
      <c r="C44" s="2" t="str">
        <f>IF(VLOOKUP($B44,Q,2,FALSE)=0,"",(VLOOKUP($B44,Q,2,FALSE)))</f>
        <v/>
      </c>
      <c r="D44" s="2" t="str">
        <f>IF(VLOOKUP($B44,Q,3,FALSE)=0,"",(VLOOKUP($B44,Q,3,FALSE)))</f>
        <v/>
      </c>
      <c r="E44" s="2" t="str">
        <f>IF(VLOOKUP($B44,Q,8,FALSE)=0,"",(VLOOKUP($B44,Q,8,FALSE)))</f>
        <v/>
      </c>
      <c r="F44" s="19" t="str">
        <f>IF(VLOOKUP($B44,Q,9,FALSE)=0,"",(VLOOKUP($B44,Q,9,FALSE)))</f>
        <v/>
      </c>
      <c r="G44" s="2" t="str">
        <f>IF(VLOOKUP($B44,Q,10,FALSE)=0,"",(VLOOKUP($B44,Q,10,FALSE)))</f>
        <v/>
      </c>
      <c r="H44" s="2" t="str">
        <f>IF(VLOOKUP($B44,Q,14,FALSE)=0,"",(VLOOKUP($B44,Q,14,FALSE)))</f>
        <v/>
      </c>
      <c r="I44" s="2" t="str">
        <f>IF(VLOOKUP($B44,Q,14,FALSE)=0,"",(VLOOKUP($B44,Q,15,FALSE)))</f>
        <v/>
      </c>
      <c r="J44" s="2" t="str">
        <f>IF(VLOOKUP($B44,Q,14,FALSE)=0,"",(VLOOKUP($B44,Q,16,FALSE)))</f>
        <v/>
      </c>
      <c r="K44" s="2" t="str">
        <f>IF(VLOOKUP($B44,Q,14,FALSE)=0,"",(VLOOKUP($B44,Q,17,FALSE)))</f>
        <v/>
      </c>
    </row>
    <row r="45" spans="2:11" x14ac:dyDescent="0.6">
      <c r="B45" s="1">
        <v>48</v>
      </c>
      <c r="C45" s="2" t="str">
        <f>IF(VLOOKUP($B45,Q,2,FALSE)=0,"",(VLOOKUP($B45,Q,2,FALSE)))</f>
        <v/>
      </c>
      <c r="D45" s="2" t="str">
        <f>IF(VLOOKUP($B45,Q,3,FALSE)=0,"",(VLOOKUP($B45,Q,3,FALSE)))</f>
        <v/>
      </c>
      <c r="E45" s="2" t="str">
        <f>IF(VLOOKUP($B45,Q,8,FALSE)=0,"",(VLOOKUP($B45,Q,8,FALSE)))</f>
        <v/>
      </c>
      <c r="F45" s="19" t="str">
        <f>IF(VLOOKUP($B45,Q,9,FALSE)=0,"",(VLOOKUP($B45,Q,9,FALSE)))</f>
        <v/>
      </c>
      <c r="G45" s="2" t="str">
        <f>IF(VLOOKUP($B45,Q,10,FALSE)=0,"",(VLOOKUP($B45,Q,10,FALSE)))</f>
        <v/>
      </c>
      <c r="H45" s="2" t="str">
        <f>IF(VLOOKUP($B45,Q,14,FALSE)=0,"",(VLOOKUP($B45,Q,14,FALSE)))</f>
        <v/>
      </c>
      <c r="I45" s="2" t="str">
        <f>IF(VLOOKUP($B45,Q,14,FALSE)=0,"",(VLOOKUP($B45,Q,15,FALSE)))</f>
        <v/>
      </c>
      <c r="J45" s="2" t="str">
        <f>IF(VLOOKUP($B45,Q,14,FALSE)=0,"",(VLOOKUP($B45,Q,16,FALSE)))</f>
        <v/>
      </c>
      <c r="K45" s="2" t="str">
        <f>IF(VLOOKUP($B45,Q,14,FALSE)=0,"",(VLOOKUP($B45,Q,17,FALSE)))</f>
        <v/>
      </c>
    </row>
    <row r="46" spans="2:11" x14ac:dyDescent="0.6">
      <c r="B46" s="1">
        <v>49</v>
      </c>
      <c r="C46" s="2" t="str">
        <f>IF(VLOOKUP($B46,Q,2,FALSE)=0,"",(VLOOKUP($B46,Q,2,FALSE)))</f>
        <v/>
      </c>
      <c r="D46" s="2" t="str">
        <f>IF(VLOOKUP($B46,Q,3,FALSE)=0,"",(VLOOKUP($B46,Q,3,FALSE)))</f>
        <v/>
      </c>
      <c r="E46" s="2" t="str">
        <f>IF(VLOOKUP($B46,Q,8,FALSE)=0,"",(VLOOKUP($B46,Q,8,FALSE)))</f>
        <v/>
      </c>
      <c r="F46" s="19" t="str">
        <f>IF(VLOOKUP($B46,Q,9,FALSE)=0,"",(VLOOKUP($B46,Q,9,FALSE)))</f>
        <v/>
      </c>
      <c r="G46" s="2" t="str">
        <f>IF(VLOOKUP($B46,Q,10,FALSE)=0,"",(VLOOKUP($B46,Q,10,FALSE)))</f>
        <v/>
      </c>
      <c r="H46" s="2" t="str">
        <f>IF(VLOOKUP($B46,Q,14,FALSE)=0,"",(VLOOKUP($B46,Q,14,FALSE)))</f>
        <v/>
      </c>
      <c r="I46" s="2" t="str">
        <f>IF(VLOOKUP($B46,Q,14,FALSE)=0,"",(VLOOKUP($B46,Q,15,FALSE)))</f>
        <v/>
      </c>
      <c r="J46" s="2" t="str">
        <f>IF(VLOOKUP($B46,Q,14,FALSE)=0,"",(VLOOKUP($B46,Q,16,FALSE)))</f>
        <v/>
      </c>
      <c r="K46" s="2" t="str">
        <f>IF(VLOOKUP($B46,Q,14,FALSE)=0,"",(VLOOKUP($B46,Q,17,FALSE)))</f>
        <v/>
      </c>
    </row>
    <row r="47" spans="2:11" x14ac:dyDescent="0.6">
      <c r="B47" s="1">
        <v>50</v>
      </c>
      <c r="C47" s="2" t="str">
        <f>IF(VLOOKUP($B47,Q,2,FALSE)=0,"",(VLOOKUP($B47,Q,2,FALSE)))</f>
        <v/>
      </c>
      <c r="D47" s="2" t="str">
        <f>IF(VLOOKUP($B47,Q,3,FALSE)=0,"",(VLOOKUP($B47,Q,3,FALSE)))</f>
        <v/>
      </c>
      <c r="E47" s="2" t="str">
        <f>IF(VLOOKUP($B47,Q,8,FALSE)=0,"",(VLOOKUP($B47,Q,8,FALSE)))</f>
        <v/>
      </c>
      <c r="F47" s="19" t="str">
        <f>IF(VLOOKUP($B47,Q,9,FALSE)=0,"",(VLOOKUP($B47,Q,9,FALSE)))</f>
        <v/>
      </c>
      <c r="G47" s="2" t="str">
        <f>IF(VLOOKUP($B47,Q,10,FALSE)=0,"",(VLOOKUP($B47,Q,10,FALSE)))</f>
        <v/>
      </c>
      <c r="H47" s="2" t="str">
        <f>IF(VLOOKUP($B47,Q,14,FALSE)=0,"",(VLOOKUP($B47,Q,14,FALSE)))</f>
        <v/>
      </c>
      <c r="I47" s="2" t="str">
        <f>IF(VLOOKUP($B47,Q,14,FALSE)=0,"",(VLOOKUP($B47,Q,15,FALSE)))</f>
        <v/>
      </c>
      <c r="J47" s="2" t="str">
        <f>IF(VLOOKUP($B47,Q,14,FALSE)=0,"",(VLOOKUP($B47,Q,16,FALSE)))</f>
        <v/>
      </c>
      <c r="K47" s="2" t="str">
        <f>IF(VLOOKUP($B47,Q,14,FALSE)=0,"",(VLOOKUP($B47,Q,17,FALSE)))</f>
        <v/>
      </c>
    </row>
    <row r="48" spans="2:11" x14ac:dyDescent="0.6">
      <c r="B48" s="1">
        <v>51</v>
      </c>
      <c r="C48" s="2" t="str">
        <f>IF(VLOOKUP($B48,Q,2,FALSE)=0,"",(VLOOKUP($B48,Q,2,FALSE)))</f>
        <v/>
      </c>
      <c r="D48" s="2" t="str">
        <f>IF(VLOOKUP($B48,Q,3,FALSE)=0,"",(VLOOKUP($B48,Q,3,FALSE)))</f>
        <v/>
      </c>
      <c r="E48" s="2" t="str">
        <f>IF(VLOOKUP($B48,Q,8,FALSE)=0,"",(VLOOKUP($B48,Q,8,FALSE)))</f>
        <v/>
      </c>
      <c r="F48" s="19" t="str">
        <f>IF(VLOOKUP($B48,Q,9,FALSE)=0,"",(VLOOKUP($B48,Q,9,FALSE)))</f>
        <v/>
      </c>
      <c r="G48" s="2" t="str">
        <f>IF(VLOOKUP($B48,Q,10,FALSE)=0,"",(VLOOKUP($B48,Q,10,FALSE)))</f>
        <v/>
      </c>
      <c r="H48" s="2" t="str">
        <f>IF(VLOOKUP($B48,Q,14,FALSE)=0,"",(VLOOKUP($B48,Q,14,FALSE)))</f>
        <v/>
      </c>
      <c r="I48" s="2" t="str">
        <f>IF(VLOOKUP($B48,Q,14,FALSE)=0,"",(VLOOKUP($B48,Q,15,FALSE)))</f>
        <v/>
      </c>
      <c r="J48" s="2" t="str">
        <f>IF(VLOOKUP($B48,Q,14,FALSE)=0,"",(VLOOKUP($B48,Q,16,FALSE)))</f>
        <v/>
      </c>
      <c r="K48" s="2" t="str">
        <f>IF(VLOOKUP($B48,Q,14,FALSE)=0,"",(VLOOKUP($B48,Q,17,FALSE)))</f>
        <v/>
      </c>
    </row>
    <row r="49" spans="2:11" x14ac:dyDescent="0.6">
      <c r="B49" s="1">
        <v>52</v>
      </c>
      <c r="C49" s="2" t="str">
        <f>IF(VLOOKUP($B49,Q,2,FALSE)=0,"",(VLOOKUP($B49,Q,2,FALSE)))</f>
        <v/>
      </c>
      <c r="D49" s="2" t="str">
        <f>IF(VLOOKUP($B49,Q,3,FALSE)=0,"",(VLOOKUP($B49,Q,3,FALSE)))</f>
        <v/>
      </c>
      <c r="E49" s="2" t="str">
        <f>IF(VLOOKUP($B49,Q,8,FALSE)=0,"",(VLOOKUP($B49,Q,8,FALSE)))</f>
        <v/>
      </c>
      <c r="F49" s="19" t="str">
        <f>IF(VLOOKUP($B49,Q,9,FALSE)=0,"",(VLOOKUP($B49,Q,9,FALSE)))</f>
        <v/>
      </c>
      <c r="G49" s="2" t="str">
        <f>IF(VLOOKUP($B49,Q,10,FALSE)=0,"",(VLOOKUP($B49,Q,10,FALSE)))</f>
        <v/>
      </c>
      <c r="H49" s="2" t="str">
        <f>IF(VLOOKUP($B49,Q,14,FALSE)=0,"",(VLOOKUP($B49,Q,14,FALSE)))</f>
        <v/>
      </c>
      <c r="I49" s="2" t="str">
        <f>IF(VLOOKUP($B49,Q,14,FALSE)=0,"",(VLOOKUP($B49,Q,15,FALSE)))</f>
        <v/>
      </c>
      <c r="J49" s="2" t="str">
        <f>IF(VLOOKUP($B49,Q,14,FALSE)=0,"",(VLOOKUP($B49,Q,16,FALSE)))</f>
        <v/>
      </c>
      <c r="K49" s="2" t="str">
        <f>IF(VLOOKUP($B49,Q,14,FALSE)=0,"",(VLOOKUP($B49,Q,17,FALSE)))</f>
        <v/>
      </c>
    </row>
    <row r="50" spans="2:11" x14ac:dyDescent="0.6">
      <c r="B50" s="1">
        <v>53</v>
      </c>
      <c r="C50" s="2" t="str">
        <f>IF(VLOOKUP($B50,Q,2,FALSE)=0,"",(VLOOKUP($B50,Q,2,FALSE)))</f>
        <v/>
      </c>
      <c r="D50" s="2" t="str">
        <f>IF(VLOOKUP($B50,Q,3,FALSE)=0,"",(VLOOKUP($B50,Q,3,FALSE)))</f>
        <v/>
      </c>
      <c r="E50" s="2" t="str">
        <f>IF(VLOOKUP($B50,Q,8,FALSE)=0,"",(VLOOKUP($B50,Q,8,FALSE)))</f>
        <v/>
      </c>
      <c r="F50" s="19" t="str">
        <f>IF(VLOOKUP($B50,Q,9,FALSE)=0,"",(VLOOKUP($B50,Q,9,FALSE)))</f>
        <v/>
      </c>
      <c r="G50" s="2" t="str">
        <f>IF(VLOOKUP($B50,Q,10,FALSE)=0,"",(VLOOKUP($B50,Q,10,FALSE)))</f>
        <v/>
      </c>
      <c r="H50" s="2" t="str">
        <f>IF(VLOOKUP($B50,Q,14,FALSE)=0,"",(VLOOKUP($B50,Q,14,FALSE)))</f>
        <v/>
      </c>
      <c r="I50" s="2" t="str">
        <f>IF(VLOOKUP($B50,Q,14,FALSE)=0,"",(VLOOKUP($B50,Q,15,FALSE)))</f>
        <v/>
      </c>
      <c r="J50" s="2" t="str">
        <f>IF(VLOOKUP($B50,Q,14,FALSE)=0,"",(VLOOKUP($B50,Q,16,FALSE)))</f>
        <v/>
      </c>
      <c r="K50" s="2" t="str">
        <f>IF(VLOOKUP($B50,Q,14,FALSE)=0,"",(VLOOKUP($B50,Q,17,FALSE)))</f>
        <v/>
      </c>
    </row>
    <row r="51" spans="2:11" x14ac:dyDescent="0.6">
      <c r="B51" s="1">
        <v>54</v>
      </c>
      <c r="C51" s="2" t="str">
        <f>IF(VLOOKUP($B51,Q,2,FALSE)=0,"",(VLOOKUP($B51,Q,2,FALSE)))</f>
        <v/>
      </c>
      <c r="D51" s="2" t="str">
        <f>IF(VLOOKUP($B51,Q,3,FALSE)=0,"",(VLOOKUP($B51,Q,3,FALSE)))</f>
        <v/>
      </c>
      <c r="E51" s="2" t="str">
        <f>IF(VLOOKUP($B51,Q,8,FALSE)=0,"",(VLOOKUP($B51,Q,8,FALSE)))</f>
        <v/>
      </c>
      <c r="F51" s="19" t="str">
        <f>IF(VLOOKUP($B51,Q,9,FALSE)=0,"",(VLOOKUP($B51,Q,9,FALSE)))</f>
        <v/>
      </c>
      <c r="G51" s="2" t="str">
        <f>IF(VLOOKUP($B51,Q,10,FALSE)=0,"",(VLOOKUP($B51,Q,10,FALSE)))</f>
        <v/>
      </c>
      <c r="H51" s="2" t="str">
        <f>IF(VLOOKUP($B51,Q,14,FALSE)=0,"",(VLOOKUP($B51,Q,14,FALSE)))</f>
        <v/>
      </c>
      <c r="I51" s="2" t="str">
        <f>IF(VLOOKUP($B51,Q,14,FALSE)=0,"",(VLOOKUP($B51,Q,15,FALSE)))</f>
        <v/>
      </c>
      <c r="J51" s="2" t="str">
        <f>IF(VLOOKUP($B51,Q,14,FALSE)=0,"",(VLOOKUP($B51,Q,16,FALSE)))</f>
        <v/>
      </c>
      <c r="K51" s="2" t="str">
        <f>IF(VLOOKUP($B51,Q,14,FALSE)=0,"",(VLOOKUP($B51,Q,17,FALSE)))</f>
        <v/>
      </c>
    </row>
    <row r="52" spans="2:11" x14ac:dyDescent="0.6">
      <c r="B52" s="1">
        <v>55</v>
      </c>
      <c r="C52" s="2" t="str">
        <f>IF(VLOOKUP($B52,Q,2,FALSE)=0,"",(VLOOKUP($B52,Q,2,FALSE)))</f>
        <v/>
      </c>
      <c r="D52" s="2" t="str">
        <f>IF(VLOOKUP($B52,Q,3,FALSE)=0,"",(VLOOKUP($B52,Q,3,FALSE)))</f>
        <v/>
      </c>
      <c r="E52" s="2" t="str">
        <f>IF(VLOOKUP($B52,Q,8,FALSE)=0,"",(VLOOKUP($B52,Q,8,FALSE)))</f>
        <v/>
      </c>
      <c r="F52" s="19" t="str">
        <f>IF(VLOOKUP($B52,Q,9,FALSE)=0,"",(VLOOKUP($B52,Q,9,FALSE)))</f>
        <v/>
      </c>
      <c r="G52" s="2" t="str">
        <f>IF(VLOOKUP($B52,Q,10,FALSE)=0,"",(VLOOKUP($B52,Q,10,FALSE)))</f>
        <v/>
      </c>
      <c r="H52" s="2" t="str">
        <f>IF(VLOOKUP($B52,Q,14,FALSE)=0,"",(VLOOKUP($B52,Q,14,FALSE)))</f>
        <v/>
      </c>
      <c r="I52" s="2" t="str">
        <f>IF(VLOOKUP($B52,Q,14,FALSE)=0,"",(VLOOKUP($B52,Q,15,FALSE)))</f>
        <v/>
      </c>
      <c r="J52" s="2" t="str">
        <f>IF(VLOOKUP($B52,Q,14,FALSE)=0,"",(VLOOKUP($B52,Q,16,FALSE)))</f>
        <v/>
      </c>
      <c r="K52" s="2" t="str">
        <f>IF(VLOOKUP($B52,Q,14,FALSE)=0,"",(VLOOKUP($B52,Q,17,FALSE)))</f>
        <v/>
      </c>
    </row>
    <row r="53" spans="2:11" x14ac:dyDescent="0.6">
      <c r="B53" s="1">
        <v>56</v>
      </c>
      <c r="C53" s="2" t="str">
        <f>IF(VLOOKUP($B53,Q,2,FALSE)=0,"",(VLOOKUP($B53,Q,2,FALSE)))</f>
        <v/>
      </c>
      <c r="D53" s="2" t="str">
        <f>IF(VLOOKUP($B53,Q,3,FALSE)=0,"",(VLOOKUP($B53,Q,3,FALSE)))</f>
        <v/>
      </c>
      <c r="E53" s="2" t="str">
        <f>IF(VLOOKUP($B53,Q,8,FALSE)=0,"",(VLOOKUP($B53,Q,8,FALSE)))</f>
        <v/>
      </c>
      <c r="F53" s="19" t="str">
        <f>IF(VLOOKUP($B53,Q,9,FALSE)=0,"",(VLOOKUP($B53,Q,9,FALSE)))</f>
        <v/>
      </c>
      <c r="G53" s="2" t="str">
        <f>IF(VLOOKUP($B53,Q,10,FALSE)=0,"",(VLOOKUP($B53,Q,10,FALSE)))</f>
        <v/>
      </c>
      <c r="H53" s="2" t="str">
        <f>IF(VLOOKUP($B53,Q,14,FALSE)=0,"",(VLOOKUP($B53,Q,14,FALSE)))</f>
        <v/>
      </c>
      <c r="I53" s="2" t="str">
        <f>IF(VLOOKUP($B53,Q,14,FALSE)=0,"",(VLOOKUP($B53,Q,15,FALSE)))</f>
        <v/>
      </c>
      <c r="J53" s="2" t="str">
        <f>IF(VLOOKUP($B53,Q,14,FALSE)=0,"",(VLOOKUP($B53,Q,16,FALSE)))</f>
        <v/>
      </c>
      <c r="K53" s="2" t="str">
        <f>IF(VLOOKUP($B53,Q,14,FALSE)=0,"",(VLOOKUP($B53,Q,17,FALSE)))</f>
        <v/>
      </c>
    </row>
    <row r="54" spans="2:11" x14ac:dyDescent="0.6">
      <c r="B54" s="1">
        <v>57</v>
      </c>
      <c r="C54" s="2" t="str">
        <f>IF(VLOOKUP($B54,Q,2,FALSE)=0,"",(VLOOKUP($B54,Q,2,FALSE)))</f>
        <v/>
      </c>
      <c r="D54" s="2" t="str">
        <f>IF(VLOOKUP($B54,Q,3,FALSE)=0,"",(VLOOKUP($B54,Q,3,FALSE)))</f>
        <v/>
      </c>
      <c r="E54" s="2" t="str">
        <f>IF(VLOOKUP($B54,Q,8,FALSE)=0,"",(VLOOKUP($B54,Q,8,FALSE)))</f>
        <v/>
      </c>
      <c r="F54" s="19" t="str">
        <f>IF(VLOOKUP($B54,Q,9,FALSE)=0,"",(VLOOKUP($B54,Q,9,FALSE)))</f>
        <v/>
      </c>
      <c r="G54" s="2" t="str">
        <f>IF(VLOOKUP($B54,Q,10,FALSE)=0,"",(VLOOKUP($B54,Q,10,FALSE)))</f>
        <v/>
      </c>
      <c r="H54" s="2" t="str">
        <f>IF(VLOOKUP($B54,Q,14,FALSE)=0,"",(VLOOKUP($B54,Q,14,FALSE)))</f>
        <v/>
      </c>
      <c r="I54" s="2" t="str">
        <f>IF(VLOOKUP($B54,Q,14,FALSE)=0,"",(VLOOKUP($B54,Q,15,FALSE)))</f>
        <v/>
      </c>
      <c r="J54" s="2" t="str">
        <f>IF(VLOOKUP($B54,Q,14,FALSE)=0,"",(VLOOKUP($B54,Q,16,FALSE)))</f>
        <v/>
      </c>
      <c r="K54" s="2" t="str">
        <f>IF(VLOOKUP($B54,Q,14,FALSE)=0,"",(VLOOKUP($B54,Q,17,FALSE)))</f>
        <v/>
      </c>
    </row>
    <row r="55" spans="2:11" x14ac:dyDescent="0.6">
      <c r="B55" s="1">
        <v>58</v>
      </c>
      <c r="C55" s="2" t="str">
        <f>IF(VLOOKUP($B55,Q,2,FALSE)=0,"",(VLOOKUP($B55,Q,2,FALSE)))</f>
        <v/>
      </c>
      <c r="D55" s="2" t="str">
        <f>IF(VLOOKUP($B55,Q,3,FALSE)=0,"",(VLOOKUP($B55,Q,3,FALSE)))</f>
        <v/>
      </c>
      <c r="E55" s="2" t="str">
        <f>IF(VLOOKUP($B55,Q,8,FALSE)=0,"",(VLOOKUP($B55,Q,8,FALSE)))</f>
        <v/>
      </c>
      <c r="F55" s="19" t="str">
        <f>IF(VLOOKUP($B55,Q,9,FALSE)=0,"",(VLOOKUP($B55,Q,9,FALSE)))</f>
        <v/>
      </c>
      <c r="G55" s="2" t="str">
        <f>IF(VLOOKUP($B55,Q,10,FALSE)=0,"",(VLOOKUP($B55,Q,10,FALSE)))</f>
        <v/>
      </c>
      <c r="H55" s="2" t="str">
        <f>IF(VLOOKUP($B55,Q,14,FALSE)=0,"",(VLOOKUP($B55,Q,14,FALSE)))</f>
        <v/>
      </c>
      <c r="I55" s="2" t="str">
        <f>IF(VLOOKUP($B55,Q,14,FALSE)=0,"",(VLOOKUP($B55,Q,15,FALSE)))</f>
        <v/>
      </c>
      <c r="J55" s="2" t="str">
        <f>IF(VLOOKUP($B55,Q,14,FALSE)=0,"",(VLOOKUP($B55,Q,16,FALSE)))</f>
        <v/>
      </c>
      <c r="K55" s="2" t="str">
        <f>IF(VLOOKUP($B55,Q,14,FALSE)=0,"",(VLOOKUP($B55,Q,17,FALSE)))</f>
        <v/>
      </c>
    </row>
    <row r="56" spans="2:11" x14ac:dyDescent="0.6">
      <c r="B56" s="1">
        <v>59</v>
      </c>
      <c r="C56" s="2" t="str">
        <f>IF(VLOOKUP($B56,Q,2,FALSE)=0,"",(VLOOKUP($B56,Q,2,FALSE)))</f>
        <v/>
      </c>
      <c r="D56" s="2" t="str">
        <f>IF(VLOOKUP($B56,Q,3,FALSE)=0,"",(VLOOKUP($B56,Q,3,FALSE)))</f>
        <v/>
      </c>
      <c r="E56" s="2" t="str">
        <f>IF(VLOOKUP($B56,Q,8,FALSE)=0,"",(VLOOKUP($B56,Q,8,FALSE)))</f>
        <v/>
      </c>
      <c r="F56" s="19" t="str">
        <f>IF(VLOOKUP($B56,Q,9,FALSE)=0,"",(VLOOKUP($B56,Q,9,FALSE)))</f>
        <v/>
      </c>
      <c r="G56" s="2" t="str">
        <f>IF(VLOOKUP($B56,Q,10,FALSE)=0,"",(VLOOKUP($B56,Q,10,FALSE)))</f>
        <v/>
      </c>
      <c r="H56" s="2" t="str">
        <f>IF(VLOOKUP($B56,Q,14,FALSE)=0,"",(VLOOKUP($B56,Q,14,FALSE)))</f>
        <v/>
      </c>
      <c r="I56" s="2" t="str">
        <f>IF(VLOOKUP($B56,Q,14,FALSE)=0,"",(VLOOKUP($B56,Q,15,FALSE)))</f>
        <v/>
      </c>
      <c r="J56" s="2" t="str">
        <f>IF(VLOOKUP($B56,Q,14,FALSE)=0,"",(VLOOKUP($B56,Q,16,FALSE)))</f>
        <v/>
      </c>
      <c r="K56" s="2" t="str">
        <f>IF(VLOOKUP($B56,Q,14,FALSE)=0,"",(VLOOKUP($B56,Q,17,FALSE)))</f>
        <v/>
      </c>
    </row>
    <row r="57" spans="2:11" x14ac:dyDescent="0.6">
      <c r="B57" s="1">
        <v>60</v>
      </c>
      <c r="C57" s="2" t="str">
        <f>IF(VLOOKUP($B57,Q,2,FALSE)=0,"",(VLOOKUP($B57,Q,2,FALSE)))</f>
        <v/>
      </c>
      <c r="D57" s="2" t="str">
        <f>IF(VLOOKUP($B57,Q,3,FALSE)=0,"",(VLOOKUP($B57,Q,3,FALSE)))</f>
        <v/>
      </c>
      <c r="E57" s="2" t="str">
        <f>IF(VLOOKUP($B57,Q,8,FALSE)=0,"",(VLOOKUP($B57,Q,8,FALSE)))</f>
        <v/>
      </c>
      <c r="F57" s="19" t="str">
        <f>IF(VLOOKUP($B57,Q,9,FALSE)=0,"",(VLOOKUP($B57,Q,9,FALSE)))</f>
        <v/>
      </c>
      <c r="G57" s="2" t="str">
        <f>IF(VLOOKUP($B57,Q,10,FALSE)=0,"",(VLOOKUP($B57,Q,10,FALSE)))</f>
        <v/>
      </c>
      <c r="H57" s="2" t="str">
        <f>IF(VLOOKUP($B57,Q,14,FALSE)=0,"",(VLOOKUP($B57,Q,14,FALSE)))</f>
        <v/>
      </c>
      <c r="I57" s="2" t="str">
        <f>IF(VLOOKUP($B57,Q,14,FALSE)=0,"",(VLOOKUP($B57,Q,15,FALSE)))</f>
        <v/>
      </c>
      <c r="J57" s="2" t="str">
        <f>IF(VLOOKUP($B57,Q,14,FALSE)=0,"",(VLOOKUP($B57,Q,16,FALSE)))</f>
        <v/>
      </c>
      <c r="K57" s="2" t="str">
        <f>IF(VLOOKUP($B57,Q,14,FALSE)=0,"",(VLOOKUP($B57,Q,17,FALSE)))</f>
        <v/>
      </c>
    </row>
    <row r="58" spans="2:11" x14ac:dyDescent="0.6">
      <c r="B58" s="1">
        <v>61</v>
      </c>
      <c r="C58" s="2" t="str">
        <f>IF(VLOOKUP($B58,Q,2,FALSE)=0,"",(VLOOKUP($B58,Q,2,FALSE)))</f>
        <v/>
      </c>
      <c r="D58" s="2" t="str">
        <f>IF(VLOOKUP($B58,Q,3,FALSE)=0,"",(VLOOKUP($B58,Q,3,FALSE)))</f>
        <v/>
      </c>
      <c r="E58" s="2" t="str">
        <f>IF(VLOOKUP($B58,Q,8,FALSE)=0,"",(VLOOKUP($B58,Q,8,FALSE)))</f>
        <v/>
      </c>
      <c r="F58" s="19" t="str">
        <f>IF(VLOOKUP($B58,Q,9,FALSE)=0,"",(VLOOKUP($B58,Q,9,FALSE)))</f>
        <v/>
      </c>
      <c r="G58" s="2" t="str">
        <f>IF(VLOOKUP($B58,Q,10,FALSE)=0,"",(VLOOKUP($B58,Q,10,FALSE)))</f>
        <v/>
      </c>
      <c r="H58" s="2" t="str">
        <f>IF(VLOOKUP($B58,Q,14,FALSE)=0,"",(VLOOKUP($B58,Q,14,FALSE)))</f>
        <v/>
      </c>
      <c r="I58" s="2" t="str">
        <f>IF(VLOOKUP($B58,Q,14,FALSE)=0,"",(VLOOKUP($B58,Q,15,FALSE)))</f>
        <v/>
      </c>
      <c r="J58" s="2" t="str">
        <f>IF(VLOOKUP($B58,Q,14,FALSE)=0,"",(VLOOKUP($B58,Q,16,FALSE)))</f>
        <v/>
      </c>
      <c r="K58" s="2" t="str">
        <f>IF(VLOOKUP($B58,Q,14,FALSE)=0,"",(VLOOKUP($B58,Q,17,FALSE)))</f>
        <v/>
      </c>
    </row>
    <row r="59" spans="2:11" x14ac:dyDescent="0.6">
      <c r="B59" s="1">
        <v>62</v>
      </c>
      <c r="C59" s="2" t="str">
        <f>IF(VLOOKUP($B59,Q,2,FALSE)=0,"",(VLOOKUP($B59,Q,2,FALSE)))</f>
        <v/>
      </c>
      <c r="D59" s="2" t="str">
        <f>IF(VLOOKUP($B59,Q,3,FALSE)=0,"",(VLOOKUP($B59,Q,3,FALSE)))</f>
        <v/>
      </c>
      <c r="E59" s="2" t="str">
        <f>IF(VLOOKUP($B59,Q,8,FALSE)=0,"",(VLOOKUP($B59,Q,8,FALSE)))</f>
        <v/>
      </c>
      <c r="F59" s="19" t="str">
        <f>IF(VLOOKUP($B59,Q,9,FALSE)=0,"",(VLOOKUP($B59,Q,9,FALSE)))</f>
        <v/>
      </c>
      <c r="G59" s="2" t="str">
        <f>IF(VLOOKUP($B59,Q,10,FALSE)=0,"",(VLOOKUP($B59,Q,10,FALSE)))</f>
        <v/>
      </c>
      <c r="H59" s="2" t="str">
        <f>IF(VLOOKUP($B59,Q,14,FALSE)=0,"",(VLOOKUP($B59,Q,14,FALSE)))</f>
        <v/>
      </c>
      <c r="I59" s="2" t="str">
        <f>IF(VLOOKUP($B59,Q,14,FALSE)=0,"",(VLOOKUP($B59,Q,15,FALSE)))</f>
        <v/>
      </c>
      <c r="J59" s="2" t="str">
        <f>IF(VLOOKUP($B59,Q,14,FALSE)=0,"",(VLOOKUP($B59,Q,16,FALSE)))</f>
        <v/>
      </c>
      <c r="K59" s="2" t="str">
        <f>IF(VLOOKUP($B59,Q,14,FALSE)=0,"",(VLOOKUP($B59,Q,17,FALSE)))</f>
        <v/>
      </c>
    </row>
    <row r="60" spans="2:11" x14ac:dyDescent="0.6">
      <c r="B60" s="1">
        <v>63</v>
      </c>
      <c r="C60" s="2" t="str">
        <f>IF(VLOOKUP($B60,Q,2,FALSE)=0,"",(VLOOKUP($B60,Q,2,FALSE)))</f>
        <v/>
      </c>
      <c r="D60" s="2" t="str">
        <f>IF(VLOOKUP($B60,Q,3,FALSE)=0,"",(VLOOKUP($B60,Q,3,FALSE)))</f>
        <v/>
      </c>
      <c r="E60" s="2" t="str">
        <f>IF(VLOOKUP($B60,Q,8,FALSE)=0,"",(VLOOKUP($B60,Q,8,FALSE)))</f>
        <v/>
      </c>
      <c r="F60" s="19" t="str">
        <f>IF(VLOOKUP($B60,Q,9,FALSE)=0,"",(VLOOKUP($B60,Q,9,FALSE)))</f>
        <v/>
      </c>
      <c r="G60" s="2" t="str">
        <f>IF(VLOOKUP($B60,Q,10,FALSE)=0,"",(VLOOKUP($B60,Q,10,FALSE)))</f>
        <v/>
      </c>
      <c r="H60" s="2" t="str">
        <f>IF(VLOOKUP($B60,Q,14,FALSE)=0,"",(VLOOKUP($B60,Q,14,FALSE)))</f>
        <v/>
      </c>
      <c r="I60" s="2" t="str">
        <f>IF(VLOOKUP($B60,Q,14,FALSE)=0,"",(VLOOKUP($B60,Q,15,FALSE)))</f>
        <v/>
      </c>
      <c r="J60" s="2" t="str">
        <f>IF(VLOOKUP($B60,Q,14,FALSE)=0,"",(VLOOKUP($B60,Q,16,FALSE)))</f>
        <v/>
      </c>
      <c r="K60" s="2" t="str">
        <f>IF(VLOOKUP($B60,Q,14,FALSE)=0,"",(VLOOKUP($B60,Q,17,FALSE)))</f>
        <v/>
      </c>
    </row>
    <row r="61" spans="2:11" x14ac:dyDescent="0.6">
      <c r="B61" s="1">
        <v>64</v>
      </c>
      <c r="C61" s="2" t="str">
        <f>IF(VLOOKUP($B61,Q,2,FALSE)=0,"",(VLOOKUP($B61,Q,2,FALSE)))</f>
        <v/>
      </c>
      <c r="D61" s="2" t="str">
        <f>IF(VLOOKUP($B61,Q,3,FALSE)=0,"",(VLOOKUP($B61,Q,3,FALSE)))</f>
        <v/>
      </c>
      <c r="E61" s="2" t="str">
        <f>IF(VLOOKUP($B61,Q,8,FALSE)=0,"",(VLOOKUP($B61,Q,8,FALSE)))</f>
        <v/>
      </c>
      <c r="F61" s="19" t="str">
        <f>IF(VLOOKUP($B61,Q,9,FALSE)=0,"",(VLOOKUP($B61,Q,9,FALSE)))</f>
        <v/>
      </c>
      <c r="G61" s="2" t="str">
        <f>IF(VLOOKUP($B61,Q,10,FALSE)=0,"",(VLOOKUP($B61,Q,10,FALSE)))</f>
        <v/>
      </c>
      <c r="H61" s="2" t="str">
        <f>IF(VLOOKUP($B61,Q,14,FALSE)=0,"",(VLOOKUP($B61,Q,14,FALSE)))</f>
        <v/>
      </c>
      <c r="I61" s="2" t="str">
        <f>IF(VLOOKUP($B61,Q,14,FALSE)=0,"",(VLOOKUP($B61,Q,15,FALSE)))</f>
        <v/>
      </c>
      <c r="J61" s="2" t="str">
        <f>IF(VLOOKUP($B61,Q,14,FALSE)=0,"",(VLOOKUP($B61,Q,16,FALSE)))</f>
        <v/>
      </c>
      <c r="K61" s="2" t="str">
        <f>IF(VLOOKUP($B61,Q,14,FALSE)=0,"",(VLOOKUP($B61,Q,17,FALSE)))</f>
        <v/>
      </c>
    </row>
    <row r="62" spans="2:11" x14ac:dyDescent="0.6">
      <c r="B62" s="1">
        <v>65</v>
      </c>
      <c r="C62" s="2" t="str">
        <f>IF(VLOOKUP($B62,Q,2,FALSE)=0,"",(VLOOKUP($B62,Q,2,FALSE)))</f>
        <v/>
      </c>
      <c r="D62" s="2" t="str">
        <f>IF(VLOOKUP($B62,Q,3,FALSE)=0,"",(VLOOKUP($B62,Q,3,FALSE)))</f>
        <v/>
      </c>
      <c r="E62" s="2" t="str">
        <f>IF(VLOOKUP($B62,Q,8,FALSE)=0,"",(VLOOKUP($B62,Q,8,FALSE)))</f>
        <v/>
      </c>
      <c r="F62" s="19" t="str">
        <f>IF(VLOOKUP($B62,Q,9,FALSE)=0,"",(VLOOKUP($B62,Q,9,FALSE)))</f>
        <v/>
      </c>
      <c r="G62" s="2" t="str">
        <f>IF(VLOOKUP($B62,Q,10,FALSE)=0,"",(VLOOKUP($B62,Q,10,FALSE)))</f>
        <v/>
      </c>
      <c r="H62" s="2" t="str">
        <f>IF(VLOOKUP($B62,Q,14,FALSE)=0,"",(VLOOKUP($B62,Q,14,FALSE)))</f>
        <v/>
      </c>
      <c r="I62" s="2" t="str">
        <f>IF(VLOOKUP($B62,Q,14,FALSE)=0,"",(VLOOKUP($B62,Q,15,FALSE)))</f>
        <v/>
      </c>
      <c r="J62" s="2" t="str">
        <f>IF(VLOOKUP($B62,Q,14,FALSE)=0,"",(VLOOKUP($B62,Q,16,FALSE)))</f>
        <v/>
      </c>
      <c r="K62" s="2" t="str">
        <f>IF(VLOOKUP($B62,Q,14,FALSE)=0,"",(VLOOKUP($B62,Q,17,FALSE)))</f>
        <v/>
      </c>
    </row>
    <row r="63" spans="2:11" x14ac:dyDescent="0.6">
      <c r="B63" s="1">
        <v>66</v>
      </c>
      <c r="C63" s="2" t="str">
        <f>IF(VLOOKUP($B63,Q,2,FALSE)=0,"",(VLOOKUP($B63,Q,2,FALSE)))</f>
        <v/>
      </c>
      <c r="D63" s="2" t="str">
        <f>IF(VLOOKUP($B63,Q,3,FALSE)=0,"",(VLOOKUP($B63,Q,3,FALSE)))</f>
        <v/>
      </c>
      <c r="E63" s="2" t="str">
        <f>IF(VLOOKUP($B63,Q,8,FALSE)=0,"",(VLOOKUP($B63,Q,8,FALSE)))</f>
        <v/>
      </c>
      <c r="F63" s="19" t="str">
        <f>IF(VLOOKUP($B63,Q,9,FALSE)=0,"",(VLOOKUP($B63,Q,9,FALSE)))</f>
        <v/>
      </c>
      <c r="G63" s="2" t="str">
        <f>IF(VLOOKUP($B63,Q,10,FALSE)=0,"",(VLOOKUP($B63,Q,10,FALSE)))</f>
        <v/>
      </c>
      <c r="H63" s="2" t="str">
        <f>IF(VLOOKUP($B63,Q,14,FALSE)=0,"",(VLOOKUP($B63,Q,14,FALSE)))</f>
        <v/>
      </c>
      <c r="I63" s="2" t="str">
        <f>IF(VLOOKUP($B63,Q,14,FALSE)=0,"",(VLOOKUP($B63,Q,15,FALSE)))</f>
        <v/>
      </c>
      <c r="J63" s="2" t="str">
        <f>IF(VLOOKUP($B63,Q,14,FALSE)=0,"",(VLOOKUP($B63,Q,16,FALSE)))</f>
        <v/>
      </c>
      <c r="K63" s="2" t="str">
        <f>IF(VLOOKUP($B63,Q,14,FALSE)=0,"",(VLOOKUP($B63,Q,17,FALSE)))</f>
        <v/>
      </c>
    </row>
    <row r="64" spans="2:11" x14ac:dyDescent="0.6">
      <c r="B64" s="1">
        <v>67</v>
      </c>
      <c r="C64" s="2" t="str">
        <f>IF(VLOOKUP($B64,Q,2,FALSE)=0,"",(VLOOKUP($B64,Q,2,FALSE)))</f>
        <v/>
      </c>
      <c r="D64" s="2" t="str">
        <f>IF(VLOOKUP($B64,Q,3,FALSE)=0,"",(VLOOKUP($B64,Q,3,FALSE)))</f>
        <v/>
      </c>
      <c r="E64" s="2" t="str">
        <f>IF(VLOOKUP($B64,Q,8,FALSE)=0,"",(VLOOKUP($B64,Q,8,FALSE)))</f>
        <v/>
      </c>
      <c r="F64" s="19" t="str">
        <f>IF(VLOOKUP($B64,Q,9,FALSE)=0,"",(VLOOKUP($B64,Q,9,FALSE)))</f>
        <v/>
      </c>
      <c r="G64" s="2" t="str">
        <f>IF(VLOOKUP($B64,Q,10,FALSE)=0,"",(VLOOKUP($B64,Q,10,FALSE)))</f>
        <v/>
      </c>
      <c r="H64" s="2" t="str">
        <f>IF(VLOOKUP($B64,Q,14,FALSE)=0,"",(VLOOKUP($B64,Q,14,FALSE)))</f>
        <v/>
      </c>
      <c r="I64" s="2" t="str">
        <f>IF(VLOOKUP($B64,Q,14,FALSE)=0,"",(VLOOKUP($B64,Q,15,FALSE)))</f>
        <v/>
      </c>
      <c r="J64" s="2" t="str">
        <f>IF(VLOOKUP($B64,Q,14,FALSE)=0,"",(VLOOKUP($B64,Q,16,FALSE)))</f>
        <v/>
      </c>
      <c r="K64" s="2" t="str">
        <f>IF(VLOOKUP($B64,Q,14,FALSE)=0,"",(VLOOKUP($B64,Q,17,FALSE)))</f>
        <v/>
      </c>
    </row>
    <row r="65" spans="2:11" x14ac:dyDescent="0.6">
      <c r="B65" s="1">
        <v>68</v>
      </c>
      <c r="C65" s="2" t="str">
        <f>IF(VLOOKUP($B65,Q,2,FALSE)=0,"",(VLOOKUP($B65,Q,2,FALSE)))</f>
        <v/>
      </c>
      <c r="D65" s="2" t="str">
        <f>IF(VLOOKUP($B65,Q,3,FALSE)=0,"",(VLOOKUP($B65,Q,3,FALSE)))</f>
        <v/>
      </c>
      <c r="E65" s="2" t="str">
        <f>IF(VLOOKUP($B65,Q,8,FALSE)=0,"",(VLOOKUP($B65,Q,8,FALSE)))</f>
        <v/>
      </c>
      <c r="F65" s="19" t="str">
        <f>IF(VLOOKUP($B65,Q,9,FALSE)=0,"",(VLOOKUP($B65,Q,9,FALSE)))</f>
        <v/>
      </c>
      <c r="G65" s="2" t="str">
        <f>IF(VLOOKUP($B65,Q,10,FALSE)=0,"",(VLOOKUP($B65,Q,10,FALSE)))</f>
        <v/>
      </c>
      <c r="H65" s="2" t="str">
        <f>IF(VLOOKUP($B65,Q,14,FALSE)=0,"",(VLOOKUP($B65,Q,14,FALSE)))</f>
        <v/>
      </c>
      <c r="I65" s="2" t="str">
        <f>IF(VLOOKUP($B65,Q,14,FALSE)=0,"",(VLOOKUP($B65,Q,15,FALSE)))</f>
        <v/>
      </c>
      <c r="J65" s="2" t="str">
        <f>IF(VLOOKUP($B65,Q,14,FALSE)=0,"",(VLOOKUP($B65,Q,16,FALSE)))</f>
        <v/>
      </c>
      <c r="K65" s="2" t="str">
        <f>IF(VLOOKUP($B65,Q,14,FALSE)=0,"",(VLOOKUP($B65,Q,17,FALSE)))</f>
        <v/>
      </c>
    </row>
    <row r="66" spans="2:11" x14ac:dyDescent="0.6">
      <c r="B66" s="1">
        <v>69</v>
      </c>
      <c r="C66" s="2" t="str">
        <f>IF(VLOOKUP($B66,Q,2,FALSE)=0,"",(VLOOKUP($B66,Q,2,FALSE)))</f>
        <v/>
      </c>
      <c r="D66" s="2" t="str">
        <f>IF(VLOOKUP($B66,Q,3,FALSE)=0,"",(VLOOKUP($B66,Q,3,FALSE)))</f>
        <v/>
      </c>
      <c r="E66" s="2" t="str">
        <f>IF(VLOOKUP($B66,Q,8,FALSE)=0,"",(VLOOKUP($B66,Q,8,FALSE)))</f>
        <v/>
      </c>
      <c r="F66" s="19" t="str">
        <f>IF(VLOOKUP($B66,Q,9,FALSE)=0,"",(VLOOKUP($B66,Q,9,FALSE)))</f>
        <v/>
      </c>
      <c r="G66" s="2" t="str">
        <f>IF(VLOOKUP($B66,Q,10,FALSE)=0,"",(VLOOKUP($B66,Q,10,FALSE)))</f>
        <v/>
      </c>
      <c r="H66" s="2" t="str">
        <f>IF(VLOOKUP($B66,Q,14,FALSE)=0,"",(VLOOKUP($B66,Q,14,FALSE)))</f>
        <v/>
      </c>
      <c r="I66" s="2" t="str">
        <f>IF(VLOOKUP($B66,Q,14,FALSE)=0,"",(VLOOKUP($B66,Q,15,FALSE)))</f>
        <v/>
      </c>
      <c r="J66" s="2" t="str">
        <f>IF(VLOOKUP($B66,Q,14,FALSE)=0,"",(VLOOKUP($B66,Q,16,FALSE)))</f>
        <v/>
      </c>
      <c r="K66" s="2" t="str">
        <f>IF(VLOOKUP($B66,Q,14,FALSE)=0,"",(VLOOKUP($B66,Q,17,FALSE)))</f>
        <v/>
      </c>
    </row>
    <row r="67" spans="2:11" x14ac:dyDescent="0.6">
      <c r="B67" s="1">
        <v>70</v>
      </c>
      <c r="C67" s="2" t="str">
        <f>IF(VLOOKUP($B67,Q,2,FALSE)=0,"",(VLOOKUP($B67,Q,2,FALSE)))</f>
        <v/>
      </c>
      <c r="D67" s="2" t="str">
        <f>IF(VLOOKUP($B67,Q,3,FALSE)=0,"",(VLOOKUP($B67,Q,3,FALSE)))</f>
        <v/>
      </c>
      <c r="E67" s="2" t="str">
        <f>IF(VLOOKUP($B67,Q,8,FALSE)=0,"",(VLOOKUP($B67,Q,8,FALSE)))</f>
        <v/>
      </c>
      <c r="F67" s="19" t="str">
        <f>IF(VLOOKUP($B67,Q,9,FALSE)=0,"",(VLOOKUP($B67,Q,9,FALSE)))</f>
        <v/>
      </c>
      <c r="G67" s="2" t="str">
        <f>IF(VLOOKUP($B67,Q,10,FALSE)=0,"",(VLOOKUP($B67,Q,10,FALSE)))</f>
        <v/>
      </c>
      <c r="H67" s="2" t="str">
        <f>IF(VLOOKUP($B67,Q,14,FALSE)=0,"",(VLOOKUP($B67,Q,14,FALSE)))</f>
        <v/>
      </c>
      <c r="I67" s="2" t="str">
        <f>IF(VLOOKUP($B67,Q,14,FALSE)=0,"",(VLOOKUP($B67,Q,15,FALSE)))</f>
        <v/>
      </c>
      <c r="J67" s="2" t="str">
        <f>IF(VLOOKUP($B67,Q,14,FALSE)=0,"",(VLOOKUP($B67,Q,16,FALSE)))</f>
        <v/>
      </c>
      <c r="K67" s="2" t="str">
        <f>IF(VLOOKUP($B67,Q,14,FALSE)=0,"",(VLOOKUP($B67,Q,17,FALSE)))</f>
        <v/>
      </c>
    </row>
    <row r="68" spans="2:11" x14ac:dyDescent="0.6">
      <c r="B68" s="1">
        <v>71</v>
      </c>
      <c r="C68" s="2" t="str">
        <f>IF(VLOOKUP($B68,Q,2,FALSE)=0,"",(VLOOKUP($B68,Q,2,FALSE)))</f>
        <v/>
      </c>
      <c r="D68" s="2" t="str">
        <f>IF(VLOOKUP($B68,Q,3,FALSE)=0,"",(VLOOKUP($B68,Q,3,FALSE)))</f>
        <v/>
      </c>
      <c r="E68" s="2" t="str">
        <f>IF(VLOOKUP($B68,Q,8,FALSE)=0,"",(VLOOKUP($B68,Q,8,FALSE)))</f>
        <v/>
      </c>
      <c r="F68" s="19" t="str">
        <f>IF(VLOOKUP($B68,Q,9,FALSE)=0,"",(VLOOKUP($B68,Q,9,FALSE)))</f>
        <v/>
      </c>
      <c r="G68" s="2" t="str">
        <f>IF(VLOOKUP($B68,Q,10,FALSE)=0,"",(VLOOKUP($B68,Q,10,FALSE)))</f>
        <v/>
      </c>
      <c r="H68" s="2" t="str">
        <f>IF(VLOOKUP($B68,Q,14,FALSE)=0,"",(VLOOKUP($B68,Q,14,FALSE)))</f>
        <v/>
      </c>
      <c r="I68" s="2" t="str">
        <f>IF(VLOOKUP($B68,Q,14,FALSE)=0,"",(VLOOKUP($B68,Q,15,FALSE)))</f>
        <v/>
      </c>
      <c r="J68" s="2" t="str">
        <f>IF(VLOOKUP($B68,Q,14,FALSE)=0,"",(VLOOKUP($B68,Q,16,FALSE)))</f>
        <v/>
      </c>
      <c r="K68" s="2" t="str">
        <f>IF(VLOOKUP($B68,Q,14,FALSE)=0,"",(VLOOKUP($B68,Q,17,FALSE)))</f>
        <v/>
      </c>
    </row>
    <row r="69" spans="2:11" x14ac:dyDescent="0.6">
      <c r="B69" s="1">
        <v>72</v>
      </c>
      <c r="C69" s="2" t="str">
        <f>IF(VLOOKUP($B69,Q,2,FALSE)=0,"",(VLOOKUP($B69,Q,2,FALSE)))</f>
        <v/>
      </c>
      <c r="D69" s="2" t="str">
        <f>IF(VLOOKUP($B69,Q,3,FALSE)=0,"",(VLOOKUP($B69,Q,3,FALSE)))</f>
        <v/>
      </c>
      <c r="E69" s="2" t="str">
        <f>IF(VLOOKUP($B69,Q,8,FALSE)=0,"",(VLOOKUP($B69,Q,8,FALSE)))</f>
        <v/>
      </c>
      <c r="F69" s="19" t="str">
        <f>IF(VLOOKUP($B69,Q,9,FALSE)=0,"",(VLOOKUP($B69,Q,9,FALSE)))</f>
        <v/>
      </c>
      <c r="G69" s="2" t="str">
        <f>IF(VLOOKUP($B69,Q,10,FALSE)=0,"",(VLOOKUP($B69,Q,10,FALSE)))</f>
        <v/>
      </c>
      <c r="H69" s="2" t="str">
        <f>IF(VLOOKUP($B69,Q,14,FALSE)=0,"",(VLOOKUP($B69,Q,14,FALSE)))</f>
        <v/>
      </c>
      <c r="I69" s="2" t="str">
        <f>IF(VLOOKUP($B69,Q,14,FALSE)=0,"",(VLOOKUP($B69,Q,15,FALSE)))</f>
        <v/>
      </c>
      <c r="J69" s="2" t="str">
        <f>IF(VLOOKUP($B69,Q,14,FALSE)=0,"",(VLOOKUP($B69,Q,16,FALSE)))</f>
        <v/>
      </c>
      <c r="K69" s="2" t="str">
        <f>IF(VLOOKUP($B69,Q,14,FALSE)=0,"",(VLOOKUP($B69,Q,17,FALSE)))</f>
        <v/>
      </c>
    </row>
    <row r="70" spans="2:11" x14ac:dyDescent="0.6">
      <c r="B70" s="1">
        <v>73</v>
      </c>
      <c r="C70" s="2" t="str">
        <f>IF(VLOOKUP($B70,Q,2,FALSE)=0,"",(VLOOKUP($B70,Q,2,FALSE)))</f>
        <v/>
      </c>
      <c r="D70" s="2" t="str">
        <f>IF(VLOOKUP($B70,Q,3,FALSE)=0,"",(VLOOKUP($B70,Q,3,FALSE)))</f>
        <v/>
      </c>
      <c r="E70" s="2" t="str">
        <f>IF(VLOOKUP($B70,Q,8,FALSE)=0,"",(VLOOKUP($B70,Q,8,FALSE)))</f>
        <v/>
      </c>
      <c r="F70" s="19" t="str">
        <f>IF(VLOOKUP($B70,Q,9,FALSE)=0,"",(VLOOKUP($B70,Q,9,FALSE)))</f>
        <v/>
      </c>
      <c r="G70" s="2" t="str">
        <f>IF(VLOOKUP($B70,Q,10,FALSE)=0,"",(VLOOKUP($B70,Q,10,FALSE)))</f>
        <v/>
      </c>
      <c r="H70" s="2" t="str">
        <f>IF(VLOOKUP($B70,Q,14,FALSE)=0,"",(VLOOKUP($B70,Q,14,FALSE)))</f>
        <v/>
      </c>
      <c r="I70" s="2" t="str">
        <f>IF(VLOOKUP($B70,Q,14,FALSE)=0,"",(VLOOKUP($B70,Q,15,FALSE)))</f>
        <v/>
      </c>
      <c r="J70" s="2" t="str">
        <f>IF(VLOOKUP($B70,Q,14,FALSE)=0,"",(VLOOKUP($B70,Q,16,FALSE)))</f>
        <v/>
      </c>
      <c r="K70" s="2" t="str">
        <f>IF(VLOOKUP($B70,Q,14,FALSE)=0,"",(VLOOKUP($B70,Q,17,FALSE)))</f>
        <v/>
      </c>
    </row>
    <row r="71" spans="2:11" x14ac:dyDescent="0.6">
      <c r="B71" s="1">
        <v>74</v>
      </c>
      <c r="C71" s="2" t="str">
        <f>IF(VLOOKUP($B71,Q,2,FALSE)=0,"",(VLOOKUP($B71,Q,2,FALSE)))</f>
        <v/>
      </c>
      <c r="D71" s="2" t="str">
        <f>IF(VLOOKUP($B71,Q,3,FALSE)=0,"",(VLOOKUP($B71,Q,3,FALSE)))</f>
        <v/>
      </c>
      <c r="E71" s="2" t="str">
        <f>IF(VLOOKUP($B71,Q,8,FALSE)=0,"",(VLOOKUP($B71,Q,8,FALSE)))</f>
        <v/>
      </c>
      <c r="F71" s="19" t="str">
        <f>IF(VLOOKUP($B71,Q,9,FALSE)=0,"",(VLOOKUP($B71,Q,9,FALSE)))</f>
        <v/>
      </c>
      <c r="G71" s="2" t="str">
        <f>IF(VLOOKUP($B71,Q,10,FALSE)=0,"",(VLOOKUP($B71,Q,10,FALSE)))</f>
        <v/>
      </c>
      <c r="H71" s="2" t="str">
        <f>IF(VLOOKUP($B71,Q,14,FALSE)=0,"",(VLOOKUP($B71,Q,14,FALSE)))</f>
        <v/>
      </c>
      <c r="I71" s="2" t="str">
        <f>IF(VLOOKUP($B71,Q,14,FALSE)=0,"",(VLOOKUP($B71,Q,15,FALSE)))</f>
        <v/>
      </c>
      <c r="J71" s="2" t="str">
        <f>IF(VLOOKUP($B71,Q,14,FALSE)=0,"",(VLOOKUP($B71,Q,16,FALSE)))</f>
        <v/>
      </c>
      <c r="K71" s="2" t="str">
        <f>IF(VLOOKUP($B71,Q,14,FALSE)=0,"",(VLOOKUP($B71,Q,17,FALSE)))</f>
        <v/>
      </c>
    </row>
    <row r="72" spans="2:11" x14ac:dyDescent="0.6">
      <c r="B72" s="1">
        <v>75</v>
      </c>
      <c r="C72" s="2" t="str">
        <f>IF(VLOOKUP($B72,Q,2,FALSE)=0,"",(VLOOKUP($B72,Q,2,FALSE)))</f>
        <v/>
      </c>
      <c r="D72" s="2" t="str">
        <f>IF(VLOOKUP($B72,Q,3,FALSE)=0,"",(VLOOKUP($B72,Q,3,FALSE)))</f>
        <v/>
      </c>
      <c r="E72" s="2" t="str">
        <f>IF(VLOOKUP($B72,Q,8,FALSE)=0,"",(VLOOKUP($B72,Q,8,FALSE)))</f>
        <v/>
      </c>
      <c r="F72" s="19" t="str">
        <f>IF(VLOOKUP($B72,Q,9,FALSE)=0,"",(VLOOKUP($B72,Q,9,FALSE)))</f>
        <v/>
      </c>
      <c r="G72" s="2" t="str">
        <f>IF(VLOOKUP($B72,Q,10,FALSE)=0,"",(VLOOKUP($B72,Q,10,FALSE)))</f>
        <v/>
      </c>
      <c r="H72" s="2" t="str">
        <f>IF(VLOOKUP($B72,Q,14,FALSE)=0,"",(VLOOKUP($B72,Q,14,FALSE)))</f>
        <v/>
      </c>
      <c r="I72" s="2" t="str">
        <f>IF(VLOOKUP($B72,Q,14,FALSE)=0,"",(VLOOKUP($B72,Q,15,FALSE)))</f>
        <v/>
      </c>
      <c r="J72" s="2" t="str">
        <f>IF(VLOOKUP($B72,Q,14,FALSE)=0,"",(VLOOKUP($B72,Q,16,FALSE)))</f>
        <v/>
      </c>
      <c r="K72" s="2" t="str">
        <f>IF(VLOOKUP($B72,Q,14,FALSE)=0,"",(VLOOKUP($B72,Q,17,FALSE)))</f>
        <v/>
      </c>
    </row>
    <row r="73" spans="2:11" x14ac:dyDescent="0.6">
      <c r="B73" s="1">
        <v>76</v>
      </c>
      <c r="C73" s="2" t="str">
        <f>IF(VLOOKUP($B73,Q,2,FALSE)=0,"",(VLOOKUP($B73,Q,2,FALSE)))</f>
        <v/>
      </c>
      <c r="D73" s="2" t="str">
        <f>IF(VLOOKUP($B73,Q,3,FALSE)=0,"",(VLOOKUP($B73,Q,3,FALSE)))</f>
        <v/>
      </c>
      <c r="E73" s="2" t="str">
        <f>IF(VLOOKUP($B73,Q,8,FALSE)=0,"",(VLOOKUP($B73,Q,8,FALSE)))</f>
        <v/>
      </c>
      <c r="F73" s="19" t="str">
        <f>IF(VLOOKUP($B73,Q,9,FALSE)=0,"",(VLOOKUP($B73,Q,9,FALSE)))</f>
        <v/>
      </c>
      <c r="G73" s="2" t="str">
        <f>IF(VLOOKUP($B73,Q,10,FALSE)=0,"",(VLOOKUP($B73,Q,10,FALSE)))</f>
        <v/>
      </c>
      <c r="H73" s="2" t="str">
        <f>IF(VLOOKUP($B73,Q,14,FALSE)=0,"",(VLOOKUP($B73,Q,14,FALSE)))</f>
        <v/>
      </c>
      <c r="I73" s="2" t="str">
        <f>IF(VLOOKUP($B73,Q,14,FALSE)=0,"",(VLOOKUP($B73,Q,15,FALSE)))</f>
        <v/>
      </c>
      <c r="J73" s="2" t="str">
        <f>IF(VLOOKUP($B73,Q,14,FALSE)=0,"",(VLOOKUP($B73,Q,16,FALSE)))</f>
        <v/>
      </c>
      <c r="K73" s="2" t="str">
        <f>IF(VLOOKUP($B73,Q,14,FALSE)=0,"",(VLOOKUP($B73,Q,17,FALSE)))</f>
        <v/>
      </c>
    </row>
    <row r="74" spans="2:11" x14ac:dyDescent="0.6">
      <c r="B74" s="1">
        <v>77</v>
      </c>
      <c r="C74" s="2" t="str">
        <f>IF(VLOOKUP($B74,Q,2,FALSE)=0,"",(VLOOKUP($B74,Q,2,FALSE)))</f>
        <v/>
      </c>
      <c r="D74" s="2" t="str">
        <f>IF(VLOOKUP($B74,Q,3,FALSE)=0,"",(VLOOKUP($B74,Q,3,FALSE)))</f>
        <v/>
      </c>
      <c r="E74" s="2" t="str">
        <f>IF(VLOOKUP($B74,Q,8,FALSE)=0,"",(VLOOKUP($B74,Q,8,FALSE)))</f>
        <v/>
      </c>
      <c r="F74" s="19" t="str">
        <f>IF(VLOOKUP($B74,Q,9,FALSE)=0,"",(VLOOKUP($B74,Q,9,FALSE)))</f>
        <v/>
      </c>
      <c r="G74" s="2" t="str">
        <f>IF(VLOOKUP($B74,Q,10,FALSE)=0,"",(VLOOKUP($B74,Q,10,FALSE)))</f>
        <v/>
      </c>
      <c r="H74" s="2" t="str">
        <f>IF(VLOOKUP($B74,Q,14,FALSE)=0,"",(VLOOKUP($B74,Q,14,FALSE)))</f>
        <v/>
      </c>
      <c r="I74" s="2" t="str">
        <f>IF(VLOOKUP($B74,Q,14,FALSE)=0,"",(VLOOKUP($B74,Q,15,FALSE)))</f>
        <v/>
      </c>
      <c r="J74" s="2" t="str">
        <f>IF(VLOOKUP($B74,Q,14,FALSE)=0,"",(VLOOKUP($B74,Q,16,FALSE)))</f>
        <v/>
      </c>
      <c r="K74" s="2" t="str">
        <f>IF(VLOOKUP($B74,Q,14,FALSE)=0,"",(VLOOKUP($B74,Q,17,FALSE)))</f>
        <v/>
      </c>
    </row>
    <row r="75" spans="2:11" x14ac:dyDescent="0.6">
      <c r="B75" s="1">
        <v>78</v>
      </c>
      <c r="C75" s="2" t="str">
        <f>IF(VLOOKUP($B75,Q,2,FALSE)=0,"",(VLOOKUP($B75,Q,2,FALSE)))</f>
        <v/>
      </c>
      <c r="D75" s="2" t="str">
        <f>IF(VLOOKUP($B75,Q,3,FALSE)=0,"",(VLOOKUP($B75,Q,3,FALSE)))</f>
        <v/>
      </c>
      <c r="E75" s="2" t="str">
        <f>IF(VLOOKUP($B75,Q,8,FALSE)=0,"",(VLOOKUP($B75,Q,8,FALSE)))</f>
        <v/>
      </c>
      <c r="F75" s="19" t="str">
        <f>IF(VLOOKUP($B75,Q,9,FALSE)=0,"",(VLOOKUP($B75,Q,9,FALSE)))</f>
        <v/>
      </c>
      <c r="G75" s="2" t="str">
        <f>IF(VLOOKUP($B75,Q,10,FALSE)=0,"",(VLOOKUP($B75,Q,10,FALSE)))</f>
        <v/>
      </c>
      <c r="H75" s="2" t="str">
        <f>IF(VLOOKUP($B75,Q,14,FALSE)=0,"",(VLOOKUP($B75,Q,14,FALSE)))</f>
        <v/>
      </c>
      <c r="I75" s="2" t="str">
        <f>IF(VLOOKUP($B75,Q,14,FALSE)=0,"",(VLOOKUP($B75,Q,15,FALSE)))</f>
        <v/>
      </c>
      <c r="J75" s="2" t="str">
        <f>IF(VLOOKUP($B75,Q,14,FALSE)=0,"",(VLOOKUP($B75,Q,16,FALSE)))</f>
        <v/>
      </c>
      <c r="K75" s="2" t="str">
        <f>IF(VLOOKUP($B75,Q,14,FALSE)=0,"",(VLOOKUP($B75,Q,17,FALSE)))</f>
        <v/>
      </c>
    </row>
    <row r="76" spans="2:11" x14ac:dyDescent="0.6">
      <c r="B76" s="1">
        <v>79</v>
      </c>
      <c r="C76" s="2" t="str">
        <f>IF(VLOOKUP($B76,Q,2,FALSE)=0,"",(VLOOKUP($B76,Q,2,FALSE)))</f>
        <v/>
      </c>
      <c r="D76" s="2" t="str">
        <f>IF(VLOOKUP($B76,Q,3,FALSE)=0,"",(VLOOKUP($B76,Q,3,FALSE)))</f>
        <v/>
      </c>
      <c r="E76" s="2" t="str">
        <f>IF(VLOOKUP($B76,Q,8,FALSE)=0,"",(VLOOKUP($B76,Q,8,FALSE)))</f>
        <v/>
      </c>
      <c r="F76" s="19" t="str">
        <f>IF(VLOOKUP($B76,Q,9,FALSE)=0,"",(VLOOKUP($B76,Q,9,FALSE)))</f>
        <v/>
      </c>
      <c r="G76" s="2" t="str">
        <f>IF(VLOOKUP($B76,Q,10,FALSE)=0,"",(VLOOKUP($B76,Q,10,FALSE)))</f>
        <v/>
      </c>
      <c r="H76" s="2" t="str">
        <f>IF(VLOOKUP($B76,Q,14,FALSE)=0,"",(VLOOKUP($B76,Q,14,FALSE)))</f>
        <v/>
      </c>
      <c r="I76" s="2" t="str">
        <f>IF(VLOOKUP($B76,Q,14,FALSE)=0,"",(VLOOKUP($B76,Q,15,FALSE)))</f>
        <v/>
      </c>
      <c r="J76" s="2" t="str">
        <f>IF(VLOOKUP($B76,Q,14,FALSE)=0,"",(VLOOKUP($B76,Q,16,FALSE)))</f>
        <v/>
      </c>
      <c r="K76" s="2" t="str">
        <f>IF(VLOOKUP($B76,Q,14,FALSE)=0,"",(VLOOKUP($B76,Q,17,FALSE)))</f>
        <v/>
      </c>
    </row>
    <row r="77" spans="2:11" x14ac:dyDescent="0.6">
      <c r="B77" s="1">
        <v>80</v>
      </c>
      <c r="C77" s="2" t="str">
        <f>IF(VLOOKUP($B77,Q,2,FALSE)=0,"",(VLOOKUP($B77,Q,2,FALSE)))</f>
        <v/>
      </c>
      <c r="D77" s="2" t="str">
        <f>IF(VLOOKUP($B77,Q,3,FALSE)=0,"",(VLOOKUP($B77,Q,3,FALSE)))</f>
        <v/>
      </c>
      <c r="E77" s="2" t="str">
        <f>IF(VLOOKUP($B77,Q,8,FALSE)=0,"",(VLOOKUP($B77,Q,8,FALSE)))</f>
        <v/>
      </c>
      <c r="F77" s="19" t="str">
        <f>IF(VLOOKUP($B77,Q,9,FALSE)=0,"",(VLOOKUP($B77,Q,9,FALSE)))</f>
        <v/>
      </c>
      <c r="G77" s="2" t="str">
        <f>IF(VLOOKUP($B77,Q,10,FALSE)=0,"",(VLOOKUP($B77,Q,10,FALSE)))</f>
        <v/>
      </c>
      <c r="H77" s="2" t="str">
        <f>IF(VLOOKUP($B77,Q,14,FALSE)=0,"",(VLOOKUP($B77,Q,14,FALSE)))</f>
        <v/>
      </c>
      <c r="I77" s="2" t="str">
        <f>IF(VLOOKUP($B77,Q,14,FALSE)=0,"",(VLOOKUP($B77,Q,15,FALSE)))</f>
        <v/>
      </c>
      <c r="J77" s="2" t="str">
        <f>IF(VLOOKUP($B77,Q,14,FALSE)=0,"",(VLOOKUP($B77,Q,16,FALSE)))</f>
        <v/>
      </c>
      <c r="K77" s="2" t="str">
        <f>IF(VLOOKUP($B77,Q,14,FALSE)=0,"",(VLOOKUP($B77,Q,17,FALSE)))</f>
        <v/>
      </c>
    </row>
    <row r="78" spans="2:11" x14ac:dyDescent="0.6">
      <c r="B78" s="1">
        <v>81</v>
      </c>
      <c r="C78" s="2" t="str">
        <f>IF(VLOOKUP($B78,Q,2,FALSE)=0,"",(VLOOKUP($B78,Q,2,FALSE)))</f>
        <v/>
      </c>
      <c r="D78" s="2" t="str">
        <f>IF(VLOOKUP($B78,Q,3,FALSE)=0,"",(VLOOKUP($B78,Q,3,FALSE)))</f>
        <v/>
      </c>
      <c r="E78" s="2" t="str">
        <f>IF(VLOOKUP($B78,Q,8,FALSE)=0,"",(VLOOKUP($B78,Q,8,FALSE)))</f>
        <v/>
      </c>
      <c r="F78" s="19" t="str">
        <f>IF(VLOOKUP($B78,Q,9,FALSE)=0,"",(VLOOKUP($B78,Q,9,FALSE)))</f>
        <v/>
      </c>
      <c r="G78" s="2" t="str">
        <f>IF(VLOOKUP($B78,Q,10,FALSE)=0,"",(VLOOKUP($B78,Q,10,FALSE)))</f>
        <v/>
      </c>
      <c r="H78" s="2" t="str">
        <f>IF(VLOOKUP($B78,Q,14,FALSE)=0,"",(VLOOKUP($B78,Q,14,FALSE)))</f>
        <v/>
      </c>
      <c r="I78" s="2" t="str">
        <f>IF(VLOOKUP($B78,Q,14,FALSE)=0,"",(VLOOKUP($B78,Q,15,FALSE)))</f>
        <v/>
      </c>
      <c r="J78" s="2" t="str">
        <f>IF(VLOOKUP($B78,Q,14,FALSE)=0,"",(VLOOKUP($B78,Q,16,FALSE)))</f>
        <v/>
      </c>
      <c r="K78" s="2" t="str">
        <f>IF(VLOOKUP($B78,Q,14,FALSE)=0,"",(VLOOKUP($B78,Q,17,FALSE)))</f>
        <v/>
      </c>
    </row>
    <row r="79" spans="2:11" x14ac:dyDescent="0.6">
      <c r="B79" s="1">
        <v>82</v>
      </c>
      <c r="C79" s="2" t="str">
        <f>IF(VLOOKUP($B79,Q,2,FALSE)=0,"",(VLOOKUP($B79,Q,2,FALSE)))</f>
        <v/>
      </c>
      <c r="D79" s="2" t="str">
        <f>IF(VLOOKUP($B79,Q,3,FALSE)=0,"",(VLOOKUP($B79,Q,3,FALSE)))</f>
        <v/>
      </c>
      <c r="E79" s="2" t="str">
        <f>IF(VLOOKUP($B79,Q,8,FALSE)=0,"",(VLOOKUP($B79,Q,8,FALSE)))</f>
        <v/>
      </c>
      <c r="F79" s="19" t="str">
        <f>IF(VLOOKUP($B79,Q,9,FALSE)=0,"",(VLOOKUP($B79,Q,9,FALSE)))</f>
        <v/>
      </c>
      <c r="G79" s="2" t="str">
        <f>IF(VLOOKUP($B79,Q,10,FALSE)=0,"",(VLOOKUP($B79,Q,10,FALSE)))</f>
        <v/>
      </c>
      <c r="H79" s="2" t="str">
        <f>IF(VLOOKUP($B79,Q,14,FALSE)=0,"",(VLOOKUP($B79,Q,14,FALSE)))</f>
        <v/>
      </c>
      <c r="I79" s="2" t="str">
        <f>IF(VLOOKUP($B79,Q,14,FALSE)=0,"",(VLOOKUP($B79,Q,15,FALSE)))</f>
        <v/>
      </c>
      <c r="J79" s="2" t="str">
        <f>IF(VLOOKUP($B79,Q,14,FALSE)=0,"",(VLOOKUP($B79,Q,16,FALSE)))</f>
        <v/>
      </c>
      <c r="K79" s="2" t="str">
        <f>IF(VLOOKUP($B79,Q,14,FALSE)=0,"",(VLOOKUP($B79,Q,17,FALSE)))</f>
        <v/>
      </c>
    </row>
    <row r="80" spans="2:11" x14ac:dyDescent="0.6">
      <c r="B80" s="1">
        <v>83</v>
      </c>
      <c r="C80" s="2" t="str">
        <f>IF(VLOOKUP($B80,Q,2,FALSE)=0,"",(VLOOKUP($B80,Q,2,FALSE)))</f>
        <v/>
      </c>
      <c r="D80" s="2" t="str">
        <f>IF(VLOOKUP($B80,Q,3,FALSE)=0,"",(VLOOKUP($B80,Q,3,FALSE)))</f>
        <v/>
      </c>
      <c r="E80" s="2" t="str">
        <f>IF(VLOOKUP($B80,Q,8,FALSE)=0,"",(VLOOKUP($B80,Q,8,FALSE)))</f>
        <v/>
      </c>
      <c r="F80" s="19" t="str">
        <f>IF(VLOOKUP($B80,Q,9,FALSE)=0,"",(VLOOKUP($B80,Q,9,FALSE)))</f>
        <v/>
      </c>
      <c r="G80" s="2" t="str">
        <f>IF(VLOOKUP($B80,Q,10,FALSE)=0,"",(VLOOKUP($B80,Q,10,FALSE)))</f>
        <v/>
      </c>
      <c r="H80" s="2" t="str">
        <f>IF(VLOOKUP($B80,Q,14,FALSE)=0,"",(VLOOKUP($B80,Q,14,FALSE)))</f>
        <v/>
      </c>
      <c r="I80" s="2" t="str">
        <f>IF(VLOOKUP($B80,Q,14,FALSE)=0,"",(VLOOKUP($B80,Q,15,FALSE)))</f>
        <v/>
      </c>
      <c r="J80" s="2" t="str">
        <f>IF(VLOOKUP($B80,Q,14,FALSE)=0,"",(VLOOKUP($B80,Q,16,FALSE)))</f>
        <v/>
      </c>
      <c r="K80" s="2" t="str">
        <f>IF(VLOOKUP($B80,Q,14,FALSE)=0,"",(VLOOKUP($B80,Q,17,FALSE)))</f>
        <v/>
      </c>
    </row>
    <row r="81" spans="2:11" x14ac:dyDescent="0.6">
      <c r="B81" s="1">
        <v>84</v>
      </c>
      <c r="C81" s="2" t="str">
        <f>IF(VLOOKUP($B81,Q,2,FALSE)=0,"",(VLOOKUP($B81,Q,2,FALSE)))</f>
        <v/>
      </c>
      <c r="D81" s="2" t="str">
        <f>IF(VLOOKUP($B81,Q,3,FALSE)=0,"",(VLOOKUP($B81,Q,3,FALSE)))</f>
        <v/>
      </c>
      <c r="E81" s="2" t="str">
        <f>IF(VLOOKUP($B81,Q,8,FALSE)=0,"",(VLOOKUP($B81,Q,8,FALSE)))</f>
        <v/>
      </c>
      <c r="F81" s="19" t="str">
        <f>IF(VLOOKUP($B81,Q,9,FALSE)=0,"",(VLOOKUP($B81,Q,9,FALSE)))</f>
        <v/>
      </c>
      <c r="G81" s="2" t="str">
        <f>IF(VLOOKUP($B81,Q,10,FALSE)=0,"",(VLOOKUP($B81,Q,10,FALSE)))</f>
        <v/>
      </c>
      <c r="H81" s="2" t="str">
        <f>IF(VLOOKUP($B81,Q,14,FALSE)=0,"",(VLOOKUP($B81,Q,14,FALSE)))</f>
        <v/>
      </c>
      <c r="I81" s="2" t="str">
        <f>IF(VLOOKUP($B81,Q,14,FALSE)=0,"",(VLOOKUP($B81,Q,15,FALSE)))</f>
        <v/>
      </c>
      <c r="J81" s="2" t="str">
        <f>IF(VLOOKUP($B81,Q,14,FALSE)=0,"",(VLOOKUP($B81,Q,16,FALSE)))</f>
        <v/>
      </c>
      <c r="K81" s="2" t="str">
        <f>IF(VLOOKUP($B81,Q,14,FALSE)=0,"",(VLOOKUP($B81,Q,17,FALSE)))</f>
        <v/>
      </c>
    </row>
    <row r="82" spans="2:11" x14ac:dyDescent="0.6">
      <c r="B82" s="1">
        <v>85</v>
      </c>
      <c r="C82" s="2" t="str">
        <f>IF(VLOOKUP($B82,Q,2,FALSE)=0,"",(VLOOKUP($B82,Q,2,FALSE)))</f>
        <v/>
      </c>
      <c r="D82" s="2" t="str">
        <f>IF(VLOOKUP($B82,Q,3,FALSE)=0,"",(VLOOKUP($B82,Q,3,FALSE)))</f>
        <v/>
      </c>
      <c r="E82" s="2" t="str">
        <f>IF(VLOOKUP($B82,Q,8,FALSE)=0,"",(VLOOKUP($B82,Q,8,FALSE)))</f>
        <v/>
      </c>
      <c r="F82" s="19" t="str">
        <f>IF(VLOOKUP($B82,Q,9,FALSE)=0,"",(VLOOKUP($B82,Q,9,FALSE)))</f>
        <v/>
      </c>
      <c r="G82" s="2" t="str">
        <f>IF(VLOOKUP($B82,Q,10,FALSE)=0,"",(VLOOKUP($B82,Q,10,FALSE)))</f>
        <v/>
      </c>
      <c r="H82" s="2" t="str">
        <f>IF(VLOOKUP($B82,Q,14,FALSE)=0,"",(VLOOKUP($B82,Q,14,FALSE)))</f>
        <v/>
      </c>
      <c r="I82" s="2" t="str">
        <f>IF(VLOOKUP($B82,Q,14,FALSE)=0,"",(VLOOKUP($B82,Q,15,FALSE)))</f>
        <v/>
      </c>
      <c r="J82" s="2" t="str">
        <f>IF(VLOOKUP($B82,Q,14,FALSE)=0,"",(VLOOKUP($B82,Q,16,FALSE)))</f>
        <v/>
      </c>
      <c r="K82" s="2" t="str">
        <f>IF(VLOOKUP($B82,Q,14,FALSE)=0,"",(VLOOKUP($B82,Q,17,FALSE)))</f>
        <v/>
      </c>
    </row>
    <row r="83" spans="2:11" x14ac:dyDescent="0.6">
      <c r="B83" s="1">
        <v>86</v>
      </c>
      <c r="C83" s="2" t="str">
        <f>IF(VLOOKUP($B83,Q,2,FALSE)=0,"",(VLOOKUP($B83,Q,2,FALSE)))</f>
        <v/>
      </c>
      <c r="D83" s="2" t="str">
        <f>IF(VLOOKUP($B83,Q,3,FALSE)=0,"",(VLOOKUP($B83,Q,3,FALSE)))</f>
        <v/>
      </c>
      <c r="E83" s="2" t="str">
        <f>IF(VLOOKUP($B83,Q,8,FALSE)=0,"",(VLOOKUP($B83,Q,8,FALSE)))</f>
        <v/>
      </c>
      <c r="F83" s="19" t="str">
        <f>IF(VLOOKUP($B83,Q,9,FALSE)=0,"",(VLOOKUP($B83,Q,9,FALSE)))</f>
        <v/>
      </c>
      <c r="G83" s="2" t="str">
        <f>IF(VLOOKUP($B83,Q,10,FALSE)=0,"",(VLOOKUP($B83,Q,10,FALSE)))</f>
        <v/>
      </c>
      <c r="H83" s="2" t="str">
        <f>IF(VLOOKUP($B83,Q,14,FALSE)=0,"",(VLOOKUP($B83,Q,14,FALSE)))</f>
        <v/>
      </c>
      <c r="I83" s="2" t="str">
        <f>IF(VLOOKUP($B83,Q,14,FALSE)=0,"",(VLOOKUP($B83,Q,15,FALSE)))</f>
        <v/>
      </c>
      <c r="J83" s="2" t="str">
        <f>IF(VLOOKUP($B83,Q,14,FALSE)=0,"",(VLOOKUP($B83,Q,16,FALSE)))</f>
        <v/>
      </c>
      <c r="K83" s="2" t="str">
        <f>IF(VLOOKUP($B83,Q,14,FALSE)=0,"",(VLOOKUP($B83,Q,17,FALSE)))</f>
        <v/>
      </c>
    </row>
    <row r="84" spans="2:11" x14ac:dyDescent="0.6">
      <c r="B84" s="1">
        <v>87</v>
      </c>
      <c r="C84" s="2" t="str">
        <f>IF(VLOOKUP($B84,Q,2,FALSE)=0,"",(VLOOKUP($B84,Q,2,FALSE)))</f>
        <v/>
      </c>
      <c r="D84" s="2" t="str">
        <f>IF(VLOOKUP($B84,Q,3,FALSE)=0,"",(VLOOKUP($B84,Q,3,FALSE)))</f>
        <v/>
      </c>
      <c r="E84" s="2" t="str">
        <f>IF(VLOOKUP($B84,Q,8,FALSE)=0,"",(VLOOKUP($B84,Q,8,FALSE)))</f>
        <v/>
      </c>
      <c r="F84" s="19" t="str">
        <f>IF(VLOOKUP($B84,Q,9,FALSE)=0,"",(VLOOKUP($B84,Q,9,FALSE)))</f>
        <v/>
      </c>
      <c r="G84" s="2" t="str">
        <f>IF(VLOOKUP($B84,Q,10,FALSE)=0,"",(VLOOKUP($B84,Q,10,FALSE)))</f>
        <v/>
      </c>
      <c r="H84" s="2" t="str">
        <f>IF(VLOOKUP($B84,Q,14,FALSE)=0,"",(VLOOKUP($B84,Q,14,FALSE)))</f>
        <v/>
      </c>
      <c r="I84" s="2" t="str">
        <f>IF(VLOOKUP($B84,Q,14,FALSE)=0,"",(VLOOKUP($B84,Q,15,FALSE)))</f>
        <v/>
      </c>
      <c r="J84" s="2" t="str">
        <f>IF(VLOOKUP($B84,Q,14,FALSE)=0,"",(VLOOKUP($B84,Q,16,FALSE)))</f>
        <v/>
      </c>
      <c r="K84" s="2" t="str">
        <f>IF(VLOOKUP($B84,Q,14,FALSE)=0,"",(VLOOKUP($B84,Q,17,FALSE)))</f>
        <v/>
      </c>
    </row>
    <row r="85" spans="2:11" x14ac:dyDescent="0.6">
      <c r="B85" s="1">
        <v>88</v>
      </c>
      <c r="C85" s="2" t="str">
        <f>IF(VLOOKUP($B85,Q,2,FALSE)=0,"",(VLOOKUP($B85,Q,2,FALSE)))</f>
        <v/>
      </c>
      <c r="D85" s="2" t="str">
        <f>IF(VLOOKUP($B85,Q,3,FALSE)=0,"",(VLOOKUP($B85,Q,3,FALSE)))</f>
        <v/>
      </c>
      <c r="E85" s="2" t="str">
        <f>IF(VLOOKUP($B85,Q,8,FALSE)=0,"",(VLOOKUP($B85,Q,8,FALSE)))</f>
        <v/>
      </c>
      <c r="F85" s="19" t="str">
        <f>IF(VLOOKUP($B85,Q,9,FALSE)=0,"",(VLOOKUP($B85,Q,9,FALSE)))</f>
        <v/>
      </c>
      <c r="G85" s="2" t="str">
        <f>IF(VLOOKUP($B85,Q,10,FALSE)=0,"",(VLOOKUP($B85,Q,10,FALSE)))</f>
        <v/>
      </c>
      <c r="H85" s="2" t="str">
        <f>IF(VLOOKUP($B85,Q,14,FALSE)=0,"",(VLOOKUP($B85,Q,14,FALSE)))</f>
        <v/>
      </c>
      <c r="I85" s="2" t="str">
        <f>IF(VLOOKUP($B85,Q,14,FALSE)=0,"",(VLOOKUP($B85,Q,15,FALSE)))</f>
        <v/>
      </c>
      <c r="J85" s="2" t="str">
        <f>IF(VLOOKUP($B85,Q,14,FALSE)=0,"",(VLOOKUP($B85,Q,16,FALSE)))</f>
        <v/>
      </c>
      <c r="K85" s="2" t="str">
        <f>IF(VLOOKUP($B85,Q,14,FALSE)=0,"",(VLOOKUP($B85,Q,17,FALSE)))</f>
        <v/>
      </c>
    </row>
    <row r="86" spans="2:11" x14ac:dyDescent="0.6">
      <c r="B86" s="1">
        <v>89</v>
      </c>
      <c r="C86" s="2" t="str">
        <f>IF(VLOOKUP($B86,Q,2,FALSE)=0,"",(VLOOKUP($B86,Q,2,FALSE)))</f>
        <v/>
      </c>
      <c r="D86" s="2" t="str">
        <f>IF(VLOOKUP($B86,Q,3,FALSE)=0,"",(VLOOKUP($B86,Q,3,FALSE)))</f>
        <v/>
      </c>
      <c r="E86" s="2" t="str">
        <f>IF(VLOOKUP($B86,Q,8,FALSE)=0,"",(VLOOKUP($B86,Q,8,FALSE)))</f>
        <v/>
      </c>
      <c r="F86" s="19" t="str">
        <f>IF(VLOOKUP($B86,Q,9,FALSE)=0,"",(VLOOKUP($B86,Q,9,FALSE)))</f>
        <v/>
      </c>
      <c r="G86" s="2" t="str">
        <f>IF(VLOOKUP($B86,Q,10,FALSE)=0,"",(VLOOKUP($B86,Q,10,FALSE)))</f>
        <v/>
      </c>
      <c r="H86" s="2" t="str">
        <f>IF(VLOOKUP($B86,Q,14,FALSE)=0,"",(VLOOKUP($B86,Q,14,FALSE)))</f>
        <v/>
      </c>
      <c r="I86" s="2" t="str">
        <f>IF(VLOOKUP($B86,Q,14,FALSE)=0,"",(VLOOKUP($B86,Q,15,FALSE)))</f>
        <v/>
      </c>
      <c r="J86" s="2" t="str">
        <f>IF(VLOOKUP($B86,Q,14,FALSE)=0,"",(VLOOKUP($B86,Q,16,FALSE)))</f>
        <v/>
      </c>
      <c r="K86" s="2" t="str">
        <f>IF(VLOOKUP($B86,Q,14,FALSE)=0,"",(VLOOKUP($B86,Q,17,FALSE)))</f>
        <v/>
      </c>
    </row>
    <row r="87" spans="2:11" x14ac:dyDescent="0.6">
      <c r="B87" s="1">
        <v>90</v>
      </c>
      <c r="C87" s="2" t="str">
        <f>IF(VLOOKUP($B87,Q,2,FALSE)=0,"",(VLOOKUP($B87,Q,2,FALSE)))</f>
        <v/>
      </c>
      <c r="D87" s="2" t="str">
        <f>IF(VLOOKUP($B87,Q,3,FALSE)=0,"",(VLOOKUP($B87,Q,3,FALSE)))</f>
        <v/>
      </c>
      <c r="E87" s="2" t="str">
        <f>IF(VLOOKUP($B87,Q,8,FALSE)=0,"",(VLOOKUP($B87,Q,8,FALSE)))</f>
        <v/>
      </c>
      <c r="F87" s="19" t="str">
        <f>IF(VLOOKUP($B87,Q,9,FALSE)=0,"",(VLOOKUP($B87,Q,9,FALSE)))</f>
        <v/>
      </c>
      <c r="G87" s="2" t="str">
        <f>IF(VLOOKUP($B87,Q,10,FALSE)=0,"",(VLOOKUP($B87,Q,10,FALSE)))</f>
        <v/>
      </c>
      <c r="H87" s="2" t="str">
        <f>IF(VLOOKUP($B87,Q,14,FALSE)=0,"",(VLOOKUP($B87,Q,14,FALSE)))</f>
        <v/>
      </c>
      <c r="I87" s="2" t="str">
        <f>IF(VLOOKUP($B87,Q,14,FALSE)=0,"",(VLOOKUP($B87,Q,15,FALSE)))</f>
        <v/>
      </c>
      <c r="J87" s="2" t="str">
        <f>IF(VLOOKUP($B87,Q,14,FALSE)=0,"",(VLOOKUP($B87,Q,16,FALSE)))</f>
        <v/>
      </c>
      <c r="K87" s="2" t="str">
        <f>IF(VLOOKUP($B87,Q,14,FALSE)=0,"",(VLOOKUP($B87,Q,17,FALSE)))</f>
        <v/>
      </c>
    </row>
    <row r="88" spans="2:11" x14ac:dyDescent="0.6">
      <c r="B88" s="1">
        <v>91</v>
      </c>
      <c r="C88" s="2" t="str">
        <f>IF(VLOOKUP($B88,Q,2,FALSE)=0,"",(VLOOKUP($B88,Q,2,FALSE)))</f>
        <v/>
      </c>
      <c r="D88" s="2" t="str">
        <f>IF(VLOOKUP($B88,Q,3,FALSE)=0,"",(VLOOKUP($B88,Q,3,FALSE)))</f>
        <v/>
      </c>
      <c r="E88" s="2" t="str">
        <f>IF(VLOOKUP($B88,Q,8,FALSE)=0,"",(VLOOKUP($B88,Q,8,FALSE)))</f>
        <v/>
      </c>
      <c r="F88" s="19" t="str">
        <f>IF(VLOOKUP($B88,Q,9,FALSE)=0,"",(VLOOKUP($B88,Q,9,FALSE)))</f>
        <v/>
      </c>
      <c r="G88" s="2" t="str">
        <f>IF(VLOOKUP($B88,Q,10,FALSE)=0,"",(VLOOKUP($B88,Q,10,FALSE)))</f>
        <v/>
      </c>
      <c r="H88" s="2" t="str">
        <f>IF(VLOOKUP($B88,Q,14,FALSE)=0,"",(VLOOKUP($B88,Q,14,FALSE)))</f>
        <v/>
      </c>
      <c r="I88" s="2" t="str">
        <f>IF(VLOOKUP($B88,Q,14,FALSE)=0,"",(VLOOKUP($B88,Q,15,FALSE)))</f>
        <v/>
      </c>
      <c r="J88" s="2" t="str">
        <f>IF(VLOOKUP($B88,Q,14,FALSE)=0,"",(VLOOKUP($B88,Q,16,FALSE)))</f>
        <v/>
      </c>
      <c r="K88" s="2" t="str">
        <f>IF(VLOOKUP($B88,Q,14,FALSE)=0,"",(VLOOKUP($B88,Q,17,FALSE)))</f>
        <v/>
      </c>
    </row>
    <row r="89" spans="2:11" x14ac:dyDescent="0.6">
      <c r="B89" s="1">
        <v>92</v>
      </c>
      <c r="C89" s="2" t="str">
        <f>IF(VLOOKUP($B89,Q,2,FALSE)=0,"",(VLOOKUP($B89,Q,2,FALSE)))</f>
        <v/>
      </c>
      <c r="D89" s="2" t="str">
        <f>IF(VLOOKUP($B89,Q,3,FALSE)=0,"",(VLOOKUP($B89,Q,3,FALSE)))</f>
        <v/>
      </c>
      <c r="E89" s="2" t="str">
        <f>IF(VLOOKUP($B89,Q,8,FALSE)=0,"",(VLOOKUP($B89,Q,8,FALSE)))</f>
        <v/>
      </c>
      <c r="F89" s="19" t="str">
        <f>IF(VLOOKUP($B89,Q,9,FALSE)=0,"",(VLOOKUP($B89,Q,9,FALSE)))</f>
        <v/>
      </c>
      <c r="G89" s="2" t="str">
        <f>IF(VLOOKUP($B89,Q,10,FALSE)=0,"",(VLOOKUP($B89,Q,10,FALSE)))</f>
        <v/>
      </c>
      <c r="H89" s="2" t="str">
        <f>IF(VLOOKUP($B89,Q,14,FALSE)=0,"",(VLOOKUP($B89,Q,14,FALSE)))</f>
        <v/>
      </c>
      <c r="I89" s="2" t="str">
        <f>IF(VLOOKUP($B89,Q,14,FALSE)=0,"",(VLOOKUP($B89,Q,15,FALSE)))</f>
        <v/>
      </c>
      <c r="J89" s="2" t="str">
        <f>IF(VLOOKUP($B89,Q,14,FALSE)=0,"",(VLOOKUP($B89,Q,16,FALSE)))</f>
        <v/>
      </c>
      <c r="K89" s="2" t="str">
        <f>IF(VLOOKUP($B89,Q,14,FALSE)=0,"",(VLOOKUP($B89,Q,17,FALSE)))</f>
        <v/>
      </c>
    </row>
    <row r="90" spans="2:11" x14ac:dyDescent="0.6">
      <c r="B90" s="1">
        <v>93</v>
      </c>
      <c r="C90" s="2" t="str">
        <f>IF(VLOOKUP($B90,Q,2,FALSE)=0,"",(VLOOKUP($B90,Q,2,FALSE)))</f>
        <v/>
      </c>
      <c r="D90" s="2" t="str">
        <f>IF(VLOOKUP($B90,Q,3,FALSE)=0,"",(VLOOKUP($B90,Q,3,FALSE)))</f>
        <v/>
      </c>
      <c r="E90" s="2" t="str">
        <f>IF(VLOOKUP($B90,Q,8,FALSE)=0,"",(VLOOKUP($B90,Q,8,FALSE)))</f>
        <v/>
      </c>
      <c r="F90" s="19" t="str">
        <f>IF(VLOOKUP($B90,Q,9,FALSE)=0,"",(VLOOKUP($B90,Q,9,FALSE)))</f>
        <v/>
      </c>
      <c r="G90" s="2" t="str">
        <f>IF(VLOOKUP($B90,Q,10,FALSE)=0,"",(VLOOKUP($B90,Q,10,FALSE)))</f>
        <v/>
      </c>
      <c r="H90" s="2" t="str">
        <f>IF(VLOOKUP($B90,Q,14,FALSE)=0,"",(VLOOKUP($B90,Q,14,FALSE)))</f>
        <v/>
      </c>
      <c r="I90" s="2" t="str">
        <f>IF(VLOOKUP($B90,Q,14,FALSE)=0,"",(VLOOKUP($B90,Q,15,FALSE)))</f>
        <v/>
      </c>
      <c r="J90" s="2" t="str">
        <f>IF(VLOOKUP($B90,Q,14,FALSE)=0,"",(VLOOKUP($B90,Q,16,FALSE)))</f>
        <v/>
      </c>
      <c r="K90" s="2" t="str">
        <f>IF(VLOOKUP($B90,Q,14,FALSE)=0,"",(VLOOKUP($B90,Q,17,FALSE)))</f>
        <v/>
      </c>
    </row>
    <row r="91" spans="2:11" x14ac:dyDescent="0.6">
      <c r="B91" s="1">
        <v>94</v>
      </c>
      <c r="C91" s="2" t="str">
        <f>IF(VLOOKUP($B91,Q,2,FALSE)=0,"",(VLOOKUP($B91,Q,2,FALSE)))</f>
        <v/>
      </c>
      <c r="D91" s="2" t="str">
        <f>IF(VLOOKUP($B91,Q,3,FALSE)=0,"",(VLOOKUP($B91,Q,3,FALSE)))</f>
        <v/>
      </c>
      <c r="E91" s="2" t="str">
        <f>IF(VLOOKUP($B91,Q,8,FALSE)=0,"",(VLOOKUP($B91,Q,8,FALSE)))</f>
        <v/>
      </c>
      <c r="F91" s="19" t="str">
        <f>IF(VLOOKUP($B91,Q,9,FALSE)=0,"",(VLOOKUP($B91,Q,9,FALSE)))</f>
        <v/>
      </c>
      <c r="G91" s="2" t="str">
        <f>IF(VLOOKUP($B91,Q,10,FALSE)=0,"",(VLOOKUP($B91,Q,10,FALSE)))</f>
        <v/>
      </c>
      <c r="H91" s="2" t="str">
        <f>IF(VLOOKUP($B91,Q,14,FALSE)=0,"",(VLOOKUP($B91,Q,14,FALSE)))</f>
        <v/>
      </c>
      <c r="I91" s="2" t="str">
        <f>IF(VLOOKUP($B91,Q,14,FALSE)=0,"",(VLOOKUP($B91,Q,15,FALSE)))</f>
        <v/>
      </c>
      <c r="J91" s="2" t="str">
        <f>IF(VLOOKUP($B91,Q,14,FALSE)=0,"",(VLOOKUP($B91,Q,16,FALSE)))</f>
        <v/>
      </c>
      <c r="K91" s="2" t="str">
        <f>IF(VLOOKUP($B91,Q,14,FALSE)=0,"",(VLOOKUP($B91,Q,17,FALSE)))</f>
        <v/>
      </c>
    </row>
    <row r="92" spans="2:11" x14ac:dyDescent="0.6">
      <c r="B92" s="1">
        <v>95</v>
      </c>
      <c r="C92" s="2" t="str">
        <f>IF(VLOOKUP($B92,Q,2,FALSE)=0,"",(VLOOKUP($B92,Q,2,FALSE)))</f>
        <v/>
      </c>
      <c r="D92" s="2" t="str">
        <f>IF(VLOOKUP($B92,Q,3,FALSE)=0,"",(VLOOKUP($B92,Q,3,FALSE)))</f>
        <v/>
      </c>
      <c r="E92" s="2" t="str">
        <f>IF(VLOOKUP($B92,Q,8,FALSE)=0,"",(VLOOKUP($B92,Q,8,FALSE)))</f>
        <v/>
      </c>
      <c r="F92" s="19" t="str">
        <f>IF(VLOOKUP($B92,Q,9,FALSE)=0,"",(VLOOKUP($B92,Q,9,FALSE)))</f>
        <v/>
      </c>
      <c r="G92" s="2" t="str">
        <f>IF(VLOOKUP($B92,Q,10,FALSE)=0,"",(VLOOKUP($B92,Q,10,FALSE)))</f>
        <v/>
      </c>
      <c r="H92" s="2" t="str">
        <f>IF(VLOOKUP($B92,Q,14,FALSE)=0,"",(VLOOKUP($B92,Q,14,FALSE)))</f>
        <v/>
      </c>
      <c r="I92" s="2" t="str">
        <f>IF(VLOOKUP($B92,Q,14,FALSE)=0,"",(VLOOKUP($B92,Q,15,FALSE)))</f>
        <v/>
      </c>
      <c r="J92" s="2" t="str">
        <f>IF(VLOOKUP($B92,Q,14,FALSE)=0,"",(VLOOKUP($B92,Q,16,FALSE)))</f>
        <v/>
      </c>
      <c r="K92" s="2" t="str">
        <f>IF(VLOOKUP($B92,Q,14,FALSE)=0,"",(VLOOKUP($B92,Q,17,FALSE)))</f>
        <v/>
      </c>
    </row>
    <row r="93" spans="2:11" x14ac:dyDescent="0.6">
      <c r="B93" s="1">
        <v>96</v>
      </c>
      <c r="C93" s="2" t="str">
        <f>IF(VLOOKUP($B93,Q,2,FALSE)=0,"",(VLOOKUP($B93,Q,2,FALSE)))</f>
        <v/>
      </c>
      <c r="D93" s="2" t="str">
        <f>IF(VLOOKUP($B93,Q,3,FALSE)=0,"",(VLOOKUP($B93,Q,3,FALSE)))</f>
        <v/>
      </c>
      <c r="E93" s="2" t="str">
        <f>IF(VLOOKUP($B93,Q,8,FALSE)=0,"",(VLOOKUP($B93,Q,8,FALSE)))</f>
        <v/>
      </c>
      <c r="F93" s="19" t="str">
        <f>IF(VLOOKUP($B93,Q,9,FALSE)=0,"",(VLOOKUP($B93,Q,9,FALSE)))</f>
        <v/>
      </c>
      <c r="G93" s="2" t="str">
        <f>IF(VLOOKUP($B93,Q,10,FALSE)=0,"",(VLOOKUP($B93,Q,10,FALSE)))</f>
        <v/>
      </c>
      <c r="H93" s="2" t="str">
        <f>IF(VLOOKUP($B93,Q,14,FALSE)=0,"",(VLOOKUP($B93,Q,14,FALSE)))</f>
        <v/>
      </c>
      <c r="I93" s="2" t="str">
        <f>IF(VLOOKUP($B93,Q,14,FALSE)=0,"",(VLOOKUP($B93,Q,15,FALSE)))</f>
        <v/>
      </c>
      <c r="J93" s="2" t="str">
        <f>IF(VLOOKUP($B93,Q,14,FALSE)=0,"",(VLOOKUP($B93,Q,16,FALSE)))</f>
        <v/>
      </c>
      <c r="K93" s="2" t="str">
        <f>IF(VLOOKUP($B93,Q,14,FALSE)=0,"",(VLOOKUP($B93,Q,17,FALSE)))</f>
        <v/>
      </c>
    </row>
    <row r="94" spans="2:11" x14ac:dyDescent="0.6">
      <c r="B94" s="1">
        <v>97</v>
      </c>
      <c r="C94" s="2" t="str">
        <f>IF(VLOOKUP($B94,Q,2,FALSE)=0,"",(VLOOKUP($B94,Q,2,FALSE)))</f>
        <v/>
      </c>
      <c r="D94" s="2" t="str">
        <f>IF(VLOOKUP($B94,Q,3,FALSE)=0,"",(VLOOKUP($B94,Q,3,FALSE)))</f>
        <v/>
      </c>
      <c r="E94" s="2" t="str">
        <f>IF(VLOOKUP($B94,Q,8,FALSE)=0,"",(VLOOKUP($B94,Q,8,FALSE)))</f>
        <v/>
      </c>
      <c r="F94" s="19" t="str">
        <f>IF(VLOOKUP($B94,Q,9,FALSE)=0,"",(VLOOKUP($B94,Q,9,FALSE)))</f>
        <v/>
      </c>
      <c r="G94" s="2" t="str">
        <f>IF(VLOOKUP($B94,Q,10,FALSE)=0,"",(VLOOKUP($B94,Q,10,FALSE)))</f>
        <v/>
      </c>
      <c r="H94" s="2" t="str">
        <f>IF(VLOOKUP($B94,Q,14,FALSE)=0,"",(VLOOKUP($B94,Q,14,FALSE)))</f>
        <v/>
      </c>
      <c r="I94" s="2" t="str">
        <f>IF(VLOOKUP($B94,Q,14,FALSE)=0,"",(VLOOKUP($B94,Q,15,FALSE)))</f>
        <v/>
      </c>
      <c r="J94" s="2" t="str">
        <f>IF(VLOOKUP($B94,Q,14,FALSE)=0,"",(VLOOKUP($B94,Q,16,FALSE)))</f>
        <v/>
      </c>
      <c r="K94" s="2" t="str">
        <f>IF(VLOOKUP($B94,Q,14,FALSE)=0,"",(VLOOKUP($B94,Q,17,FALSE)))</f>
        <v/>
      </c>
    </row>
    <row r="95" spans="2:11" x14ac:dyDescent="0.6">
      <c r="B95" s="1">
        <v>98</v>
      </c>
      <c r="C95" s="2" t="str">
        <f>IF(VLOOKUP($B95,Q,2,FALSE)=0,"",(VLOOKUP($B95,Q,2,FALSE)))</f>
        <v/>
      </c>
      <c r="D95" s="2" t="str">
        <f>IF(VLOOKUP($B95,Q,3,FALSE)=0,"",(VLOOKUP($B95,Q,3,FALSE)))</f>
        <v/>
      </c>
      <c r="E95" s="2" t="str">
        <f>IF(VLOOKUP($B95,Q,8,FALSE)=0,"",(VLOOKUP($B95,Q,8,FALSE)))</f>
        <v/>
      </c>
      <c r="F95" s="19" t="str">
        <f>IF(VLOOKUP($B95,Q,9,FALSE)=0,"",(VLOOKUP($B95,Q,9,FALSE)))</f>
        <v/>
      </c>
      <c r="G95" s="2" t="str">
        <f>IF(VLOOKUP($B95,Q,10,FALSE)=0,"",(VLOOKUP($B95,Q,10,FALSE)))</f>
        <v/>
      </c>
      <c r="H95" s="2" t="str">
        <f>IF(VLOOKUP($B95,Q,14,FALSE)=0,"",(VLOOKUP($B95,Q,14,FALSE)))</f>
        <v/>
      </c>
      <c r="I95" s="2" t="str">
        <f>IF(VLOOKUP($B95,Q,14,FALSE)=0,"",(VLOOKUP($B95,Q,15,FALSE)))</f>
        <v/>
      </c>
      <c r="J95" s="2" t="str">
        <f>IF(VLOOKUP($B95,Q,14,FALSE)=0,"",(VLOOKUP($B95,Q,16,FALSE)))</f>
        <v/>
      </c>
      <c r="K95" s="2" t="str">
        <f>IF(VLOOKUP($B95,Q,14,FALSE)=0,"",(VLOOKUP($B95,Q,17,FALSE)))</f>
        <v/>
      </c>
    </row>
    <row r="96" spans="2:11" x14ac:dyDescent="0.6">
      <c r="B96" s="1">
        <v>99</v>
      </c>
      <c r="C96" s="2" t="str">
        <f>IF(VLOOKUP($B96,Q,2,FALSE)=0,"",(VLOOKUP($B96,Q,2,FALSE)))</f>
        <v/>
      </c>
      <c r="D96" s="2" t="str">
        <f>IF(VLOOKUP($B96,Q,3,FALSE)=0,"",(VLOOKUP($B96,Q,3,FALSE)))</f>
        <v/>
      </c>
      <c r="E96" s="2" t="str">
        <f>IF(VLOOKUP($B96,Q,8,FALSE)=0,"",(VLOOKUP($B96,Q,8,FALSE)))</f>
        <v/>
      </c>
      <c r="F96" s="19" t="str">
        <f>IF(VLOOKUP($B96,Q,9,FALSE)=0,"",(VLOOKUP($B96,Q,9,FALSE)))</f>
        <v/>
      </c>
      <c r="G96" s="2" t="str">
        <f>IF(VLOOKUP($B96,Q,10,FALSE)=0,"",(VLOOKUP($B96,Q,10,FALSE)))</f>
        <v/>
      </c>
      <c r="H96" s="2" t="str">
        <f>IF(VLOOKUP($B96,Q,14,FALSE)=0,"",(VLOOKUP($B96,Q,14,FALSE)))</f>
        <v/>
      </c>
      <c r="I96" s="2" t="str">
        <f>IF(VLOOKUP($B96,Q,14,FALSE)=0,"",(VLOOKUP($B96,Q,15,FALSE)))</f>
        <v/>
      </c>
      <c r="J96" s="2" t="str">
        <f>IF(VLOOKUP($B96,Q,14,FALSE)=0,"",(VLOOKUP($B96,Q,16,FALSE)))</f>
        <v/>
      </c>
      <c r="K96" s="2" t="str">
        <f>IF(VLOOKUP($B96,Q,14,FALSE)=0,"",(VLOOKUP($B96,Q,17,FALSE)))</f>
        <v/>
      </c>
    </row>
    <row r="97" spans="2:11" x14ac:dyDescent="0.6">
      <c r="B97" s="1">
        <v>100</v>
      </c>
      <c r="C97" s="2" t="str">
        <f>IF(VLOOKUP($B97,Q,2,FALSE)=0,"",(VLOOKUP($B97,Q,2,FALSE)))</f>
        <v/>
      </c>
      <c r="D97" s="2" t="str">
        <f>IF(VLOOKUP($B97,Q,3,FALSE)=0,"",(VLOOKUP($B97,Q,3,FALSE)))</f>
        <v/>
      </c>
      <c r="E97" s="2" t="str">
        <f>IF(VLOOKUP($B97,Q,8,FALSE)=0,"",(VLOOKUP($B97,Q,8,FALSE)))</f>
        <v/>
      </c>
      <c r="F97" s="19" t="str">
        <f>IF(VLOOKUP($B97,Q,9,FALSE)=0,"",(VLOOKUP($B97,Q,9,FALSE)))</f>
        <v/>
      </c>
      <c r="G97" s="2" t="str">
        <f>IF(VLOOKUP($B97,Q,10,FALSE)=0,"",(VLOOKUP($B97,Q,10,FALSE)))</f>
        <v/>
      </c>
      <c r="H97" s="2" t="str">
        <f>IF(VLOOKUP($B97,Q,14,FALSE)=0,"",(VLOOKUP($B97,Q,14,FALSE)))</f>
        <v/>
      </c>
      <c r="I97" s="2" t="str">
        <f>IF(VLOOKUP($B97,Q,14,FALSE)=0,"",(VLOOKUP($B97,Q,15,FALSE)))</f>
        <v/>
      </c>
      <c r="J97" s="2" t="str">
        <f>IF(VLOOKUP($B97,Q,14,FALSE)=0,"",(VLOOKUP($B97,Q,16,FALSE)))</f>
        <v/>
      </c>
      <c r="K97" s="2" t="str">
        <f>IF(VLOOKUP($B97,Q,14,FALSE)=0,"",(VLOOKUP($B97,Q,17,FALSE)))</f>
        <v/>
      </c>
    </row>
    <row r="98" spans="2:11" x14ac:dyDescent="0.6">
      <c r="B98" s="1">
        <v>101</v>
      </c>
      <c r="C98" s="2" t="str">
        <f>IF(VLOOKUP($B98,Q,2,FALSE)=0,"",(VLOOKUP($B98,Q,2,FALSE)))</f>
        <v/>
      </c>
      <c r="D98" s="2" t="str">
        <f>IF(VLOOKUP($B98,Q,3,FALSE)=0,"",(VLOOKUP($B98,Q,3,FALSE)))</f>
        <v/>
      </c>
      <c r="E98" s="2" t="str">
        <f>IF(VLOOKUP($B98,Q,8,FALSE)=0,"",(VLOOKUP($B98,Q,8,FALSE)))</f>
        <v/>
      </c>
      <c r="F98" s="19" t="str">
        <f>IF(VLOOKUP($B98,Q,9,FALSE)=0,"",(VLOOKUP($B98,Q,9,FALSE)))</f>
        <v/>
      </c>
      <c r="G98" s="2" t="str">
        <f>IF(VLOOKUP($B98,Q,10,FALSE)=0,"",(VLOOKUP($B98,Q,10,FALSE)))</f>
        <v/>
      </c>
      <c r="H98" s="2" t="str">
        <f>IF(VLOOKUP($B98,Q,14,FALSE)=0,"",(VLOOKUP($B98,Q,14,FALSE)))</f>
        <v/>
      </c>
      <c r="I98" s="2" t="str">
        <f>IF(VLOOKUP($B98,Q,14,FALSE)=0,"",(VLOOKUP($B98,Q,15,FALSE)))</f>
        <v/>
      </c>
      <c r="J98" s="2" t="str">
        <f>IF(VLOOKUP($B98,Q,14,FALSE)=0,"",(VLOOKUP($B98,Q,16,FALSE)))</f>
        <v/>
      </c>
      <c r="K98" s="2" t="str">
        <f>IF(VLOOKUP($B98,Q,14,FALSE)=0,"",(VLOOKUP($B98,Q,17,FALSE)))</f>
        <v/>
      </c>
    </row>
    <row r="99" spans="2:11" x14ac:dyDescent="0.6">
      <c r="B99" s="1">
        <v>102</v>
      </c>
      <c r="C99" s="2" t="str">
        <f>IF(VLOOKUP($B99,Q,2,FALSE)=0,"",(VLOOKUP($B99,Q,2,FALSE)))</f>
        <v/>
      </c>
      <c r="D99" s="2" t="str">
        <f>IF(VLOOKUP($B99,Q,3,FALSE)=0,"",(VLOOKUP($B99,Q,3,FALSE)))</f>
        <v/>
      </c>
      <c r="E99" s="2" t="str">
        <f>IF(VLOOKUP($B99,Q,8,FALSE)=0,"",(VLOOKUP($B99,Q,8,FALSE)))</f>
        <v/>
      </c>
      <c r="F99" s="19" t="str">
        <f>IF(VLOOKUP($B99,Q,9,FALSE)=0,"",(VLOOKUP($B99,Q,9,FALSE)))</f>
        <v/>
      </c>
      <c r="G99" s="2" t="str">
        <f>IF(VLOOKUP($B99,Q,10,FALSE)=0,"",(VLOOKUP($B99,Q,10,FALSE)))</f>
        <v/>
      </c>
      <c r="H99" s="2" t="str">
        <f>IF(VLOOKUP($B99,Q,14,FALSE)=0,"",(VLOOKUP($B99,Q,14,FALSE)))</f>
        <v/>
      </c>
      <c r="I99" s="2" t="str">
        <f>IF(VLOOKUP($B99,Q,14,FALSE)=0,"",(VLOOKUP($B99,Q,15,FALSE)))</f>
        <v/>
      </c>
      <c r="J99" s="2" t="str">
        <f>IF(VLOOKUP($B99,Q,14,FALSE)=0,"",(VLOOKUP($B99,Q,16,FALSE)))</f>
        <v/>
      </c>
      <c r="K99" s="2" t="str">
        <f>IF(VLOOKUP($B99,Q,14,FALSE)=0,"",(VLOOKUP($B99,Q,17,FALSE)))</f>
        <v/>
      </c>
    </row>
    <row r="100" spans="2:11" x14ac:dyDescent="0.6">
      <c r="B100" s="1">
        <v>103</v>
      </c>
      <c r="C100" s="2" t="str">
        <f>IF(VLOOKUP($B100,Q,2,FALSE)=0,"",(VLOOKUP($B100,Q,2,FALSE)))</f>
        <v/>
      </c>
      <c r="D100" s="2" t="str">
        <f>IF(VLOOKUP($B100,Q,3,FALSE)=0,"",(VLOOKUP($B100,Q,3,FALSE)))</f>
        <v/>
      </c>
      <c r="E100" s="2" t="str">
        <f>IF(VLOOKUP($B100,Q,8,FALSE)=0,"",(VLOOKUP($B100,Q,8,FALSE)))</f>
        <v/>
      </c>
      <c r="F100" s="19" t="str">
        <f>IF(VLOOKUP($B100,Q,9,FALSE)=0,"",(VLOOKUP($B100,Q,9,FALSE)))</f>
        <v/>
      </c>
      <c r="G100" s="2" t="str">
        <f>IF(VLOOKUP($B100,Q,10,FALSE)=0,"",(VLOOKUP($B100,Q,10,FALSE)))</f>
        <v/>
      </c>
      <c r="H100" s="2" t="str">
        <f>IF(VLOOKUP($B100,Q,14,FALSE)=0,"",(VLOOKUP($B100,Q,14,FALSE)))</f>
        <v/>
      </c>
      <c r="I100" s="2" t="str">
        <f>IF(VLOOKUP($B100,Q,14,FALSE)=0,"",(VLOOKUP($B100,Q,15,FALSE)))</f>
        <v/>
      </c>
      <c r="J100" s="2" t="str">
        <f>IF(VLOOKUP($B100,Q,14,FALSE)=0,"",(VLOOKUP($B100,Q,16,FALSE)))</f>
        <v/>
      </c>
      <c r="K100" s="2" t="str">
        <f>IF(VLOOKUP($B100,Q,14,FALSE)=0,"",(VLOOKUP($B100,Q,17,FALSE)))</f>
        <v/>
      </c>
    </row>
    <row r="101" spans="2:11" x14ac:dyDescent="0.6">
      <c r="B101" s="1">
        <v>104</v>
      </c>
      <c r="C101" s="2" t="str">
        <f>IF(VLOOKUP($B101,Q,2,FALSE)=0,"",(VLOOKUP($B101,Q,2,FALSE)))</f>
        <v/>
      </c>
      <c r="D101" s="2" t="str">
        <f>IF(VLOOKUP($B101,Q,3,FALSE)=0,"",(VLOOKUP($B101,Q,3,FALSE)))</f>
        <v/>
      </c>
      <c r="E101" s="2" t="str">
        <f>IF(VLOOKUP($B101,Q,8,FALSE)=0,"",(VLOOKUP($B101,Q,8,FALSE)))</f>
        <v/>
      </c>
      <c r="F101" s="19" t="str">
        <f>IF(VLOOKUP($B101,Q,9,FALSE)=0,"",(VLOOKUP($B101,Q,9,FALSE)))</f>
        <v/>
      </c>
      <c r="G101" s="2" t="str">
        <f>IF(VLOOKUP($B101,Q,10,FALSE)=0,"",(VLOOKUP($B101,Q,10,FALSE)))</f>
        <v/>
      </c>
      <c r="H101" s="2" t="str">
        <f>IF(VLOOKUP($B101,Q,14,FALSE)=0,"",(VLOOKUP($B101,Q,14,FALSE)))</f>
        <v/>
      </c>
      <c r="I101" s="2" t="str">
        <f>IF(VLOOKUP($B101,Q,14,FALSE)=0,"",(VLOOKUP($B101,Q,15,FALSE)))</f>
        <v/>
      </c>
      <c r="J101" s="2" t="str">
        <f>IF(VLOOKUP($B101,Q,14,FALSE)=0,"",(VLOOKUP($B101,Q,16,FALSE)))</f>
        <v/>
      </c>
      <c r="K101" s="2" t="str">
        <f>IF(VLOOKUP($B101,Q,14,FALSE)=0,"",(VLOOKUP($B101,Q,17,FALSE)))</f>
        <v/>
      </c>
    </row>
    <row r="102" spans="2:11" x14ac:dyDescent="0.6">
      <c r="B102" s="1">
        <v>105</v>
      </c>
      <c r="C102" s="2" t="str">
        <f>IF(VLOOKUP($B102,Q,2,FALSE)=0,"",(VLOOKUP($B102,Q,2,FALSE)))</f>
        <v/>
      </c>
      <c r="D102" s="2" t="str">
        <f>IF(VLOOKUP($B102,Q,3,FALSE)=0,"",(VLOOKUP($B102,Q,3,FALSE)))</f>
        <v/>
      </c>
      <c r="E102" s="2" t="str">
        <f>IF(VLOOKUP($B102,Q,8,FALSE)=0,"",(VLOOKUP($B102,Q,8,FALSE)))</f>
        <v/>
      </c>
      <c r="F102" s="19" t="str">
        <f>IF(VLOOKUP($B102,Q,9,FALSE)=0,"",(VLOOKUP($B102,Q,9,FALSE)))</f>
        <v/>
      </c>
      <c r="G102" s="2" t="str">
        <f>IF(VLOOKUP($B102,Q,10,FALSE)=0,"",(VLOOKUP($B102,Q,10,FALSE)))</f>
        <v/>
      </c>
      <c r="H102" s="2" t="str">
        <f>IF(VLOOKUP($B102,Q,14,FALSE)=0,"",(VLOOKUP($B102,Q,14,FALSE)))</f>
        <v/>
      </c>
      <c r="I102" s="2" t="str">
        <f>IF(VLOOKUP($B102,Q,14,FALSE)=0,"",(VLOOKUP($B102,Q,15,FALSE)))</f>
        <v/>
      </c>
      <c r="J102" s="2" t="str">
        <f>IF(VLOOKUP($B102,Q,14,FALSE)=0,"",(VLOOKUP($B102,Q,16,FALSE)))</f>
        <v/>
      </c>
      <c r="K102" s="2" t="str">
        <f>IF(VLOOKUP($B102,Q,14,FALSE)=0,"",(VLOOKUP($B102,Q,17,FALSE)))</f>
        <v/>
      </c>
    </row>
    <row r="103" spans="2:11" x14ac:dyDescent="0.6">
      <c r="B103" s="1">
        <v>106</v>
      </c>
      <c r="C103" s="2" t="str">
        <f>IF(VLOOKUP($B103,Q,2,FALSE)=0,"",(VLOOKUP($B103,Q,2,FALSE)))</f>
        <v/>
      </c>
      <c r="D103" s="2" t="str">
        <f>IF(VLOOKUP($B103,Q,3,FALSE)=0,"",(VLOOKUP($B103,Q,3,FALSE)))</f>
        <v/>
      </c>
      <c r="E103" s="2" t="str">
        <f>IF(VLOOKUP($B103,Q,8,FALSE)=0,"",(VLOOKUP($B103,Q,8,FALSE)))</f>
        <v/>
      </c>
      <c r="F103" s="19" t="str">
        <f>IF(VLOOKUP($B103,Q,9,FALSE)=0,"",(VLOOKUP($B103,Q,9,FALSE)))</f>
        <v/>
      </c>
      <c r="G103" s="2" t="str">
        <f>IF(VLOOKUP($B103,Q,10,FALSE)=0,"",(VLOOKUP($B103,Q,10,FALSE)))</f>
        <v/>
      </c>
      <c r="H103" s="2" t="str">
        <f>IF(VLOOKUP($B103,Q,14,FALSE)=0,"",(VLOOKUP($B103,Q,14,FALSE)))</f>
        <v/>
      </c>
      <c r="I103" s="2" t="str">
        <f>IF(VLOOKUP($B103,Q,14,FALSE)=0,"",(VLOOKUP($B103,Q,15,FALSE)))</f>
        <v/>
      </c>
      <c r="J103" s="2" t="str">
        <f>IF(VLOOKUP($B103,Q,14,FALSE)=0,"",(VLOOKUP($B103,Q,16,FALSE)))</f>
        <v/>
      </c>
      <c r="K103" s="2" t="str">
        <f>IF(VLOOKUP($B103,Q,14,FALSE)=0,"",(VLOOKUP($B103,Q,17,FALSE)))</f>
        <v/>
      </c>
    </row>
    <row r="104" spans="2:11" x14ac:dyDescent="0.6">
      <c r="B104" s="1">
        <v>107</v>
      </c>
      <c r="C104" s="2" t="str">
        <f>IF(VLOOKUP($B104,Q,2,FALSE)=0,"",(VLOOKUP($B104,Q,2,FALSE)))</f>
        <v/>
      </c>
      <c r="D104" s="2" t="str">
        <f>IF(VLOOKUP($B104,Q,3,FALSE)=0,"",(VLOOKUP($B104,Q,3,FALSE)))</f>
        <v/>
      </c>
      <c r="E104" s="2" t="str">
        <f>IF(VLOOKUP($B104,Q,8,FALSE)=0,"",(VLOOKUP($B104,Q,8,FALSE)))</f>
        <v/>
      </c>
      <c r="F104" s="19" t="str">
        <f>IF(VLOOKUP($B104,Q,9,FALSE)=0,"",(VLOOKUP($B104,Q,9,FALSE)))</f>
        <v/>
      </c>
      <c r="G104" s="2" t="str">
        <f>IF(VLOOKUP($B104,Q,10,FALSE)=0,"",(VLOOKUP($B104,Q,10,FALSE)))</f>
        <v/>
      </c>
      <c r="H104" s="2" t="str">
        <f>IF(VLOOKUP($B104,Q,14,FALSE)=0,"",(VLOOKUP($B104,Q,14,FALSE)))</f>
        <v/>
      </c>
      <c r="I104" s="2" t="str">
        <f>IF(VLOOKUP($B104,Q,14,FALSE)=0,"",(VLOOKUP($B104,Q,15,FALSE)))</f>
        <v/>
      </c>
      <c r="J104" s="2" t="str">
        <f>IF(VLOOKUP($B104,Q,14,FALSE)=0,"",(VLOOKUP($B104,Q,16,FALSE)))</f>
        <v/>
      </c>
      <c r="K104" s="2" t="str">
        <f>IF(VLOOKUP($B104,Q,14,FALSE)=0,"",(VLOOKUP($B104,Q,17,FALSE)))</f>
        <v/>
      </c>
    </row>
    <row r="105" spans="2:11" x14ac:dyDescent="0.6">
      <c r="B105" s="1">
        <v>108</v>
      </c>
      <c r="C105" s="2" t="str">
        <f>IF(VLOOKUP($B105,Q,2,FALSE)=0,"",(VLOOKUP($B105,Q,2,FALSE)))</f>
        <v/>
      </c>
      <c r="D105" s="2" t="str">
        <f>IF(VLOOKUP($B105,Q,3,FALSE)=0,"",(VLOOKUP($B105,Q,3,FALSE)))</f>
        <v/>
      </c>
      <c r="E105" s="2" t="str">
        <f>IF(VLOOKUP($B105,Q,8,FALSE)=0,"",(VLOOKUP($B105,Q,8,FALSE)))</f>
        <v/>
      </c>
      <c r="F105" s="19" t="str">
        <f>IF(VLOOKUP($B105,Q,9,FALSE)=0,"",(VLOOKUP($B105,Q,9,FALSE)))</f>
        <v/>
      </c>
      <c r="G105" s="2" t="str">
        <f>IF(VLOOKUP($B105,Q,10,FALSE)=0,"",(VLOOKUP($B105,Q,10,FALSE)))</f>
        <v/>
      </c>
      <c r="H105" s="2" t="str">
        <f>IF(VLOOKUP($B105,Q,14,FALSE)=0,"",(VLOOKUP($B105,Q,14,FALSE)))</f>
        <v/>
      </c>
      <c r="I105" s="2" t="str">
        <f>IF(VLOOKUP($B105,Q,14,FALSE)=0,"",(VLOOKUP($B105,Q,15,FALSE)))</f>
        <v/>
      </c>
      <c r="J105" s="2" t="str">
        <f>IF(VLOOKUP($B105,Q,14,FALSE)=0,"",(VLOOKUP($B105,Q,16,FALSE)))</f>
        <v/>
      </c>
      <c r="K105" s="2" t="str">
        <f>IF(VLOOKUP($B105,Q,14,FALSE)=0,"",(VLOOKUP($B105,Q,17,FALSE)))</f>
        <v/>
      </c>
    </row>
    <row r="106" spans="2:11" x14ac:dyDescent="0.6">
      <c r="B106" s="1">
        <v>109</v>
      </c>
      <c r="C106" s="2" t="str">
        <f>IF(VLOOKUP($B106,Q,2,FALSE)=0,"",(VLOOKUP($B106,Q,2,FALSE)))</f>
        <v/>
      </c>
      <c r="D106" s="2" t="str">
        <f>IF(VLOOKUP($B106,Q,3,FALSE)=0,"",(VLOOKUP($B106,Q,3,FALSE)))</f>
        <v/>
      </c>
      <c r="E106" s="2" t="str">
        <f>IF(VLOOKUP($B106,Q,8,FALSE)=0,"",(VLOOKUP($B106,Q,8,FALSE)))</f>
        <v/>
      </c>
      <c r="F106" s="19" t="str">
        <f>IF(VLOOKUP($B106,Q,9,FALSE)=0,"",(VLOOKUP($B106,Q,9,FALSE)))</f>
        <v/>
      </c>
      <c r="G106" s="2" t="str">
        <f>IF(VLOOKUP($B106,Q,10,FALSE)=0,"",(VLOOKUP($B106,Q,10,FALSE)))</f>
        <v/>
      </c>
      <c r="H106" s="2" t="str">
        <f>IF(VLOOKUP($B106,Q,14,FALSE)=0,"",(VLOOKUP($B106,Q,14,FALSE)))</f>
        <v/>
      </c>
      <c r="I106" s="2" t="str">
        <f>IF(VLOOKUP($B106,Q,14,FALSE)=0,"",(VLOOKUP($B106,Q,15,FALSE)))</f>
        <v/>
      </c>
      <c r="J106" s="2" t="str">
        <f>IF(VLOOKUP($B106,Q,14,FALSE)=0,"",(VLOOKUP($B106,Q,16,FALSE)))</f>
        <v/>
      </c>
      <c r="K106" s="2" t="str">
        <f>IF(VLOOKUP($B106,Q,14,FALSE)=0,"",(VLOOKUP($B106,Q,17,FALSE)))</f>
        <v/>
      </c>
    </row>
    <row r="107" spans="2:11" x14ac:dyDescent="0.6">
      <c r="B107" s="1">
        <v>110</v>
      </c>
      <c r="C107" s="2" t="str">
        <f>IF(VLOOKUP($B107,Q,2,FALSE)=0,"",(VLOOKUP($B107,Q,2,FALSE)))</f>
        <v/>
      </c>
      <c r="D107" s="2" t="str">
        <f>IF(VLOOKUP($B107,Q,3,FALSE)=0,"",(VLOOKUP($B107,Q,3,FALSE)))</f>
        <v/>
      </c>
      <c r="E107" s="2" t="str">
        <f>IF(VLOOKUP($B107,Q,8,FALSE)=0,"",(VLOOKUP($B107,Q,8,FALSE)))</f>
        <v/>
      </c>
      <c r="F107" s="19" t="str">
        <f>IF(VLOOKUP($B107,Q,9,FALSE)=0,"",(VLOOKUP($B107,Q,9,FALSE)))</f>
        <v/>
      </c>
      <c r="G107" s="2" t="str">
        <f>IF(VLOOKUP($B107,Q,10,FALSE)=0,"",(VLOOKUP($B107,Q,10,FALSE)))</f>
        <v/>
      </c>
      <c r="H107" s="2" t="str">
        <f>IF(VLOOKUP($B107,Q,14,FALSE)=0,"",(VLOOKUP($B107,Q,14,FALSE)))</f>
        <v/>
      </c>
      <c r="I107" s="2" t="str">
        <f>IF(VLOOKUP($B107,Q,14,FALSE)=0,"",(VLOOKUP($B107,Q,15,FALSE)))</f>
        <v/>
      </c>
      <c r="J107" s="2" t="str">
        <f>IF(VLOOKUP($B107,Q,14,FALSE)=0,"",(VLOOKUP($B107,Q,16,FALSE)))</f>
        <v/>
      </c>
      <c r="K107" s="2" t="str">
        <f>IF(VLOOKUP($B107,Q,14,FALSE)=0,"",(VLOOKUP($B107,Q,17,FALSE)))</f>
        <v/>
      </c>
    </row>
    <row r="108" spans="2:11" x14ac:dyDescent="0.6">
      <c r="B108" s="1">
        <v>111</v>
      </c>
      <c r="C108" s="2" t="str">
        <f>IF(VLOOKUP($B108,Q,2,FALSE)=0,"",(VLOOKUP($B108,Q,2,FALSE)))</f>
        <v/>
      </c>
      <c r="D108" s="2" t="str">
        <f>IF(VLOOKUP($B108,Q,3,FALSE)=0,"",(VLOOKUP($B108,Q,3,FALSE)))</f>
        <v/>
      </c>
      <c r="E108" s="2" t="str">
        <f>IF(VLOOKUP($B108,Q,8,FALSE)=0,"",(VLOOKUP($B108,Q,8,FALSE)))</f>
        <v/>
      </c>
      <c r="F108" s="19" t="str">
        <f>IF(VLOOKUP($B108,Q,9,FALSE)=0,"",(VLOOKUP($B108,Q,9,FALSE)))</f>
        <v/>
      </c>
      <c r="G108" s="2" t="str">
        <f>IF(VLOOKUP($B108,Q,10,FALSE)=0,"",(VLOOKUP($B108,Q,10,FALSE)))</f>
        <v/>
      </c>
      <c r="H108" s="2" t="str">
        <f>IF(VLOOKUP($B108,Q,14,FALSE)=0,"",(VLOOKUP($B108,Q,14,FALSE)))</f>
        <v/>
      </c>
      <c r="I108" s="2" t="str">
        <f>IF(VLOOKUP($B108,Q,14,FALSE)=0,"",(VLOOKUP($B108,Q,15,FALSE)))</f>
        <v/>
      </c>
      <c r="J108" s="2" t="str">
        <f>IF(VLOOKUP($B108,Q,14,FALSE)=0,"",(VLOOKUP($B108,Q,16,FALSE)))</f>
        <v/>
      </c>
      <c r="K108" s="2" t="str">
        <f>IF(VLOOKUP($B108,Q,14,FALSE)=0,"",(VLOOKUP($B108,Q,17,FALSE)))</f>
        <v/>
      </c>
    </row>
    <row r="109" spans="2:11" x14ac:dyDescent="0.6">
      <c r="B109" s="1">
        <v>112</v>
      </c>
      <c r="C109" s="2" t="str">
        <f>IF(VLOOKUP($B109,Q,2,FALSE)=0,"",(VLOOKUP($B109,Q,2,FALSE)))</f>
        <v/>
      </c>
      <c r="D109" s="2" t="str">
        <f>IF(VLOOKUP($B109,Q,3,FALSE)=0,"",(VLOOKUP($B109,Q,3,FALSE)))</f>
        <v/>
      </c>
      <c r="E109" s="2" t="str">
        <f>IF(VLOOKUP($B109,Q,8,FALSE)=0,"",(VLOOKUP($B109,Q,8,FALSE)))</f>
        <v/>
      </c>
      <c r="F109" s="19" t="str">
        <f>IF(VLOOKUP($B109,Q,9,FALSE)=0,"",(VLOOKUP($B109,Q,9,FALSE)))</f>
        <v/>
      </c>
      <c r="G109" s="2" t="str">
        <f>IF(VLOOKUP($B109,Q,10,FALSE)=0,"",(VLOOKUP($B109,Q,10,FALSE)))</f>
        <v/>
      </c>
      <c r="H109" s="2" t="str">
        <f>IF(VLOOKUP($B109,Q,14,FALSE)=0,"",(VLOOKUP($B109,Q,14,FALSE)))</f>
        <v/>
      </c>
      <c r="I109" s="2" t="str">
        <f>IF(VLOOKUP($B109,Q,14,FALSE)=0,"",(VLOOKUP($B109,Q,15,FALSE)))</f>
        <v/>
      </c>
      <c r="J109" s="2" t="str">
        <f>IF(VLOOKUP($B109,Q,14,FALSE)=0,"",(VLOOKUP($B109,Q,16,FALSE)))</f>
        <v/>
      </c>
      <c r="K109" s="2" t="str">
        <f>IF(VLOOKUP($B109,Q,14,FALSE)=0,"",(VLOOKUP($B109,Q,17,FALSE)))</f>
        <v/>
      </c>
    </row>
    <row r="110" spans="2:11" x14ac:dyDescent="0.6">
      <c r="B110" s="1">
        <v>113</v>
      </c>
      <c r="C110" s="2" t="str">
        <f>IF(VLOOKUP($B110,Q,2,FALSE)=0,"",(VLOOKUP($B110,Q,2,FALSE)))</f>
        <v/>
      </c>
      <c r="D110" s="2" t="str">
        <f>IF(VLOOKUP($B110,Q,3,FALSE)=0,"",(VLOOKUP($B110,Q,3,FALSE)))</f>
        <v/>
      </c>
      <c r="E110" s="2" t="str">
        <f>IF(VLOOKUP($B110,Q,8,FALSE)=0,"",(VLOOKUP($B110,Q,8,FALSE)))</f>
        <v/>
      </c>
      <c r="F110" s="19" t="str">
        <f>IF(VLOOKUP($B110,Q,9,FALSE)=0,"",(VLOOKUP($B110,Q,9,FALSE)))</f>
        <v/>
      </c>
      <c r="G110" s="2" t="str">
        <f>IF(VLOOKUP($B110,Q,10,FALSE)=0,"",(VLOOKUP($B110,Q,10,FALSE)))</f>
        <v/>
      </c>
      <c r="H110" s="2" t="str">
        <f>IF(VLOOKUP($B110,Q,14,FALSE)=0,"",(VLOOKUP($B110,Q,14,FALSE)))</f>
        <v/>
      </c>
      <c r="I110" s="2" t="str">
        <f>IF(VLOOKUP($B110,Q,14,FALSE)=0,"",(VLOOKUP($B110,Q,15,FALSE)))</f>
        <v/>
      </c>
      <c r="J110" s="2" t="str">
        <f>IF(VLOOKUP($B110,Q,14,FALSE)=0,"",(VLOOKUP($B110,Q,16,FALSE)))</f>
        <v/>
      </c>
      <c r="K110" s="2" t="str">
        <f>IF(VLOOKUP($B110,Q,14,FALSE)=0,"",(VLOOKUP($B110,Q,17,FALSE)))</f>
        <v/>
      </c>
    </row>
    <row r="111" spans="2:11" x14ac:dyDescent="0.6">
      <c r="B111" s="1">
        <v>114</v>
      </c>
      <c r="C111" s="2" t="str">
        <f>IF(VLOOKUP($B111,Q,2,FALSE)=0,"",(VLOOKUP($B111,Q,2,FALSE)))</f>
        <v/>
      </c>
      <c r="D111" s="2" t="str">
        <f>IF(VLOOKUP($B111,Q,3,FALSE)=0,"",(VLOOKUP($B111,Q,3,FALSE)))</f>
        <v/>
      </c>
      <c r="E111" s="2" t="str">
        <f>IF(VLOOKUP($B111,Q,8,FALSE)=0,"",(VLOOKUP($B111,Q,8,FALSE)))</f>
        <v/>
      </c>
      <c r="F111" s="19" t="str">
        <f>IF(VLOOKUP($B111,Q,9,FALSE)=0,"",(VLOOKUP($B111,Q,9,FALSE)))</f>
        <v/>
      </c>
      <c r="G111" s="2" t="str">
        <f>IF(VLOOKUP($B111,Q,10,FALSE)=0,"",(VLOOKUP($B111,Q,10,FALSE)))</f>
        <v/>
      </c>
      <c r="H111" s="2" t="str">
        <f>IF(VLOOKUP($B111,Q,14,FALSE)=0,"",(VLOOKUP($B111,Q,14,FALSE)))</f>
        <v/>
      </c>
      <c r="I111" s="2" t="str">
        <f>IF(VLOOKUP($B111,Q,14,FALSE)=0,"",(VLOOKUP($B111,Q,15,FALSE)))</f>
        <v/>
      </c>
      <c r="J111" s="2" t="str">
        <f>IF(VLOOKUP($B111,Q,14,FALSE)=0,"",(VLOOKUP($B111,Q,16,FALSE)))</f>
        <v/>
      </c>
      <c r="K111" s="2" t="str">
        <f>IF(VLOOKUP($B111,Q,14,FALSE)=0,"",(VLOOKUP($B111,Q,17,FALSE)))</f>
        <v/>
      </c>
    </row>
    <row r="112" spans="2:11" x14ac:dyDescent="0.6">
      <c r="B112" s="1">
        <v>115</v>
      </c>
      <c r="C112" s="2" t="str">
        <f>IF(VLOOKUP($B112,Q,2,FALSE)=0,"",(VLOOKUP($B112,Q,2,FALSE)))</f>
        <v/>
      </c>
      <c r="D112" s="2" t="str">
        <f>IF(VLOOKUP($B112,Q,3,FALSE)=0,"",(VLOOKUP($B112,Q,3,FALSE)))</f>
        <v/>
      </c>
      <c r="E112" s="2" t="str">
        <f>IF(VLOOKUP($B112,Q,8,FALSE)=0,"",(VLOOKUP($B112,Q,8,FALSE)))</f>
        <v/>
      </c>
      <c r="F112" s="19" t="str">
        <f>IF(VLOOKUP($B112,Q,9,FALSE)=0,"",(VLOOKUP($B112,Q,9,FALSE)))</f>
        <v/>
      </c>
      <c r="G112" s="2" t="str">
        <f>IF(VLOOKUP($B112,Q,10,FALSE)=0,"",(VLOOKUP($B112,Q,10,FALSE)))</f>
        <v/>
      </c>
      <c r="H112" s="2" t="str">
        <f>IF(VLOOKUP($B112,Q,14,FALSE)=0,"",(VLOOKUP($B112,Q,14,FALSE)))</f>
        <v/>
      </c>
      <c r="I112" s="2" t="str">
        <f>IF(VLOOKUP($B112,Q,14,FALSE)=0,"",(VLOOKUP($B112,Q,15,FALSE)))</f>
        <v/>
      </c>
      <c r="J112" s="2" t="str">
        <f>IF(VLOOKUP($B112,Q,14,FALSE)=0,"",(VLOOKUP($B112,Q,16,FALSE)))</f>
        <v/>
      </c>
      <c r="K112" s="2" t="str">
        <f>IF(VLOOKUP($B112,Q,14,FALSE)=0,"",(VLOOKUP($B112,Q,17,FALSE)))</f>
        <v/>
      </c>
    </row>
    <row r="113" spans="2:11" x14ac:dyDescent="0.6">
      <c r="B113" s="1">
        <v>116</v>
      </c>
      <c r="C113" s="2" t="str">
        <f>IF(VLOOKUP($B113,Q,2,FALSE)=0,"",(VLOOKUP($B113,Q,2,FALSE)))</f>
        <v/>
      </c>
      <c r="D113" s="2" t="str">
        <f>IF(VLOOKUP($B113,Q,3,FALSE)=0,"",(VLOOKUP($B113,Q,3,FALSE)))</f>
        <v/>
      </c>
      <c r="E113" s="2" t="str">
        <f>IF(VLOOKUP($B113,Q,8,FALSE)=0,"",(VLOOKUP($B113,Q,8,FALSE)))</f>
        <v/>
      </c>
      <c r="F113" s="19" t="str">
        <f>IF(VLOOKUP($B113,Q,9,FALSE)=0,"",(VLOOKUP($B113,Q,9,FALSE)))</f>
        <v/>
      </c>
      <c r="G113" s="2" t="str">
        <f>IF(VLOOKUP($B113,Q,10,FALSE)=0,"",(VLOOKUP($B113,Q,10,FALSE)))</f>
        <v/>
      </c>
      <c r="H113" s="2" t="str">
        <f>IF(VLOOKUP($B113,Q,14,FALSE)=0,"",(VLOOKUP($B113,Q,14,FALSE)))</f>
        <v/>
      </c>
      <c r="I113" s="2" t="str">
        <f>IF(VLOOKUP($B113,Q,14,FALSE)=0,"",(VLOOKUP($B113,Q,15,FALSE)))</f>
        <v/>
      </c>
      <c r="J113" s="2" t="str">
        <f>IF(VLOOKUP($B113,Q,14,FALSE)=0,"",(VLOOKUP($B113,Q,16,FALSE)))</f>
        <v/>
      </c>
      <c r="K113" s="2" t="str">
        <f>IF(VLOOKUP($B113,Q,14,FALSE)=0,"",(VLOOKUP($B113,Q,17,FALSE)))</f>
        <v/>
      </c>
    </row>
    <row r="114" spans="2:11" x14ac:dyDescent="0.6">
      <c r="B114" s="1">
        <v>117</v>
      </c>
      <c r="C114" s="2" t="str">
        <f>IF(VLOOKUP($B114,Q,2,FALSE)=0,"",(VLOOKUP($B114,Q,2,FALSE)))</f>
        <v/>
      </c>
      <c r="D114" s="2" t="str">
        <f>IF(VLOOKUP($B114,Q,3,FALSE)=0,"",(VLOOKUP($B114,Q,3,FALSE)))</f>
        <v/>
      </c>
      <c r="E114" s="2" t="str">
        <f>IF(VLOOKUP($B114,Q,8,FALSE)=0,"",(VLOOKUP($B114,Q,8,FALSE)))</f>
        <v/>
      </c>
      <c r="F114" s="19" t="str">
        <f>IF(VLOOKUP($B114,Q,9,FALSE)=0,"",(VLOOKUP($B114,Q,9,FALSE)))</f>
        <v/>
      </c>
      <c r="G114" s="2" t="str">
        <f>IF(VLOOKUP($B114,Q,10,FALSE)=0,"",(VLOOKUP($B114,Q,10,FALSE)))</f>
        <v/>
      </c>
      <c r="H114" s="2" t="str">
        <f>IF(VLOOKUP($B114,Q,14,FALSE)=0,"",(VLOOKUP($B114,Q,14,FALSE)))</f>
        <v/>
      </c>
      <c r="I114" s="2" t="str">
        <f>IF(VLOOKUP($B114,Q,14,FALSE)=0,"",(VLOOKUP($B114,Q,15,FALSE)))</f>
        <v/>
      </c>
      <c r="J114" s="2" t="str">
        <f>IF(VLOOKUP($B114,Q,14,FALSE)=0,"",(VLOOKUP($B114,Q,16,FALSE)))</f>
        <v/>
      </c>
      <c r="K114" s="2" t="str">
        <f>IF(VLOOKUP($B114,Q,14,FALSE)=0,"",(VLOOKUP($B114,Q,17,FALSE)))</f>
        <v/>
      </c>
    </row>
    <row r="115" spans="2:11" x14ac:dyDescent="0.6">
      <c r="B115" s="1">
        <v>118</v>
      </c>
      <c r="C115" s="2" t="str">
        <f>IF(VLOOKUP($B115,Q,2,FALSE)=0,"",(VLOOKUP($B115,Q,2,FALSE)))</f>
        <v/>
      </c>
      <c r="D115" s="2" t="str">
        <f>IF(VLOOKUP($B115,Q,3,FALSE)=0,"",(VLOOKUP($B115,Q,3,FALSE)))</f>
        <v/>
      </c>
      <c r="E115" s="2" t="str">
        <f>IF(VLOOKUP($B115,Q,8,FALSE)=0,"",(VLOOKUP($B115,Q,8,FALSE)))</f>
        <v/>
      </c>
      <c r="F115" s="19" t="str">
        <f>IF(VLOOKUP($B115,Q,9,FALSE)=0,"",(VLOOKUP($B115,Q,9,FALSE)))</f>
        <v/>
      </c>
      <c r="G115" s="2" t="str">
        <f>IF(VLOOKUP($B115,Q,10,FALSE)=0,"",(VLOOKUP($B115,Q,10,FALSE)))</f>
        <v/>
      </c>
      <c r="H115" s="2" t="str">
        <f>IF(VLOOKUP($B115,Q,14,FALSE)=0,"",(VLOOKUP($B115,Q,14,FALSE)))</f>
        <v/>
      </c>
      <c r="I115" s="2" t="str">
        <f>IF(VLOOKUP($B115,Q,14,FALSE)=0,"",(VLOOKUP($B115,Q,15,FALSE)))</f>
        <v/>
      </c>
      <c r="J115" s="2" t="str">
        <f>IF(VLOOKUP($B115,Q,14,FALSE)=0,"",(VLOOKUP($B115,Q,16,FALSE)))</f>
        <v/>
      </c>
      <c r="K115" s="2" t="str">
        <f>IF(VLOOKUP($B115,Q,14,FALSE)=0,"",(VLOOKUP($B115,Q,17,FALSE)))</f>
        <v/>
      </c>
    </row>
    <row r="116" spans="2:11" x14ac:dyDescent="0.6">
      <c r="B116" s="1">
        <v>119</v>
      </c>
      <c r="C116" s="2" t="str">
        <f>IF(VLOOKUP($B116,Q,2,FALSE)=0,"",(VLOOKUP($B116,Q,2,FALSE)))</f>
        <v/>
      </c>
      <c r="D116" s="2" t="str">
        <f>IF(VLOOKUP($B116,Q,3,FALSE)=0,"",(VLOOKUP($B116,Q,3,FALSE)))</f>
        <v/>
      </c>
      <c r="E116" s="2" t="str">
        <f>IF(VLOOKUP($B116,Q,8,FALSE)=0,"",(VLOOKUP($B116,Q,8,FALSE)))</f>
        <v/>
      </c>
      <c r="F116" s="19" t="str">
        <f>IF(VLOOKUP($B116,Q,9,FALSE)=0,"",(VLOOKUP($B116,Q,9,FALSE)))</f>
        <v/>
      </c>
      <c r="G116" s="2" t="str">
        <f>IF(VLOOKUP($B116,Q,10,FALSE)=0,"",(VLOOKUP($B116,Q,10,FALSE)))</f>
        <v/>
      </c>
      <c r="H116" s="2" t="str">
        <f>IF(VLOOKUP($B116,Q,14,FALSE)=0,"",(VLOOKUP($B116,Q,14,FALSE)))</f>
        <v/>
      </c>
      <c r="I116" s="2" t="str">
        <f>IF(VLOOKUP($B116,Q,14,FALSE)=0,"",(VLOOKUP($B116,Q,15,FALSE)))</f>
        <v/>
      </c>
      <c r="J116" s="2" t="str">
        <f>IF(VLOOKUP($B116,Q,14,FALSE)=0,"",(VLOOKUP($B116,Q,16,FALSE)))</f>
        <v/>
      </c>
      <c r="K116" s="2" t="str">
        <f>IF(VLOOKUP($B116,Q,14,FALSE)=0,"",(VLOOKUP($B116,Q,17,FALSE)))</f>
        <v/>
      </c>
    </row>
    <row r="117" spans="2:11" x14ac:dyDescent="0.6">
      <c r="B117" s="1">
        <v>120</v>
      </c>
      <c r="C117" s="2" t="str">
        <f>IF(VLOOKUP($B117,Q,2,FALSE)=0,"",(VLOOKUP($B117,Q,2,FALSE)))</f>
        <v/>
      </c>
      <c r="D117" s="2" t="str">
        <f>IF(VLOOKUP($B117,Q,3,FALSE)=0,"",(VLOOKUP($B117,Q,3,FALSE)))</f>
        <v/>
      </c>
      <c r="E117" s="2" t="str">
        <f>IF(VLOOKUP($B117,Q,8,FALSE)=0,"",(VLOOKUP($B117,Q,8,FALSE)))</f>
        <v/>
      </c>
      <c r="F117" s="19" t="str">
        <f>IF(VLOOKUP($B117,Q,9,FALSE)=0,"",(VLOOKUP($B117,Q,9,FALSE)))</f>
        <v/>
      </c>
      <c r="G117" s="2" t="str">
        <f>IF(VLOOKUP($B117,Q,10,FALSE)=0,"",(VLOOKUP($B117,Q,10,FALSE)))</f>
        <v/>
      </c>
      <c r="H117" s="2" t="str">
        <f>IF(VLOOKUP($B117,Q,14,FALSE)=0,"",(VLOOKUP($B117,Q,14,FALSE)))</f>
        <v/>
      </c>
      <c r="I117" s="2" t="str">
        <f>IF(VLOOKUP($B117,Q,14,FALSE)=0,"",(VLOOKUP($B117,Q,15,FALSE)))</f>
        <v/>
      </c>
      <c r="J117" s="2" t="str">
        <f>IF(VLOOKUP($B117,Q,14,FALSE)=0,"",(VLOOKUP($B117,Q,16,FALSE)))</f>
        <v/>
      </c>
      <c r="K117" s="2" t="str">
        <f>IF(VLOOKUP($B117,Q,14,FALSE)=0,"",(VLOOKUP($B117,Q,17,FALSE)))</f>
        <v/>
      </c>
    </row>
    <row r="118" spans="2:11" x14ac:dyDescent="0.6">
      <c r="B118" s="1">
        <v>121</v>
      </c>
      <c r="C118" s="2" t="str">
        <f>IF(VLOOKUP($B118,Q,2,FALSE)=0,"",(VLOOKUP($B118,Q,2,FALSE)))</f>
        <v/>
      </c>
      <c r="D118" s="2" t="str">
        <f>IF(VLOOKUP($B118,Q,3,FALSE)=0,"",(VLOOKUP($B118,Q,3,FALSE)))</f>
        <v/>
      </c>
      <c r="E118" s="2" t="str">
        <f>IF(VLOOKUP($B118,Q,8,FALSE)=0,"",(VLOOKUP($B118,Q,8,FALSE)))</f>
        <v/>
      </c>
      <c r="F118" s="19" t="str">
        <f>IF(VLOOKUP($B118,Q,9,FALSE)=0,"",(VLOOKUP($B118,Q,9,FALSE)))</f>
        <v/>
      </c>
      <c r="G118" s="2" t="str">
        <f>IF(VLOOKUP($B118,Q,10,FALSE)=0,"",(VLOOKUP($B118,Q,10,FALSE)))</f>
        <v/>
      </c>
      <c r="H118" s="2" t="str">
        <f>IF(VLOOKUP($B118,Q,14,FALSE)=0,"",(VLOOKUP($B118,Q,14,FALSE)))</f>
        <v/>
      </c>
      <c r="I118" s="2" t="str">
        <f>IF(VLOOKUP($B118,Q,14,FALSE)=0,"",(VLOOKUP($B118,Q,15,FALSE)))</f>
        <v/>
      </c>
      <c r="J118" s="2" t="str">
        <f>IF(VLOOKUP($B118,Q,14,FALSE)=0,"",(VLOOKUP($B118,Q,16,FALSE)))</f>
        <v/>
      </c>
      <c r="K118" s="2" t="str">
        <f>IF(VLOOKUP($B118,Q,14,FALSE)=0,"",(VLOOKUP($B118,Q,17,FALSE)))</f>
        <v/>
      </c>
    </row>
    <row r="119" spans="2:11" x14ac:dyDescent="0.6">
      <c r="B119" s="1">
        <v>122</v>
      </c>
      <c r="C119" s="2" t="str">
        <f>IF(VLOOKUP($B119,Q,2,FALSE)=0,"",(VLOOKUP($B119,Q,2,FALSE)))</f>
        <v/>
      </c>
      <c r="D119" s="2" t="str">
        <f>IF(VLOOKUP($B119,Q,3,FALSE)=0,"",(VLOOKUP($B119,Q,3,FALSE)))</f>
        <v/>
      </c>
      <c r="E119" s="2" t="str">
        <f>IF(VLOOKUP($B119,Q,8,FALSE)=0,"",(VLOOKUP($B119,Q,8,FALSE)))</f>
        <v/>
      </c>
      <c r="F119" s="19" t="str">
        <f>IF(VLOOKUP($B119,Q,9,FALSE)=0,"",(VLOOKUP($B119,Q,9,FALSE)))</f>
        <v/>
      </c>
      <c r="G119" s="2" t="str">
        <f>IF(VLOOKUP($B119,Q,10,FALSE)=0,"",(VLOOKUP($B119,Q,10,FALSE)))</f>
        <v/>
      </c>
      <c r="H119" s="2" t="str">
        <f>IF(VLOOKUP($B119,Q,14,FALSE)=0,"",(VLOOKUP($B119,Q,14,FALSE)))</f>
        <v/>
      </c>
      <c r="I119" s="2" t="str">
        <f>IF(VLOOKUP($B119,Q,14,FALSE)=0,"",(VLOOKUP($B119,Q,15,FALSE)))</f>
        <v/>
      </c>
      <c r="J119" s="2" t="str">
        <f>IF(VLOOKUP($B119,Q,14,FALSE)=0,"",(VLOOKUP($B119,Q,16,FALSE)))</f>
        <v/>
      </c>
      <c r="K119" s="2" t="str">
        <f>IF(VLOOKUP($B119,Q,14,FALSE)=0,"",(VLOOKUP($B119,Q,17,FALSE)))</f>
        <v/>
      </c>
    </row>
    <row r="120" spans="2:11" x14ac:dyDescent="0.6">
      <c r="B120" s="1">
        <v>123</v>
      </c>
      <c r="C120" s="2" t="str">
        <f>IF(VLOOKUP($B120,Q,2,FALSE)=0,"",(VLOOKUP($B120,Q,2,FALSE)))</f>
        <v/>
      </c>
      <c r="D120" s="2" t="str">
        <f>IF(VLOOKUP($B120,Q,3,FALSE)=0,"",(VLOOKUP($B120,Q,3,FALSE)))</f>
        <v/>
      </c>
      <c r="E120" s="2" t="str">
        <f>IF(VLOOKUP($B120,Q,8,FALSE)=0,"",(VLOOKUP($B120,Q,8,FALSE)))</f>
        <v/>
      </c>
      <c r="F120" s="19" t="str">
        <f>IF(VLOOKUP($B120,Q,9,FALSE)=0,"",(VLOOKUP($B120,Q,9,FALSE)))</f>
        <v/>
      </c>
      <c r="G120" s="2" t="str">
        <f>IF(VLOOKUP($B120,Q,10,FALSE)=0,"",(VLOOKUP($B120,Q,10,FALSE)))</f>
        <v/>
      </c>
      <c r="H120" s="2" t="str">
        <f>IF(VLOOKUP($B120,Q,14,FALSE)=0,"",(VLOOKUP($B120,Q,14,FALSE)))</f>
        <v/>
      </c>
      <c r="I120" s="2" t="str">
        <f>IF(VLOOKUP($B120,Q,14,FALSE)=0,"",(VLOOKUP($B120,Q,15,FALSE)))</f>
        <v/>
      </c>
      <c r="J120" s="2" t="str">
        <f>IF(VLOOKUP($B120,Q,14,FALSE)=0,"",(VLOOKUP($B120,Q,16,FALSE)))</f>
        <v/>
      </c>
      <c r="K120" s="2" t="str">
        <f>IF(VLOOKUP($B120,Q,14,FALSE)=0,"",(VLOOKUP($B120,Q,17,FALSE)))</f>
        <v/>
      </c>
    </row>
    <row r="121" spans="2:11" x14ac:dyDescent="0.6">
      <c r="B121" s="1">
        <v>124</v>
      </c>
      <c r="C121" s="2" t="str">
        <f>IF(VLOOKUP($B121,Q,2,FALSE)=0,"",(VLOOKUP($B121,Q,2,FALSE)))</f>
        <v/>
      </c>
      <c r="D121" s="2" t="str">
        <f>IF(VLOOKUP($B121,Q,3,FALSE)=0,"",(VLOOKUP($B121,Q,3,FALSE)))</f>
        <v/>
      </c>
      <c r="E121" s="2" t="str">
        <f>IF(VLOOKUP($B121,Q,8,FALSE)=0,"",(VLOOKUP($B121,Q,8,FALSE)))</f>
        <v/>
      </c>
      <c r="F121" s="19" t="str">
        <f>IF(VLOOKUP($B121,Q,9,FALSE)=0,"",(VLOOKUP($B121,Q,9,FALSE)))</f>
        <v/>
      </c>
      <c r="G121" s="2" t="str">
        <f>IF(VLOOKUP($B121,Q,10,FALSE)=0,"",(VLOOKUP($B121,Q,10,FALSE)))</f>
        <v/>
      </c>
      <c r="H121" s="2" t="str">
        <f>IF(VLOOKUP($B121,Q,14,FALSE)=0,"",(VLOOKUP($B121,Q,14,FALSE)))</f>
        <v/>
      </c>
      <c r="I121" s="2" t="str">
        <f>IF(VLOOKUP($B121,Q,14,FALSE)=0,"",(VLOOKUP($B121,Q,15,FALSE)))</f>
        <v/>
      </c>
      <c r="J121" s="2" t="str">
        <f>IF(VLOOKUP($B121,Q,14,FALSE)=0,"",(VLOOKUP($B121,Q,16,FALSE)))</f>
        <v/>
      </c>
      <c r="K121" s="2" t="str">
        <f>IF(VLOOKUP($B121,Q,14,FALSE)=0,"",(VLOOKUP($B121,Q,17,FALSE)))</f>
        <v/>
      </c>
    </row>
    <row r="122" spans="2:11" x14ac:dyDescent="0.6">
      <c r="B122" s="1">
        <v>125</v>
      </c>
      <c r="C122" s="2" t="str">
        <f>IF(VLOOKUP($B122,Q,2,FALSE)=0,"",(VLOOKUP($B122,Q,2,FALSE)))</f>
        <v/>
      </c>
      <c r="D122" s="2" t="str">
        <f>IF(VLOOKUP($B122,Q,3,FALSE)=0,"",(VLOOKUP($B122,Q,3,FALSE)))</f>
        <v/>
      </c>
      <c r="E122" s="2" t="str">
        <f>IF(VLOOKUP($B122,Q,8,FALSE)=0,"",(VLOOKUP($B122,Q,8,FALSE)))</f>
        <v/>
      </c>
      <c r="F122" s="19" t="str">
        <f>IF(VLOOKUP($B122,Q,9,FALSE)=0,"",(VLOOKUP($B122,Q,9,FALSE)))</f>
        <v/>
      </c>
      <c r="G122" s="2" t="str">
        <f>IF(VLOOKUP($B122,Q,10,FALSE)=0,"",(VLOOKUP($B122,Q,10,FALSE)))</f>
        <v/>
      </c>
      <c r="H122" s="2" t="str">
        <f>IF(VLOOKUP($B122,Q,14,FALSE)=0,"",(VLOOKUP($B122,Q,14,FALSE)))</f>
        <v/>
      </c>
      <c r="I122" s="2" t="str">
        <f>IF(VLOOKUP($B122,Q,14,FALSE)=0,"",(VLOOKUP($B122,Q,15,FALSE)))</f>
        <v/>
      </c>
      <c r="J122" s="2" t="str">
        <f>IF(VLOOKUP($B122,Q,14,FALSE)=0,"",(VLOOKUP($B122,Q,16,FALSE)))</f>
        <v/>
      </c>
      <c r="K122" s="2" t="str">
        <f>IF(VLOOKUP($B122,Q,14,FALSE)=0,"",(VLOOKUP($B122,Q,17,FALSE)))</f>
        <v/>
      </c>
    </row>
    <row r="123" spans="2:11" x14ac:dyDescent="0.6">
      <c r="B123" s="1">
        <v>126</v>
      </c>
      <c r="C123" s="2" t="str">
        <f>IF(VLOOKUP($B123,Q,2,FALSE)=0,"",(VLOOKUP($B123,Q,2,FALSE)))</f>
        <v/>
      </c>
      <c r="D123" s="2" t="str">
        <f>IF(VLOOKUP($B123,Q,3,FALSE)=0,"",(VLOOKUP($B123,Q,3,FALSE)))</f>
        <v/>
      </c>
      <c r="E123" s="2" t="str">
        <f>IF(VLOOKUP($B123,Q,8,FALSE)=0,"",(VLOOKUP($B123,Q,8,FALSE)))</f>
        <v/>
      </c>
      <c r="F123" s="19" t="str">
        <f>IF(VLOOKUP($B123,Q,9,FALSE)=0,"",(VLOOKUP($B123,Q,9,FALSE)))</f>
        <v/>
      </c>
      <c r="G123" s="2" t="str">
        <f>IF(VLOOKUP($B123,Q,10,FALSE)=0,"",(VLOOKUP($B123,Q,10,FALSE)))</f>
        <v/>
      </c>
      <c r="H123" s="2" t="str">
        <f>IF(VLOOKUP($B123,Q,14,FALSE)=0,"",(VLOOKUP($B123,Q,14,FALSE)))</f>
        <v/>
      </c>
      <c r="I123" s="2" t="str">
        <f>IF(VLOOKUP($B123,Q,14,FALSE)=0,"",(VLOOKUP($B123,Q,15,FALSE)))</f>
        <v/>
      </c>
      <c r="J123" s="2" t="str">
        <f>IF(VLOOKUP($B123,Q,14,FALSE)=0,"",(VLOOKUP($B123,Q,16,FALSE)))</f>
        <v/>
      </c>
      <c r="K123" s="2" t="str">
        <f>IF(VLOOKUP($B123,Q,14,FALSE)=0,"",(VLOOKUP($B123,Q,17,FALSE)))</f>
        <v/>
      </c>
    </row>
    <row r="124" spans="2:11" x14ac:dyDescent="0.6">
      <c r="B124" s="1">
        <v>127</v>
      </c>
      <c r="C124" s="2" t="str">
        <f>IF(VLOOKUP($B124,Q,2,FALSE)=0,"",(VLOOKUP($B124,Q,2,FALSE)))</f>
        <v/>
      </c>
      <c r="D124" s="2" t="str">
        <f>IF(VLOOKUP($B124,Q,3,FALSE)=0,"",(VLOOKUP($B124,Q,3,FALSE)))</f>
        <v/>
      </c>
      <c r="E124" s="2" t="str">
        <f>IF(VLOOKUP($B124,Q,8,FALSE)=0,"",(VLOOKUP($B124,Q,8,FALSE)))</f>
        <v/>
      </c>
      <c r="F124" s="19" t="str">
        <f>IF(VLOOKUP($B124,Q,9,FALSE)=0,"",(VLOOKUP($B124,Q,9,FALSE)))</f>
        <v/>
      </c>
      <c r="G124" s="2" t="str">
        <f>IF(VLOOKUP($B124,Q,10,FALSE)=0,"",(VLOOKUP($B124,Q,10,FALSE)))</f>
        <v/>
      </c>
      <c r="H124" s="2" t="str">
        <f>IF(VLOOKUP($B124,Q,14,FALSE)=0,"",(VLOOKUP($B124,Q,14,FALSE)))</f>
        <v/>
      </c>
      <c r="I124" s="2" t="str">
        <f>IF(VLOOKUP($B124,Q,14,FALSE)=0,"",(VLOOKUP($B124,Q,15,FALSE)))</f>
        <v/>
      </c>
      <c r="J124" s="2" t="str">
        <f>IF(VLOOKUP($B124,Q,14,FALSE)=0,"",(VLOOKUP($B124,Q,16,FALSE)))</f>
        <v/>
      </c>
      <c r="K124" s="2" t="str">
        <f>IF(VLOOKUP($B124,Q,14,FALSE)=0,"",(VLOOKUP($B124,Q,17,FALSE)))</f>
        <v/>
      </c>
    </row>
    <row r="125" spans="2:11" x14ac:dyDescent="0.6">
      <c r="B125" s="1">
        <v>128</v>
      </c>
      <c r="C125" s="2" t="str">
        <f>IF(VLOOKUP($B125,Q,2,FALSE)=0,"",(VLOOKUP($B125,Q,2,FALSE)))</f>
        <v/>
      </c>
      <c r="D125" s="2" t="str">
        <f>IF(VLOOKUP($B125,Q,3,FALSE)=0,"",(VLOOKUP($B125,Q,3,FALSE)))</f>
        <v/>
      </c>
      <c r="E125" s="2" t="str">
        <f>IF(VLOOKUP($B125,Q,8,FALSE)=0,"",(VLOOKUP($B125,Q,8,FALSE)))</f>
        <v/>
      </c>
      <c r="F125" s="19" t="str">
        <f>IF(VLOOKUP($B125,Q,9,FALSE)=0,"",(VLOOKUP($B125,Q,9,FALSE)))</f>
        <v/>
      </c>
      <c r="G125" s="2" t="str">
        <f>IF(VLOOKUP($B125,Q,10,FALSE)=0,"",(VLOOKUP($B125,Q,10,FALSE)))</f>
        <v/>
      </c>
      <c r="H125" s="2" t="str">
        <f>IF(VLOOKUP($B125,Q,14,FALSE)=0,"",(VLOOKUP($B125,Q,14,FALSE)))</f>
        <v/>
      </c>
      <c r="I125" s="2" t="str">
        <f>IF(VLOOKUP($B125,Q,14,FALSE)=0,"",(VLOOKUP($B125,Q,15,FALSE)))</f>
        <v/>
      </c>
      <c r="J125" s="2" t="str">
        <f>IF(VLOOKUP($B125,Q,14,FALSE)=0,"",(VLOOKUP($B125,Q,16,FALSE)))</f>
        <v/>
      </c>
      <c r="K125" s="2" t="str">
        <f>IF(VLOOKUP($B125,Q,14,FALSE)=0,"",(VLOOKUP($B125,Q,17,FALSE)))</f>
        <v/>
      </c>
    </row>
    <row r="126" spans="2:11" x14ac:dyDescent="0.6">
      <c r="B126" s="1">
        <v>129</v>
      </c>
      <c r="C126" s="2" t="str">
        <f>IF(VLOOKUP($B126,Q,2,FALSE)=0,"",(VLOOKUP($B126,Q,2,FALSE)))</f>
        <v/>
      </c>
      <c r="D126" s="2" t="str">
        <f>IF(VLOOKUP($B126,Q,3,FALSE)=0,"",(VLOOKUP($B126,Q,3,FALSE)))</f>
        <v/>
      </c>
      <c r="E126" s="2" t="str">
        <f>IF(VLOOKUP($B126,Q,8,FALSE)=0,"",(VLOOKUP($B126,Q,8,FALSE)))</f>
        <v/>
      </c>
      <c r="F126" s="19" t="str">
        <f>IF(VLOOKUP($B126,Q,9,FALSE)=0,"",(VLOOKUP($B126,Q,9,FALSE)))</f>
        <v/>
      </c>
      <c r="G126" s="2" t="str">
        <f>IF(VLOOKUP($B126,Q,10,FALSE)=0,"",(VLOOKUP($B126,Q,10,FALSE)))</f>
        <v/>
      </c>
      <c r="H126" s="2" t="str">
        <f>IF(VLOOKUP($B126,Q,14,FALSE)=0,"",(VLOOKUP($B126,Q,14,FALSE)))</f>
        <v/>
      </c>
      <c r="I126" s="2" t="str">
        <f>IF(VLOOKUP($B126,Q,14,FALSE)=0,"",(VLOOKUP($B126,Q,15,FALSE)))</f>
        <v/>
      </c>
      <c r="J126" s="2" t="str">
        <f>IF(VLOOKUP($B126,Q,14,FALSE)=0,"",(VLOOKUP($B126,Q,16,FALSE)))</f>
        <v/>
      </c>
      <c r="K126" s="2" t="str">
        <f>IF(VLOOKUP($B126,Q,14,FALSE)=0,"",(VLOOKUP($B126,Q,17,FALSE)))</f>
        <v/>
      </c>
    </row>
    <row r="127" spans="2:11" x14ac:dyDescent="0.6">
      <c r="B127" s="1">
        <v>130</v>
      </c>
      <c r="C127" s="2" t="str">
        <f>IF(VLOOKUP($B127,Q,2,FALSE)=0,"",(VLOOKUP($B127,Q,2,FALSE)))</f>
        <v/>
      </c>
      <c r="D127" s="2" t="str">
        <f>IF(VLOOKUP($B127,Q,3,FALSE)=0,"",(VLOOKUP($B127,Q,3,FALSE)))</f>
        <v/>
      </c>
      <c r="E127" s="2" t="str">
        <f>IF(VLOOKUP($B127,Q,8,FALSE)=0,"",(VLOOKUP($B127,Q,8,FALSE)))</f>
        <v/>
      </c>
      <c r="F127" s="19" t="str">
        <f>IF(VLOOKUP($B127,Q,9,FALSE)=0,"",(VLOOKUP($B127,Q,9,FALSE)))</f>
        <v/>
      </c>
      <c r="G127" s="2" t="str">
        <f>IF(VLOOKUP($B127,Q,10,FALSE)=0,"",(VLOOKUP($B127,Q,10,FALSE)))</f>
        <v/>
      </c>
      <c r="H127" s="2" t="str">
        <f>IF(VLOOKUP($B127,Q,14,FALSE)=0,"",(VLOOKUP($B127,Q,14,FALSE)))</f>
        <v/>
      </c>
      <c r="I127" s="2" t="str">
        <f>IF(VLOOKUP($B127,Q,14,FALSE)=0,"",(VLOOKUP($B127,Q,15,FALSE)))</f>
        <v/>
      </c>
      <c r="J127" s="2" t="str">
        <f>IF(VLOOKUP($B127,Q,14,FALSE)=0,"",(VLOOKUP($B127,Q,16,FALSE)))</f>
        <v/>
      </c>
      <c r="K127" s="2" t="str">
        <f>IF(VLOOKUP($B127,Q,14,FALSE)=0,"",(VLOOKUP($B127,Q,17,FALSE)))</f>
        <v/>
      </c>
    </row>
    <row r="128" spans="2:11" x14ac:dyDescent="0.6">
      <c r="B128" s="1">
        <v>131</v>
      </c>
      <c r="C128" s="2" t="str">
        <f>IF(VLOOKUP($B128,Q,2,FALSE)=0,"",(VLOOKUP($B128,Q,2,FALSE)))</f>
        <v/>
      </c>
      <c r="D128" s="2" t="str">
        <f>IF(VLOOKUP($B128,Q,3,FALSE)=0,"",(VLOOKUP($B128,Q,3,FALSE)))</f>
        <v/>
      </c>
      <c r="E128" s="2" t="str">
        <f>IF(VLOOKUP($B128,Q,8,FALSE)=0,"",(VLOOKUP($B128,Q,8,FALSE)))</f>
        <v/>
      </c>
      <c r="F128" s="19" t="str">
        <f>IF(VLOOKUP($B128,Q,9,FALSE)=0,"",(VLOOKUP($B128,Q,9,FALSE)))</f>
        <v/>
      </c>
      <c r="G128" s="2" t="str">
        <f>IF(VLOOKUP($B128,Q,10,FALSE)=0,"",(VLOOKUP($B128,Q,10,FALSE)))</f>
        <v/>
      </c>
      <c r="H128" s="2" t="str">
        <f>IF(VLOOKUP($B128,Q,14,FALSE)=0,"",(VLOOKUP($B128,Q,14,FALSE)))</f>
        <v/>
      </c>
      <c r="I128" s="2" t="str">
        <f>IF(VLOOKUP($B128,Q,14,FALSE)=0,"",(VLOOKUP($B128,Q,15,FALSE)))</f>
        <v/>
      </c>
      <c r="J128" s="2" t="str">
        <f>IF(VLOOKUP($B128,Q,14,FALSE)=0,"",(VLOOKUP($B128,Q,16,FALSE)))</f>
        <v/>
      </c>
      <c r="K128" s="2" t="str">
        <f>IF(VLOOKUP($B128,Q,14,FALSE)=0,"",(VLOOKUP($B128,Q,17,FALSE)))</f>
        <v/>
      </c>
    </row>
    <row r="129" spans="2:11" x14ac:dyDescent="0.6">
      <c r="B129" s="1">
        <v>132</v>
      </c>
      <c r="C129" s="2" t="str">
        <f>IF(VLOOKUP($B129,Q,2,FALSE)=0,"",(VLOOKUP($B129,Q,2,FALSE)))</f>
        <v/>
      </c>
      <c r="D129" s="2" t="str">
        <f>IF(VLOOKUP($B129,Q,3,FALSE)=0,"",(VLOOKUP($B129,Q,3,FALSE)))</f>
        <v/>
      </c>
      <c r="E129" s="2" t="str">
        <f>IF(VLOOKUP($B129,Q,8,FALSE)=0,"",(VLOOKUP($B129,Q,8,FALSE)))</f>
        <v/>
      </c>
      <c r="F129" s="19" t="str">
        <f>IF(VLOOKUP($B129,Q,9,FALSE)=0,"",(VLOOKUP($B129,Q,9,FALSE)))</f>
        <v/>
      </c>
      <c r="G129" s="2" t="str">
        <f>IF(VLOOKUP($B129,Q,10,FALSE)=0,"",(VLOOKUP($B129,Q,10,FALSE)))</f>
        <v/>
      </c>
      <c r="H129" s="2" t="str">
        <f>IF(VLOOKUP($B129,Q,14,FALSE)=0,"",(VLOOKUP($B129,Q,14,FALSE)))</f>
        <v/>
      </c>
      <c r="I129" s="2" t="str">
        <f>IF(VLOOKUP($B129,Q,14,FALSE)=0,"",(VLOOKUP($B129,Q,15,FALSE)))</f>
        <v/>
      </c>
      <c r="J129" s="2" t="str">
        <f>IF(VLOOKUP($B129,Q,14,FALSE)=0,"",(VLOOKUP($B129,Q,16,FALSE)))</f>
        <v/>
      </c>
      <c r="K129" s="2" t="str">
        <f>IF(VLOOKUP($B129,Q,14,FALSE)=0,"",(VLOOKUP($B129,Q,17,FALSE)))</f>
        <v/>
      </c>
    </row>
    <row r="130" spans="2:11" x14ac:dyDescent="0.6">
      <c r="B130" s="1">
        <v>133</v>
      </c>
      <c r="C130" s="2" t="str">
        <f>IF(VLOOKUP($B130,Q,2,FALSE)=0,"",(VLOOKUP($B130,Q,2,FALSE)))</f>
        <v/>
      </c>
      <c r="D130" s="2" t="str">
        <f>IF(VLOOKUP($B130,Q,3,FALSE)=0,"",(VLOOKUP($B130,Q,3,FALSE)))</f>
        <v/>
      </c>
      <c r="E130" s="2" t="str">
        <f>IF(VLOOKUP($B130,Q,8,FALSE)=0,"",(VLOOKUP($B130,Q,8,FALSE)))</f>
        <v/>
      </c>
      <c r="F130" s="19" t="str">
        <f>IF(VLOOKUP($B130,Q,9,FALSE)=0,"",(VLOOKUP($B130,Q,9,FALSE)))</f>
        <v/>
      </c>
      <c r="G130" s="2" t="str">
        <f>IF(VLOOKUP($B130,Q,10,FALSE)=0,"",(VLOOKUP($B130,Q,10,FALSE)))</f>
        <v/>
      </c>
      <c r="H130" s="2" t="str">
        <f>IF(VLOOKUP($B130,Q,14,FALSE)=0,"",(VLOOKUP($B130,Q,14,FALSE)))</f>
        <v/>
      </c>
      <c r="I130" s="2" t="str">
        <f>IF(VLOOKUP($B130,Q,14,FALSE)=0,"",(VLOOKUP($B130,Q,15,FALSE)))</f>
        <v/>
      </c>
      <c r="J130" s="2" t="str">
        <f>IF(VLOOKUP($B130,Q,14,FALSE)=0,"",(VLOOKUP($B130,Q,16,FALSE)))</f>
        <v/>
      </c>
      <c r="K130" s="2" t="str">
        <f>IF(VLOOKUP($B130,Q,14,FALSE)=0,"",(VLOOKUP($B130,Q,17,FALSE)))</f>
        <v/>
      </c>
    </row>
    <row r="131" spans="2:11" x14ac:dyDescent="0.6">
      <c r="B131" s="1">
        <v>134</v>
      </c>
      <c r="C131" s="2" t="str">
        <f>IF(VLOOKUP($B131,Q,2,FALSE)=0,"",(VLOOKUP($B131,Q,2,FALSE)))</f>
        <v/>
      </c>
      <c r="D131" s="2" t="str">
        <f>IF(VLOOKUP($B131,Q,3,FALSE)=0,"",(VLOOKUP($B131,Q,3,FALSE)))</f>
        <v/>
      </c>
      <c r="E131" s="2" t="str">
        <f>IF(VLOOKUP($B131,Q,8,FALSE)=0,"",(VLOOKUP($B131,Q,8,FALSE)))</f>
        <v/>
      </c>
      <c r="F131" s="19" t="str">
        <f>IF(VLOOKUP($B131,Q,9,FALSE)=0,"",(VLOOKUP($B131,Q,9,FALSE)))</f>
        <v/>
      </c>
      <c r="G131" s="2" t="str">
        <f>IF(VLOOKUP($B131,Q,10,FALSE)=0,"",(VLOOKUP($B131,Q,10,FALSE)))</f>
        <v/>
      </c>
      <c r="H131" s="2" t="str">
        <f>IF(VLOOKUP($B131,Q,14,FALSE)=0,"",(VLOOKUP($B131,Q,14,FALSE)))</f>
        <v/>
      </c>
      <c r="I131" s="2" t="str">
        <f>IF(VLOOKUP($B131,Q,14,FALSE)=0,"",(VLOOKUP($B131,Q,15,FALSE)))</f>
        <v/>
      </c>
      <c r="J131" s="2" t="str">
        <f>IF(VLOOKUP($B131,Q,14,FALSE)=0,"",(VLOOKUP($B131,Q,16,FALSE)))</f>
        <v/>
      </c>
      <c r="K131" s="2" t="str">
        <f>IF(VLOOKUP($B131,Q,14,FALSE)=0,"",(VLOOKUP($B131,Q,17,FALSE)))</f>
        <v/>
      </c>
    </row>
    <row r="132" spans="2:11" x14ac:dyDescent="0.6">
      <c r="B132" s="1">
        <v>135</v>
      </c>
      <c r="C132" s="2" t="str">
        <f>IF(VLOOKUP($B132,Q,2,FALSE)=0,"",(VLOOKUP($B132,Q,2,FALSE)))</f>
        <v/>
      </c>
      <c r="D132" s="2" t="str">
        <f>IF(VLOOKUP($B132,Q,3,FALSE)=0,"",(VLOOKUP($B132,Q,3,FALSE)))</f>
        <v/>
      </c>
      <c r="E132" s="2" t="str">
        <f>IF(VLOOKUP($B132,Q,8,FALSE)=0,"",(VLOOKUP($B132,Q,8,FALSE)))</f>
        <v/>
      </c>
      <c r="F132" s="19" t="str">
        <f>IF(VLOOKUP($B132,Q,9,FALSE)=0,"",(VLOOKUP($B132,Q,9,FALSE)))</f>
        <v/>
      </c>
      <c r="G132" s="2" t="str">
        <f>IF(VLOOKUP($B132,Q,10,FALSE)=0,"",(VLOOKUP($B132,Q,10,FALSE)))</f>
        <v/>
      </c>
      <c r="H132" s="2" t="str">
        <f>IF(VLOOKUP($B132,Q,14,FALSE)=0,"",(VLOOKUP($B132,Q,14,FALSE)))</f>
        <v/>
      </c>
      <c r="I132" s="2" t="str">
        <f>IF(VLOOKUP($B132,Q,14,FALSE)=0,"",(VLOOKUP($B132,Q,15,FALSE)))</f>
        <v/>
      </c>
      <c r="J132" s="2" t="str">
        <f>IF(VLOOKUP($B132,Q,14,FALSE)=0,"",(VLOOKUP($B132,Q,16,FALSE)))</f>
        <v/>
      </c>
      <c r="K132" s="2" t="str">
        <f>IF(VLOOKUP($B132,Q,14,FALSE)=0,"",(VLOOKUP($B132,Q,17,FALSE)))</f>
        <v/>
      </c>
    </row>
    <row r="133" spans="2:11" x14ac:dyDescent="0.6">
      <c r="B133" s="1">
        <v>136</v>
      </c>
      <c r="C133" s="2" t="str">
        <f>IF(VLOOKUP($B133,Q,2,FALSE)=0,"",(VLOOKUP($B133,Q,2,FALSE)))</f>
        <v/>
      </c>
      <c r="D133" s="2" t="str">
        <f>IF(VLOOKUP($B133,Q,3,FALSE)=0,"",(VLOOKUP($B133,Q,3,FALSE)))</f>
        <v/>
      </c>
      <c r="E133" s="2" t="str">
        <f>IF(VLOOKUP($B133,Q,8,FALSE)=0,"",(VLOOKUP($B133,Q,8,FALSE)))</f>
        <v/>
      </c>
      <c r="F133" s="19" t="str">
        <f>IF(VLOOKUP($B133,Q,9,FALSE)=0,"",(VLOOKUP($B133,Q,9,FALSE)))</f>
        <v/>
      </c>
      <c r="G133" s="2" t="str">
        <f>IF(VLOOKUP($B133,Q,10,FALSE)=0,"",(VLOOKUP($B133,Q,10,FALSE)))</f>
        <v/>
      </c>
      <c r="H133" s="2" t="str">
        <f>IF(VLOOKUP($B133,Q,14,FALSE)=0,"",(VLOOKUP($B133,Q,14,FALSE)))</f>
        <v/>
      </c>
      <c r="I133" s="2" t="str">
        <f>IF(VLOOKUP($B133,Q,14,FALSE)=0,"",(VLOOKUP($B133,Q,15,FALSE)))</f>
        <v/>
      </c>
      <c r="J133" s="2" t="str">
        <f>IF(VLOOKUP($B133,Q,14,FALSE)=0,"",(VLOOKUP($B133,Q,16,FALSE)))</f>
        <v/>
      </c>
      <c r="K133" s="2" t="str">
        <f>IF(VLOOKUP($B133,Q,14,FALSE)=0,"",(VLOOKUP($B133,Q,17,FALSE)))</f>
        <v/>
      </c>
    </row>
    <row r="134" spans="2:11" x14ac:dyDescent="0.6">
      <c r="B134" s="1">
        <v>137</v>
      </c>
      <c r="C134" s="2" t="str">
        <f>IF(VLOOKUP($B134,Q,2,FALSE)=0,"",(VLOOKUP($B134,Q,2,FALSE)))</f>
        <v/>
      </c>
      <c r="D134" s="2" t="str">
        <f>IF(VLOOKUP($B134,Q,3,FALSE)=0,"",(VLOOKUP($B134,Q,3,FALSE)))</f>
        <v/>
      </c>
      <c r="E134" s="2" t="str">
        <f>IF(VLOOKUP($B134,Q,8,FALSE)=0,"",(VLOOKUP($B134,Q,8,FALSE)))</f>
        <v/>
      </c>
      <c r="F134" s="19" t="str">
        <f>IF(VLOOKUP($B134,Q,9,FALSE)=0,"",(VLOOKUP($B134,Q,9,FALSE)))</f>
        <v/>
      </c>
      <c r="G134" s="2" t="str">
        <f>IF(VLOOKUP($B134,Q,10,FALSE)=0,"",(VLOOKUP($B134,Q,10,FALSE)))</f>
        <v/>
      </c>
      <c r="H134" s="2" t="str">
        <f>IF(VLOOKUP($B134,Q,14,FALSE)=0,"",(VLOOKUP($B134,Q,14,FALSE)))</f>
        <v/>
      </c>
      <c r="I134" s="2" t="str">
        <f>IF(VLOOKUP($B134,Q,14,FALSE)=0,"",(VLOOKUP($B134,Q,15,FALSE)))</f>
        <v/>
      </c>
      <c r="J134" s="2" t="str">
        <f>IF(VLOOKUP($B134,Q,14,FALSE)=0,"",(VLOOKUP($B134,Q,16,FALSE)))</f>
        <v/>
      </c>
      <c r="K134" s="2" t="str">
        <f>IF(VLOOKUP($B134,Q,14,FALSE)=0,"",(VLOOKUP($B134,Q,17,FALSE)))</f>
        <v/>
      </c>
    </row>
    <row r="135" spans="2:11" x14ac:dyDescent="0.6">
      <c r="B135" s="1">
        <v>138</v>
      </c>
      <c r="C135" s="2" t="str">
        <f>IF(VLOOKUP($B135,Q,2,FALSE)=0,"",(VLOOKUP($B135,Q,2,FALSE)))</f>
        <v/>
      </c>
      <c r="D135" s="2" t="str">
        <f>IF(VLOOKUP($B135,Q,3,FALSE)=0,"",(VLOOKUP($B135,Q,3,FALSE)))</f>
        <v/>
      </c>
      <c r="E135" s="2" t="str">
        <f>IF(VLOOKUP($B135,Q,8,FALSE)=0,"",(VLOOKUP($B135,Q,8,FALSE)))</f>
        <v/>
      </c>
      <c r="F135" s="19" t="str">
        <f>IF(VLOOKUP($B135,Q,9,FALSE)=0,"",(VLOOKUP($B135,Q,9,FALSE)))</f>
        <v/>
      </c>
      <c r="G135" s="2" t="str">
        <f>IF(VLOOKUP($B135,Q,10,FALSE)=0,"",(VLOOKUP($B135,Q,10,FALSE)))</f>
        <v/>
      </c>
      <c r="H135" s="2" t="str">
        <f>IF(VLOOKUP($B135,Q,14,FALSE)=0,"",(VLOOKUP($B135,Q,14,FALSE)))</f>
        <v/>
      </c>
      <c r="I135" s="2" t="str">
        <f>IF(VLOOKUP($B135,Q,14,FALSE)=0,"",(VLOOKUP($B135,Q,15,FALSE)))</f>
        <v/>
      </c>
      <c r="J135" s="2" t="str">
        <f>IF(VLOOKUP($B135,Q,14,FALSE)=0,"",(VLOOKUP($B135,Q,16,FALSE)))</f>
        <v/>
      </c>
      <c r="K135" s="2" t="str">
        <f>IF(VLOOKUP($B135,Q,14,FALSE)=0,"",(VLOOKUP($B135,Q,17,FALSE)))</f>
        <v/>
      </c>
    </row>
    <row r="136" spans="2:11" x14ac:dyDescent="0.6">
      <c r="B136" s="1">
        <v>139</v>
      </c>
      <c r="C136" s="2" t="str">
        <f>IF(VLOOKUP($B136,Q,2,FALSE)=0,"",(VLOOKUP($B136,Q,2,FALSE)))</f>
        <v/>
      </c>
      <c r="D136" s="2" t="str">
        <f>IF(VLOOKUP($B136,Q,3,FALSE)=0,"",(VLOOKUP($B136,Q,3,FALSE)))</f>
        <v/>
      </c>
      <c r="E136" s="2" t="str">
        <f>IF(VLOOKUP($B136,Q,8,FALSE)=0,"",(VLOOKUP($B136,Q,8,FALSE)))</f>
        <v/>
      </c>
      <c r="F136" s="19" t="str">
        <f>IF(VLOOKUP($B136,Q,9,FALSE)=0,"",(VLOOKUP($B136,Q,9,FALSE)))</f>
        <v/>
      </c>
      <c r="G136" s="2" t="str">
        <f>IF(VLOOKUP($B136,Q,10,FALSE)=0,"",(VLOOKUP($B136,Q,10,FALSE)))</f>
        <v/>
      </c>
      <c r="H136" s="2" t="str">
        <f>IF(VLOOKUP($B136,Q,14,FALSE)=0,"",(VLOOKUP($B136,Q,14,FALSE)))</f>
        <v/>
      </c>
      <c r="I136" s="2" t="str">
        <f>IF(VLOOKUP($B136,Q,14,FALSE)=0,"",(VLOOKUP($B136,Q,15,FALSE)))</f>
        <v/>
      </c>
      <c r="J136" s="2" t="str">
        <f>IF(VLOOKUP($B136,Q,14,FALSE)=0,"",(VLOOKUP($B136,Q,16,FALSE)))</f>
        <v/>
      </c>
      <c r="K136" s="2" t="str">
        <f>IF(VLOOKUP($B136,Q,14,FALSE)=0,"",(VLOOKUP($B136,Q,17,FALSE)))</f>
        <v/>
      </c>
    </row>
    <row r="137" spans="2:11" x14ac:dyDescent="0.6">
      <c r="B137" s="1">
        <v>140</v>
      </c>
      <c r="C137" s="2" t="str">
        <f>IF(VLOOKUP($B137,Q,2,FALSE)=0,"",(VLOOKUP($B137,Q,2,FALSE)))</f>
        <v/>
      </c>
      <c r="D137" s="2" t="str">
        <f>IF(VLOOKUP($B137,Q,3,FALSE)=0,"",(VLOOKUP($B137,Q,3,FALSE)))</f>
        <v/>
      </c>
      <c r="E137" s="2" t="str">
        <f>IF(VLOOKUP($B137,Q,8,FALSE)=0,"",(VLOOKUP($B137,Q,8,FALSE)))</f>
        <v/>
      </c>
      <c r="F137" s="19" t="str">
        <f>IF(VLOOKUP($B137,Q,9,FALSE)=0,"",(VLOOKUP($B137,Q,9,FALSE)))</f>
        <v/>
      </c>
      <c r="G137" s="2" t="str">
        <f>IF(VLOOKUP($B137,Q,10,FALSE)=0,"",(VLOOKUP($B137,Q,10,FALSE)))</f>
        <v/>
      </c>
      <c r="H137" s="2" t="str">
        <f>IF(VLOOKUP($B137,Q,14,FALSE)=0,"",(VLOOKUP($B137,Q,14,FALSE)))</f>
        <v/>
      </c>
      <c r="I137" s="2" t="str">
        <f>IF(VLOOKUP($B137,Q,14,FALSE)=0,"",(VLOOKUP($B137,Q,15,FALSE)))</f>
        <v/>
      </c>
      <c r="J137" s="2" t="str">
        <f>IF(VLOOKUP($B137,Q,14,FALSE)=0,"",(VLOOKUP($B137,Q,16,FALSE)))</f>
        <v/>
      </c>
      <c r="K137" s="2" t="str">
        <f>IF(VLOOKUP($B137,Q,14,FALSE)=0,"",(VLOOKUP($B137,Q,17,FALSE)))</f>
        <v/>
      </c>
    </row>
    <row r="138" spans="2:11" x14ac:dyDescent="0.6">
      <c r="B138" s="1">
        <v>141</v>
      </c>
      <c r="C138" s="2" t="str">
        <f>IF(VLOOKUP($B138,Q,2,FALSE)=0,"",(VLOOKUP($B138,Q,2,FALSE)))</f>
        <v/>
      </c>
      <c r="D138" s="2" t="str">
        <f>IF(VLOOKUP($B138,Q,3,FALSE)=0,"",(VLOOKUP($B138,Q,3,FALSE)))</f>
        <v/>
      </c>
      <c r="E138" s="2" t="str">
        <f>IF(VLOOKUP($B138,Q,8,FALSE)=0,"",(VLOOKUP($B138,Q,8,FALSE)))</f>
        <v/>
      </c>
      <c r="F138" s="19" t="str">
        <f>IF(VLOOKUP($B138,Q,9,FALSE)=0,"",(VLOOKUP($B138,Q,9,FALSE)))</f>
        <v/>
      </c>
      <c r="G138" s="2" t="str">
        <f>IF(VLOOKUP($B138,Q,10,FALSE)=0,"",(VLOOKUP($B138,Q,10,FALSE)))</f>
        <v/>
      </c>
      <c r="H138" s="2" t="str">
        <f>IF(VLOOKUP($B138,Q,14,FALSE)=0,"",(VLOOKUP($B138,Q,14,FALSE)))</f>
        <v/>
      </c>
      <c r="I138" s="2" t="str">
        <f>IF(VLOOKUP($B138,Q,14,FALSE)=0,"",(VLOOKUP($B138,Q,15,FALSE)))</f>
        <v/>
      </c>
      <c r="J138" s="2" t="str">
        <f>IF(VLOOKUP($B138,Q,14,FALSE)=0,"",(VLOOKUP($B138,Q,16,FALSE)))</f>
        <v/>
      </c>
      <c r="K138" s="2" t="str">
        <f>IF(VLOOKUP($B138,Q,14,FALSE)=0,"",(VLOOKUP($B138,Q,17,FALSE)))</f>
        <v/>
      </c>
    </row>
    <row r="139" spans="2:11" x14ac:dyDescent="0.6">
      <c r="B139" s="1">
        <v>142</v>
      </c>
      <c r="C139" s="2" t="str">
        <f>IF(VLOOKUP($B139,Q,2,FALSE)=0,"",(VLOOKUP($B139,Q,2,FALSE)))</f>
        <v/>
      </c>
      <c r="D139" s="2" t="str">
        <f>IF(VLOOKUP($B139,Q,3,FALSE)=0,"",(VLOOKUP($B139,Q,3,FALSE)))</f>
        <v/>
      </c>
      <c r="E139" s="2" t="str">
        <f>IF(VLOOKUP($B139,Q,8,FALSE)=0,"",(VLOOKUP($B139,Q,8,FALSE)))</f>
        <v/>
      </c>
      <c r="F139" s="19" t="str">
        <f>IF(VLOOKUP($B139,Q,9,FALSE)=0,"",(VLOOKUP($B139,Q,9,FALSE)))</f>
        <v/>
      </c>
      <c r="G139" s="2" t="str">
        <f>IF(VLOOKUP($B139,Q,10,FALSE)=0,"",(VLOOKUP($B139,Q,10,FALSE)))</f>
        <v/>
      </c>
      <c r="H139" s="2" t="str">
        <f>IF(VLOOKUP($B139,Q,14,FALSE)=0,"",(VLOOKUP($B139,Q,14,FALSE)))</f>
        <v/>
      </c>
      <c r="I139" s="2" t="str">
        <f>IF(VLOOKUP($B139,Q,14,FALSE)=0,"",(VLOOKUP($B139,Q,15,FALSE)))</f>
        <v/>
      </c>
      <c r="J139" s="2" t="str">
        <f>IF(VLOOKUP($B139,Q,14,FALSE)=0,"",(VLOOKUP($B139,Q,16,FALSE)))</f>
        <v/>
      </c>
      <c r="K139" s="2" t="str">
        <f>IF(VLOOKUP($B139,Q,14,FALSE)=0,"",(VLOOKUP($B139,Q,17,FALSE)))</f>
        <v/>
      </c>
    </row>
    <row r="140" spans="2:11" x14ac:dyDescent="0.6">
      <c r="B140" s="1">
        <v>143</v>
      </c>
      <c r="C140" s="2" t="str">
        <f>IF(VLOOKUP($B140,Q,2,FALSE)=0,"",(VLOOKUP($B140,Q,2,FALSE)))</f>
        <v/>
      </c>
      <c r="D140" s="2" t="str">
        <f>IF(VLOOKUP($B140,Q,3,FALSE)=0,"",(VLOOKUP($B140,Q,3,FALSE)))</f>
        <v/>
      </c>
      <c r="E140" s="2" t="str">
        <f>IF(VLOOKUP($B140,Q,8,FALSE)=0,"",(VLOOKUP($B140,Q,8,FALSE)))</f>
        <v/>
      </c>
      <c r="F140" s="19" t="str">
        <f>IF(VLOOKUP($B140,Q,9,FALSE)=0,"",(VLOOKUP($B140,Q,9,FALSE)))</f>
        <v/>
      </c>
      <c r="G140" s="2" t="str">
        <f>IF(VLOOKUP($B140,Q,10,FALSE)=0,"",(VLOOKUP($B140,Q,10,FALSE)))</f>
        <v/>
      </c>
      <c r="H140" s="2" t="str">
        <f>IF(VLOOKUP($B140,Q,14,FALSE)=0,"",(VLOOKUP($B140,Q,14,FALSE)))</f>
        <v/>
      </c>
      <c r="I140" s="2" t="str">
        <f>IF(VLOOKUP($B140,Q,14,FALSE)=0,"",(VLOOKUP($B140,Q,15,FALSE)))</f>
        <v/>
      </c>
      <c r="J140" s="2" t="str">
        <f>IF(VLOOKUP($B140,Q,14,FALSE)=0,"",(VLOOKUP($B140,Q,16,FALSE)))</f>
        <v/>
      </c>
      <c r="K140" s="2" t="str">
        <f>IF(VLOOKUP($B140,Q,14,FALSE)=0,"",(VLOOKUP($B140,Q,17,FALSE)))</f>
        <v/>
      </c>
    </row>
    <row r="141" spans="2:11" x14ac:dyDescent="0.6">
      <c r="B141" s="1">
        <v>144</v>
      </c>
      <c r="C141" s="2" t="str">
        <f>IF(VLOOKUP($B141,Q,2,FALSE)=0,"",(VLOOKUP($B141,Q,2,FALSE)))</f>
        <v/>
      </c>
      <c r="D141" s="2" t="str">
        <f>IF(VLOOKUP($B141,Q,3,FALSE)=0,"",(VLOOKUP($B141,Q,3,FALSE)))</f>
        <v/>
      </c>
      <c r="E141" s="2" t="str">
        <f>IF(VLOOKUP($B141,Q,8,FALSE)=0,"",(VLOOKUP($B141,Q,8,FALSE)))</f>
        <v/>
      </c>
      <c r="F141" s="19" t="str">
        <f>IF(VLOOKUP($B141,Q,9,FALSE)=0,"",(VLOOKUP($B141,Q,9,FALSE)))</f>
        <v/>
      </c>
      <c r="G141" s="2" t="str">
        <f>IF(VLOOKUP($B141,Q,10,FALSE)=0,"",(VLOOKUP($B141,Q,10,FALSE)))</f>
        <v/>
      </c>
      <c r="H141" s="2" t="str">
        <f>IF(VLOOKUP($B141,Q,14,FALSE)=0,"",(VLOOKUP($B141,Q,14,FALSE)))</f>
        <v/>
      </c>
      <c r="I141" s="2" t="str">
        <f>IF(VLOOKUP($B141,Q,14,FALSE)=0,"",(VLOOKUP($B141,Q,15,FALSE)))</f>
        <v/>
      </c>
      <c r="J141" s="2" t="str">
        <f>IF(VLOOKUP($B141,Q,14,FALSE)=0,"",(VLOOKUP($B141,Q,16,FALSE)))</f>
        <v/>
      </c>
      <c r="K141" s="2" t="str">
        <f>IF(VLOOKUP($B141,Q,14,FALSE)=0,"",(VLOOKUP($B141,Q,17,FALSE)))</f>
        <v/>
      </c>
    </row>
    <row r="142" spans="2:11" x14ac:dyDescent="0.6">
      <c r="B142" s="1">
        <v>145</v>
      </c>
      <c r="C142" s="2" t="str">
        <f>IF(VLOOKUP($B142,Q,2,FALSE)=0,"",(VLOOKUP($B142,Q,2,FALSE)))</f>
        <v/>
      </c>
      <c r="D142" s="2" t="str">
        <f>IF(VLOOKUP($B142,Q,3,FALSE)=0,"",(VLOOKUP($B142,Q,3,FALSE)))</f>
        <v/>
      </c>
      <c r="E142" s="2" t="str">
        <f>IF(VLOOKUP($B142,Q,8,FALSE)=0,"",(VLOOKUP($B142,Q,8,FALSE)))</f>
        <v/>
      </c>
      <c r="F142" s="19" t="str">
        <f>IF(VLOOKUP($B142,Q,9,FALSE)=0,"",(VLOOKUP($B142,Q,9,FALSE)))</f>
        <v/>
      </c>
      <c r="G142" s="2" t="str">
        <f>IF(VLOOKUP($B142,Q,10,FALSE)=0,"",(VLOOKUP($B142,Q,10,FALSE)))</f>
        <v/>
      </c>
      <c r="H142" s="2" t="str">
        <f>IF(VLOOKUP($B142,Q,14,FALSE)=0,"",(VLOOKUP($B142,Q,14,FALSE)))</f>
        <v/>
      </c>
      <c r="I142" s="2" t="str">
        <f>IF(VLOOKUP($B142,Q,14,FALSE)=0,"",(VLOOKUP($B142,Q,15,FALSE)))</f>
        <v/>
      </c>
      <c r="J142" s="2" t="str">
        <f>IF(VLOOKUP($B142,Q,14,FALSE)=0,"",(VLOOKUP($B142,Q,16,FALSE)))</f>
        <v/>
      </c>
      <c r="K142" s="2" t="str">
        <f>IF(VLOOKUP($B142,Q,14,FALSE)=0,"",(VLOOKUP($B142,Q,17,FALSE)))</f>
        <v/>
      </c>
    </row>
    <row r="143" spans="2:11" x14ac:dyDescent="0.6">
      <c r="B143" s="1">
        <v>146</v>
      </c>
      <c r="C143" s="2" t="str">
        <f>IF(VLOOKUP($B143,Q,2,FALSE)=0,"",(VLOOKUP($B143,Q,2,FALSE)))</f>
        <v/>
      </c>
      <c r="D143" s="2" t="str">
        <f>IF(VLOOKUP($B143,Q,3,FALSE)=0,"",(VLOOKUP($B143,Q,3,FALSE)))</f>
        <v/>
      </c>
      <c r="E143" s="2" t="str">
        <f>IF(VLOOKUP($B143,Q,8,FALSE)=0,"",(VLOOKUP($B143,Q,8,FALSE)))</f>
        <v/>
      </c>
      <c r="F143" s="19" t="str">
        <f>IF(VLOOKUP($B143,Q,9,FALSE)=0,"",(VLOOKUP($B143,Q,9,FALSE)))</f>
        <v/>
      </c>
      <c r="G143" s="2" t="str">
        <f>IF(VLOOKUP($B143,Q,10,FALSE)=0,"",(VLOOKUP($B143,Q,10,FALSE)))</f>
        <v/>
      </c>
      <c r="H143" s="2" t="str">
        <f>IF(VLOOKUP($B143,Q,14,FALSE)=0,"",(VLOOKUP($B143,Q,14,FALSE)))</f>
        <v/>
      </c>
      <c r="I143" s="2" t="str">
        <f>IF(VLOOKUP($B143,Q,14,FALSE)=0,"",(VLOOKUP($B143,Q,15,FALSE)))</f>
        <v/>
      </c>
      <c r="J143" s="2" t="str">
        <f>IF(VLOOKUP($B143,Q,14,FALSE)=0,"",(VLOOKUP($B143,Q,16,FALSE)))</f>
        <v/>
      </c>
      <c r="K143" s="2" t="str">
        <f>IF(VLOOKUP($B143,Q,14,FALSE)=0,"",(VLOOKUP($B143,Q,17,FALSE)))</f>
        <v/>
      </c>
    </row>
    <row r="144" spans="2:11" x14ac:dyDescent="0.6">
      <c r="B144" s="1">
        <v>147</v>
      </c>
      <c r="C144" s="2" t="str">
        <f>IF(VLOOKUP($B144,Q,2,FALSE)=0,"",(VLOOKUP($B144,Q,2,FALSE)))</f>
        <v/>
      </c>
      <c r="D144" s="2" t="str">
        <f>IF(VLOOKUP($B144,Q,3,FALSE)=0,"",(VLOOKUP($B144,Q,3,FALSE)))</f>
        <v/>
      </c>
      <c r="E144" s="2" t="str">
        <f>IF(VLOOKUP($B144,Q,8,FALSE)=0,"",(VLOOKUP($B144,Q,8,FALSE)))</f>
        <v/>
      </c>
      <c r="F144" s="19" t="str">
        <f>IF(VLOOKUP($B144,Q,9,FALSE)=0,"",(VLOOKUP($B144,Q,9,FALSE)))</f>
        <v/>
      </c>
      <c r="G144" s="2" t="str">
        <f>IF(VLOOKUP($B144,Q,10,FALSE)=0,"",(VLOOKUP($B144,Q,10,FALSE)))</f>
        <v/>
      </c>
      <c r="H144" s="2" t="str">
        <f>IF(VLOOKUP($B144,Q,14,FALSE)=0,"",(VLOOKUP($B144,Q,14,FALSE)))</f>
        <v/>
      </c>
      <c r="I144" s="2" t="str">
        <f>IF(VLOOKUP($B144,Q,14,FALSE)=0,"",(VLOOKUP($B144,Q,15,FALSE)))</f>
        <v/>
      </c>
      <c r="J144" s="2" t="str">
        <f>IF(VLOOKUP($B144,Q,14,FALSE)=0,"",(VLOOKUP($B144,Q,16,FALSE)))</f>
        <v/>
      </c>
      <c r="K144" s="2" t="str">
        <f>IF(VLOOKUP($B144,Q,14,FALSE)=0,"",(VLOOKUP($B144,Q,17,FALSE)))</f>
        <v/>
      </c>
    </row>
    <row r="145" spans="2:11" x14ac:dyDescent="0.6">
      <c r="B145" s="1">
        <v>148</v>
      </c>
      <c r="C145" s="2" t="str">
        <f>IF(VLOOKUP($B145,Q,2,FALSE)=0,"",(VLOOKUP($B145,Q,2,FALSE)))</f>
        <v/>
      </c>
      <c r="D145" s="2" t="str">
        <f>IF(VLOOKUP($B145,Q,3,FALSE)=0,"",(VLOOKUP($B145,Q,3,FALSE)))</f>
        <v/>
      </c>
      <c r="E145" s="2" t="str">
        <f>IF(VLOOKUP($B145,Q,8,FALSE)=0,"",(VLOOKUP($B145,Q,8,FALSE)))</f>
        <v/>
      </c>
      <c r="F145" s="19" t="str">
        <f>IF(VLOOKUP($B145,Q,9,FALSE)=0,"",(VLOOKUP($B145,Q,9,FALSE)))</f>
        <v/>
      </c>
      <c r="G145" s="2" t="str">
        <f>IF(VLOOKUP($B145,Q,10,FALSE)=0,"",(VLOOKUP($B145,Q,10,FALSE)))</f>
        <v/>
      </c>
      <c r="H145" s="2" t="str">
        <f>IF(VLOOKUP($B145,Q,14,FALSE)=0,"",(VLOOKUP($B145,Q,14,FALSE)))</f>
        <v/>
      </c>
      <c r="I145" s="2" t="str">
        <f>IF(VLOOKUP($B145,Q,14,FALSE)=0,"",(VLOOKUP($B145,Q,15,FALSE)))</f>
        <v/>
      </c>
      <c r="J145" s="2" t="str">
        <f>IF(VLOOKUP($B145,Q,14,FALSE)=0,"",(VLOOKUP($B145,Q,16,FALSE)))</f>
        <v/>
      </c>
      <c r="K145" s="2" t="str">
        <f>IF(VLOOKUP($B145,Q,14,FALSE)=0,"",(VLOOKUP($B145,Q,17,FALSE)))</f>
        <v/>
      </c>
    </row>
    <row r="146" spans="2:11" x14ac:dyDescent="0.6">
      <c r="B146" s="1">
        <v>149</v>
      </c>
      <c r="C146" s="2" t="str">
        <f>IF(VLOOKUP($B146,Q,2,FALSE)=0,"",(VLOOKUP($B146,Q,2,FALSE)))</f>
        <v/>
      </c>
      <c r="D146" s="2" t="str">
        <f>IF(VLOOKUP($B146,Q,3,FALSE)=0,"",(VLOOKUP($B146,Q,3,FALSE)))</f>
        <v/>
      </c>
      <c r="E146" s="2" t="str">
        <f>IF(VLOOKUP($B146,Q,8,FALSE)=0,"",(VLOOKUP($B146,Q,8,FALSE)))</f>
        <v/>
      </c>
      <c r="F146" s="19" t="str">
        <f>IF(VLOOKUP($B146,Q,9,FALSE)=0,"",(VLOOKUP($B146,Q,9,FALSE)))</f>
        <v/>
      </c>
      <c r="G146" s="2" t="str">
        <f>IF(VLOOKUP($B146,Q,10,FALSE)=0,"",(VLOOKUP($B146,Q,10,FALSE)))</f>
        <v/>
      </c>
      <c r="H146" s="2" t="str">
        <f>IF(VLOOKUP($B146,Q,14,FALSE)=0,"",(VLOOKUP($B146,Q,14,FALSE)))</f>
        <v/>
      </c>
      <c r="I146" s="2" t="str">
        <f>IF(VLOOKUP($B146,Q,14,FALSE)=0,"",(VLOOKUP($B146,Q,15,FALSE)))</f>
        <v/>
      </c>
      <c r="J146" s="2" t="str">
        <f>IF(VLOOKUP($B146,Q,14,FALSE)=0,"",(VLOOKUP($B146,Q,16,FALSE)))</f>
        <v/>
      </c>
      <c r="K146" s="2" t="str">
        <f>IF(VLOOKUP($B146,Q,14,FALSE)=0,"",(VLOOKUP($B146,Q,17,FALSE)))</f>
        <v/>
      </c>
    </row>
    <row r="147" spans="2:11" x14ac:dyDescent="0.6">
      <c r="B147" s="1">
        <v>150</v>
      </c>
      <c r="C147" s="2" t="str">
        <f>IF(VLOOKUP($B147,Q,2,FALSE)=0,"",(VLOOKUP($B147,Q,2,FALSE)))</f>
        <v/>
      </c>
      <c r="D147" s="2" t="str">
        <f>IF(VLOOKUP($B147,Q,3,FALSE)=0,"",(VLOOKUP($B147,Q,3,FALSE)))</f>
        <v/>
      </c>
      <c r="E147" s="2" t="str">
        <f>IF(VLOOKUP($B147,Q,8,FALSE)=0,"",(VLOOKUP($B147,Q,8,FALSE)))</f>
        <v/>
      </c>
      <c r="F147" s="19" t="str">
        <f>IF(VLOOKUP($B147,Q,9,FALSE)=0,"",(VLOOKUP($B147,Q,9,FALSE)))</f>
        <v/>
      </c>
      <c r="G147" s="2" t="str">
        <f>IF(VLOOKUP($B147,Q,10,FALSE)=0,"",(VLOOKUP($B147,Q,10,FALSE)))</f>
        <v/>
      </c>
      <c r="H147" s="2" t="str">
        <f>IF(VLOOKUP($B147,Q,14,FALSE)=0,"",(VLOOKUP($B147,Q,14,FALSE)))</f>
        <v/>
      </c>
      <c r="I147" s="2" t="str">
        <f>IF(VLOOKUP($B147,Q,14,FALSE)=0,"",(VLOOKUP($B147,Q,15,FALSE)))</f>
        <v/>
      </c>
      <c r="J147" s="2" t="str">
        <f>IF(VLOOKUP($B147,Q,14,FALSE)=0,"",(VLOOKUP($B147,Q,16,FALSE)))</f>
        <v/>
      </c>
      <c r="K147" s="2" t="str">
        <f>IF(VLOOKUP($B147,Q,14,FALSE)=0,"",(VLOOKUP($B147,Q,17,FALSE)))</f>
        <v/>
      </c>
    </row>
    <row r="148" spans="2:11" x14ac:dyDescent="0.6">
      <c r="B148" s="1">
        <v>151</v>
      </c>
      <c r="C148" s="2" t="str">
        <f>IF(VLOOKUP($B148,Q,2,FALSE)=0,"",(VLOOKUP($B148,Q,2,FALSE)))</f>
        <v/>
      </c>
      <c r="D148" s="2" t="str">
        <f>IF(VLOOKUP($B148,Q,3,FALSE)=0,"",(VLOOKUP($B148,Q,3,FALSE)))</f>
        <v/>
      </c>
      <c r="E148" s="2" t="str">
        <f>IF(VLOOKUP($B148,Q,8,FALSE)=0,"",(VLOOKUP($B148,Q,8,FALSE)))</f>
        <v/>
      </c>
      <c r="F148" s="19" t="str">
        <f>IF(VLOOKUP($B148,Q,9,FALSE)=0,"",(VLOOKUP($B148,Q,9,FALSE)))</f>
        <v/>
      </c>
      <c r="G148" s="2" t="str">
        <f>IF(VLOOKUP($B148,Q,10,FALSE)=0,"",(VLOOKUP($B148,Q,10,FALSE)))</f>
        <v/>
      </c>
      <c r="H148" s="2" t="str">
        <f>IF(VLOOKUP($B148,Q,14,FALSE)=0,"",(VLOOKUP($B148,Q,14,FALSE)))</f>
        <v/>
      </c>
      <c r="I148" s="2" t="str">
        <f>IF(VLOOKUP($B148,Q,14,FALSE)=0,"",(VLOOKUP($B148,Q,15,FALSE)))</f>
        <v/>
      </c>
      <c r="J148" s="2" t="str">
        <f>IF(VLOOKUP($B148,Q,14,FALSE)=0,"",(VLOOKUP($B148,Q,16,FALSE)))</f>
        <v/>
      </c>
      <c r="K148" s="2" t="str">
        <f>IF(VLOOKUP($B148,Q,14,FALSE)=0,"",(VLOOKUP($B148,Q,17,FALSE)))</f>
        <v/>
      </c>
    </row>
    <row r="149" spans="2:11" x14ac:dyDescent="0.6">
      <c r="B149" s="1">
        <v>152</v>
      </c>
      <c r="C149" s="2" t="str">
        <f>IF(VLOOKUP($B149,Q,2,FALSE)=0,"",(VLOOKUP($B149,Q,2,FALSE)))</f>
        <v/>
      </c>
      <c r="D149" s="2" t="str">
        <f>IF(VLOOKUP($B149,Q,3,FALSE)=0,"",(VLOOKUP($B149,Q,3,FALSE)))</f>
        <v/>
      </c>
      <c r="E149" s="2" t="str">
        <f>IF(VLOOKUP($B149,Q,8,FALSE)=0,"",(VLOOKUP($B149,Q,8,FALSE)))</f>
        <v/>
      </c>
      <c r="F149" s="19" t="str">
        <f>IF(VLOOKUP($B149,Q,9,FALSE)=0,"",(VLOOKUP($B149,Q,9,FALSE)))</f>
        <v/>
      </c>
      <c r="G149" s="2" t="str">
        <f>IF(VLOOKUP($B149,Q,10,FALSE)=0,"",(VLOOKUP($B149,Q,10,FALSE)))</f>
        <v/>
      </c>
      <c r="H149" s="2" t="str">
        <f>IF(VLOOKUP($B149,Q,14,FALSE)=0,"",(VLOOKUP($B149,Q,14,FALSE)))</f>
        <v/>
      </c>
      <c r="I149" s="2" t="str">
        <f>IF(VLOOKUP($B149,Q,14,FALSE)=0,"",(VLOOKUP($B149,Q,15,FALSE)))</f>
        <v/>
      </c>
      <c r="J149" s="2" t="str">
        <f>IF(VLOOKUP($B149,Q,14,FALSE)=0,"",(VLOOKUP($B149,Q,16,FALSE)))</f>
        <v/>
      </c>
      <c r="K149" s="2" t="str">
        <f>IF(VLOOKUP($B149,Q,14,FALSE)=0,"",(VLOOKUP($B149,Q,17,FALSE)))</f>
        <v/>
      </c>
    </row>
    <row r="150" spans="2:11" x14ac:dyDescent="0.6">
      <c r="B150" s="1">
        <v>153</v>
      </c>
      <c r="C150" s="2" t="str">
        <f>IF(VLOOKUP($B150,Q,2,FALSE)=0,"",(VLOOKUP($B150,Q,2,FALSE)))</f>
        <v/>
      </c>
      <c r="D150" s="2" t="str">
        <f>IF(VLOOKUP($B150,Q,3,FALSE)=0,"",(VLOOKUP($B150,Q,3,FALSE)))</f>
        <v/>
      </c>
      <c r="E150" s="2" t="str">
        <f>IF(VLOOKUP($B150,Q,8,FALSE)=0,"",(VLOOKUP($B150,Q,8,FALSE)))</f>
        <v/>
      </c>
      <c r="F150" s="19" t="str">
        <f>IF(VLOOKUP($B150,Q,9,FALSE)=0,"",(VLOOKUP($B150,Q,9,FALSE)))</f>
        <v/>
      </c>
      <c r="G150" s="2" t="str">
        <f>IF(VLOOKUP($B150,Q,10,FALSE)=0,"",(VLOOKUP($B150,Q,10,FALSE)))</f>
        <v/>
      </c>
      <c r="H150" s="2" t="str">
        <f>IF(VLOOKUP($B150,Q,14,FALSE)=0,"",(VLOOKUP($B150,Q,14,FALSE)))</f>
        <v/>
      </c>
      <c r="I150" s="2" t="str">
        <f>IF(VLOOKUP($B150,Q,14,FALSE)=0,"",(VLOOKUP($B150,Q,15,FALSE)))</f>
        <v/>
      </c>
      <c r="J150" s="2" t="str">
        <f>IF(VLOOKUP($B150,Q,14,FALSE)=0,"",(VLOOKUP($B150,Q,16,FALSE)))</f>
        <v/>
      </c>
      <c r="K150" s="2" t="str">
        <f>IF(VLOOKUP($B150,Q,14,FALSE)=0,"",(VLOOKUP($B150,Q,17,FALSE)))</f>
        <v/>
      </c>
    </row>
    <row r="151" spans="2:11" x14ac:dyDescent="0.6">
      <c r="B151" s="1">
        <v>154</v>
      </c>
      <c r="C151" s="2" t="str">
        <f>IF(VLOOKUP($B151,Q,2,FALSE)=0,"",(VLOOKUP($B151,Q,2,FALSE)))</f>
        <v/>
      </c>
      <c r="D151" s="2" t="str">
        <f>IF(VLOOKUP($B151,Q,3,FALSE)=0,"",(VLOOKUP($B151,Q,3,FALSE)))</f>
        <v/>
      </c>
      <c r="E151" s="2" t="str">
        <f>IF(VLOOKUP($B151,Q,8,FALSE)=0,"",(VLOOKUP($B151,Q,8,FALSE)))</f>
        <v/>
      </c>
      <c r="F151" s="19" t="str">
        <f>IF(VLOOKUP($B151,Q,9,FALSE)=0,"",(VLOOKUP($B151,Q,9,FALSE)))</f>
        <v/>
      </c>
      <c r="G151" s="2" t="str">
        <f>IF(VLOOKUP($B151,Q,10,FALSE)=0,"",(VLOOKUP($B151,Q,10,FALSE)))</f>
        <v/>
      </c>
      <c r="H151" s="2" t="str">
        <f>IF(VLOOKUP($B151,Q,14,FALSE)=0,"",(VLOOKUP($B151,Q,14,FALSE)))</f>
        <v/>
      </c>
      <c r="I151" s="2" t="str">
        <f>IF(VLOOKUP($B151,Q,14,FALSE)=0,"",(VLOOKUP($B151,Q,15,FALSE)))</f>
        <v/>
      </c>
      <c r="J151" s="2" t="str">
        <f>IF(VLOOKUP($B151,Q,14,FALSE)=0,"",(VLOOKUP($B151,Q,16,FALSE)))</f>
        <v/>
      </c>
      <c r="K151" s="2" t="str">
        <f>IF(VLOOKUP($B151,Q,14,FALSE)=0,"",(VLOOKUP($B151,Q,17,FALSE)))</f>
        <v/>
      </c>
    </row>
    <row r="152" spans="2:11" x14ac:dyDescent="0.6">
      <c r="B152" s="1">
        <v>155</v>
      </c>
      <c r="C152" s="2" t="str">
        <f>IF(VLOOKUP($B152,Q,2,FALSE)=0,"",(VLOOKUP($B152,Q,2,FALSE)))</f>
        <v/>
      </c>
      <c r="D152" s="2" t="str">
        <f>IF(VLOOKUP($B152,Q,3,FALSE)=0,"",(VLOOKUP($B152,Q,3,FALSE)))</f>
        <v/>
      </c>
      <c r="E152" s="2" t="str">
        <f>IF(VLOOKUP($B152,Q,8,FALSE)=0,"",(VLOOKUP($B152,Q,8,FALSE)))</f>
        <v/>
      </c>
      <c r="F152" s="19" t="str">
        <f>IF(VLOOKUP($B152,Q,9,FALSE)=0,"",(VLOOKUP($B152,Q,9,FALSE)))</f>
        <v/>
      </c>
      <c r="G152" s="2" t="str">
        <f>IF(VLOOKUP($B152,Q,10,FALSE)=0,"",(VLOOKUP($B152,Q,10,FALSE)))</f>
        <v/>
      </c>
      <c r="H152" s="2" t="str">
        <f>IF(VLOOKUP($B152,Q,14,FALSE)=0,"",(VLOOKUP($B152,Q,14,FALSE)))</f>
        <v/>
      </c>
      <c r="I152" s="2" t="str">
        <f>IF(VLOOKUP($B152,Q,14,FALSE)=0,"",(VLOOKUP($B152,Q,15,FALSE)))</f>
        <v/>
      </c>
      <c r="J152" s="2" t="str">
        <f>IF(VLOOKUP($B152,Q,14,FALSE)=0,"",(VLOOKUP($B152,Q,16,FALSE)))</f>
        <v/>
      </c>
      <c r="K152" s="2" t="str">
        <f>IF(VLOOKUP($B152,Q,14,FALSE)=0,"",(VLOOKUP($B152,Q,17,FALSE)))</f>
        <v/>
      </c>
    </row>
    <row r="153" spans="2:11" x14ac:dyDescent="0.6">
      <c r="B153" s="1">
        <v>156</v>
      </c>
      <c r="C153" s="2" t="str">
        <f>IF(VLOOKUP($B153,Q,2,FALSE)=0,"",(VLOOKUP($B153,Q,2,FALSE)))</f>
        <v/>
      </c>
      <c r="D153" s="2" t="str">
        <f>IF(VLOOKUP($B153,Q,3,FALSE)=0,"",(VLOOKUP($B153,Q,3,FALSE)))</f>
        <v/>
      </c>
      <c r="E153" s="2" t="str">
        <f>IF(VLOOKUP($B153,Q,8,FALSE)=0,"",(VLOOKUP($B153,Q,8,FALSE)))</f>
        <v/>
      </c>
      <c r="F153" s="19" t="str">
        <f>IF(VLOOKUP($B153,Q,9,FALSE)=0,"",(VLOOKUP($B153,Q,9,FALSE)))</f>
        <v/>
      </c>
      <c r="G153" s="2" t="str">
        <f>IF(VLOOKUP($B153,Q,10,FALSE)=0,"",(VLOOKUP($B153,Q,10,FALSE)))</f>
        <v/>
      </c>
      <c r="H153" s="2" t="str">
        <f>IF(VLOOKUP($B153,Q,14,FALSE)=0,"",(VLOOKUP($B153,Q,14,FALSE)))</f>
        <v/>
      </c>
      <c r="I153" s="2" t="str">
        <f>IF(VLOOKUP($B153,Q,14,FALSE)=0,"",(VLOOKUP($B153,Q,15,FALSE)))</f>
        <v/>
      </c>
      <c r="J153" s="2" t="str">
        <f>IF(VLOOKUP($B153,Q,14,FALSE)=0,"",(VLOOKUP($B153,Q,16,FALSE)))</f>
        <v/>
      </c>
      <c r="K153" s="2" t="str">
        <f>IF(VLOOKUP($B153,Q,14,FALSE)=0,"",(VLOOKUP($B153,Q,17,FALSE)))</f>
        <v/>
      </c>
    </row>
    <row r="154" spans="2:11" x14ac:dyDescent="0.6">
      <c r="B154" s="1">
        <v>157</v>
      </c>
      <c r="C154" s="2" t="str">
        <f>IF(VLOOKUP($B154,Q,2,FALSE)=0,"",(VLOOKUP($B154,Q,2,FALSE)))</f>
        <v/>
      </c>
      <c r="D154" s="2" t="str">
        <f>IF(VLOOKUP($B154,Q,3,FALSE)=0,"",(VLOOKUP($B154,Q,3,FALSE)))</f>
        <v/>
      </c>
      <c r="E154" s="2" t="str">
        <f>IF(VLOOKUP($B154,Q,8,FALSE)=0,"",(VLOOKUP($B154,Q,8,FALSE)))</f>
        <v/>
      </c>
      <c r="F154" s="19" t="str">
        <f>IF(VLOOKUP($B154,Q,9,FALSE)=0,"",(VLOOKUP($B154,Q,9,FALSE)))</f>
        <v/>
      </c>
      <c r="G154" s="2" t="str">
        <f>IF(VLOOKUP($B154,Q,10,FALSE)=0,"",(VLOOKUP($B154,Q,10,FALSE)))</f>
        <v/>
      </c>
      <c r="H154" s="2" t="str">
        <f>IF(VLOOKUP($B154,Q,14,FALSE)=0,"",(VLOOKUP($B154,Q,14,FALSE)))</f>
        <v/>
      </c>
      <c r="I154" s="2" t="str">
        <f>IF(VLOOKUP($B154,Q,14,FALSE)=0,"",(VLOOKUP($B154,Q,15,FALSE)))</f>
        <v/>
      </c>
      <c r="J154" s="2" t="str">
        <f>IF(VLOOKUP($B154,Q,14,FALSE)=0,"",(VLOOKUP($B154,Q,16,FALSE)))</f>
        <v/>
      </c>
      <c r="K154" s="2" t="str">
        <f>IF(VLOOKUP($B154,Q,14,FALSE)=0,"",(VLOOKUP($B154,Q,17,FALSE)))</f>
        <v/>
      </c>
    </row>
    <row r="155" spans="2:11" x14ac:dyDescent="0.6">
      <c r="B155" s="1">
        <v>158</v>
      </c>
      <c r="C155" s="2" t="str">
        <f>IF(VLOOKUP($B155,Q,2,FALSE)=0,"",(VLOOKUP($B155,Q,2,FALSE)))</f>
        <v/>
      </c>
      <c r="D155" s="2" t="str">
        <f>IF(VLOOKUP($B155,Q,3,FALSE)=0,"",(VLOOKUP($B155,Q,3,FALSE)))</f>
        <v/>
      </c>
      <c r="E155" s="2" t="str">
        <f>IF(VLOOKUP($B155,Q,8,FALSE)=0,"",(VLOOKUP($B155,Q,8,FALSE)))</f>
        <v/>
      </c>
      <c r="F155" s="19" t="str">
        <f>IF(VLOOKUP($B155,Q,9,FALSE)=0,"",(VLOOKUP($B155,Q,9,FALSE)))</f>
        <v/>
      </c>
      <c r="G155" s="2" t="str">
        <f>IF(VLOOKUP($B155,Q,10,FALSE)=0,"",(VLOOKUP($B155,Q,10,FALSE)))</f>
        <v/>
      </c>
      <c r="H155" s="2" t="str">
        <f>IF(VLOOKUP($B155,Q,14,FALSE)=0,"",(VLOOKUP($B155,Q,14,FALSE)))</f>
        <v/>
      </c>
      <c r="I155" s="2" t="str">
        <f>IF(VLOOKUP($B155,Q,14,FALSE)=0,"",(VLOOKUP($B155,Q,15,FALSE)))</f>
        <v/>
      </c>
      <c r="J155" s="2" t="str">
        <f>IF(VLOOKUP($B155,Q,14,FALSE)=0,"",(VLOOKUP($B155,Q,16,FALSE)))</f>
        <v/>
      </c>
      <c r="K155" s="2" t="str">
        <f>IF(VLOOKUP($B155,Q,14,FALSE)=0,"",(VLOOKUP($B155,Q,17,FALSE)))</f>
        <v/>
      </c>
    </row>
    <row r="156" spans="2:11" x14ac:dyDescent="0.6">
      <c r="B156" s="1">
        <v>159</v>
      </c>
      <c r="C156" s="2" t="str">
        <f>IF(VLOOKUP($B156,Q,2,FALSE)=0,"",(VLOOKUP($B156,Q,2,FALSE)))</f>
        <v/>
      </c>
      <c r="D156" s="2" t="str">
        <f>IF(VLOOKUP($B156,Q,3,FALSE)=0,"",(VLOOKUP($B156,Q,3,FALSE)))</f>
        <v/>
      </c>
      <c r="E156" s="2" t="str">
        <f>IF(VLOOKUP($B156,Q,8,FALSE)=0,"",(VLOOKUP($B156,Q,8,FALSE)))</f>
        <v/>
      </c>
      <c r="F156" s="19" t="str">
        <f>IF(VLOOKUP($B156,Q,9,FALSE)=0,"",(VLOOKUP($B156,Q,9,FALSE)))</f>
        <v/>
      </c>
      <c r="G156" s="2" t="str">
        <f>IF(VLOOKUP($B156,Q,10,FALSE)=0,"",(VLOOKUP($B156,Q,10,FALSE)))</f>
        <v/>
      </c>
      <c r="H156" s="2" t="str">
        <f>IF(VLOOKUP($B156,Q,14,FALSE)=0,"",(VLOOKUP($B156,Q,14,FALSE)))</f>
        <v/>
      </c>
      <c r="I156" s="2" t="str">
        <f>IF(VLOOKUP($B156,Q,14,FALSE)=0,"",(VLOOKUP($B156,Q,15,FALSE)))</f>
        <v/>
      </c>
      <c r="J156" s="2" t="str">
        <f>IF(VLOOKUP($B156,Q,14,FALSE)=0,"",(VLOOKUP($B156,Q,16,FALSE)))</f>
        <v/>
      </c>
      <c r="K156" s="2" t="str">
        <f>IF(VLOOKUP($B156,Q,14,FALSE)=0,"",(VLOOKUP($B156,Q,17,FALSE)))</f>
        <v/>
      </c>
    </row>
    <row r="157" spans="2:11" x14ac:dyDescent="0.6">
      <c r="B157" s="1">
        <v>160</v>
      </c>
      <c r="C157" s="2" t="str">
        <f>IF(VLOOKUP($B157,Q,2,FALSE)=0,"",(VLOOKUP($B157,Q,2,FALSE)))</f>
        <v/>
      </c>
      <c r="D157" s="2" t="str">
        <f>IF(VLOOKUP($B157,Q,3,FALSE)=0,"",(VLOOKUP($B157,Q,3,FALSE)))</f>
        <v/>
      </c>
      <c r="E157" s="2" t="str">
        <f>IF(VLOOKUP($B157,Q,8,FALSE)=0,"",(VLOOKUP($B157,Q,8,FALSE)))</f>
        <v/>
      </c>
      <c r="F157" s="19" t="str">
        <f>IF(VLOOKUP($B157,Q,9,FALSE)=0,"",(VLOOKUP($B157,Q,9,FALSE)))</f>
        <v/>
      </c>
      <c r="G157" s="2" t="str">
        <f>IF(VLOOKUP($B157,Q,10,FALSE)=0,"",(VLOOKUP($B157,Q,10,FALSE)))</f>
        <v/>
      </c>
      <c r="H157" s="2" t="str">
        <f>IF(VLOOKUP($B157,Q,14,FALSE)=0,"",(VLOOKUP($B157,Q,14,FALSE)))</f>
        <v/>
      </c>
      <c r="I157" s="2" t="str">
        <f>IF(VLOOKUP($B157,Q,14,FALSE)=0,"",(VLOOKUP($B157,Q,15,FALSE)))</f>
        <v/>
      </c>
      <c r="J157" s="2" t="str">
        <f>IF(VLOOKUP($B157,Q,14,FALSE)=0,"",(VLOOKUP($B157,Q,16,FALSE)))</f>
        <v/>
      </c>
      <c r="K157" s="2" t="str">
        <f>IF(VLOOKUP($B157,Q,14,FALSE)=0,"",(VLOOKUP($B157,Q,17,FALSE)))</f>
        <v/>
      </c>
    </row>
    <row r="158" spans="2:11" x14ac:dyDescent="0.6">
      <c r="B158" s="1">
        <v>161</v>
      </c>
      <c r="C158" s="2" t="str">
        <f>IF(VLOOKUP($B158,Q,2,FALSE)=0,"",(VLOOKUP($B158,Q,2,FALSE)))</f>
        <v/>
      </c>
      <c r="D158" s="2" t="str">
        <f>IF(VLOOKUP($B158,Q,3,FALSE)=0,"",(VLOOKUP($B158,Q,3,FALSE)))</f>
        <v/>
      </c>
      <c r="E158" s="2" t="str">
        <f>IF(VLOOKUP($B158,Q,8,FALSE)=0,"",(VLOOKUP($B158,Q,8,FALSE)))</f>
        <v/>
      </c>
      <c r="F158" s="19" t="str">
        <f>IF(VLOOKUP($B158,Q,9,FALSE)=0,"",(VLOOKUP($B158,Q,9,FALSE)))</f>
        <v/>
      </c>
      <c r="G158" s="2" t="str">
        <f>IF(VLOOKUP($B158,Q,10,FALSE)=0,"",(VLOOKUP($B158,Q,10,FALSE)))</f>
        <v/>
      </c>
      <c r="H158" s="2" t="str">
        <f>IF(VLOOKUP($B158,Q,14,FALSE)=0,"",(VLOOKUP($B158,Q,14,FALSE)))</f>
        <v/>
      </c>
      <c r="I158" s="2" t="str">
        <f>IF(VLOOKUP($B158,Q,14,FALSE)=0,"",(VLOOKUP($B158,Q,15,FALSE)))</f>
        <v/>
      </c>
      <c r="J158" s="2" t="str">
        <f>IF(VLOOKUP($B158,Q,14,FALSE)=0,"",(VLOOKUP($B158,Q,16,FALSE)))</f>
        <v/>
      </c>
      <c r="K158" s="2" t="str">
        <f>IF(VLOOKUP($B158,Q,14,FALSE)=0,"",(VLOOKUP($B158,Q,17,FALSE)))</f>
        <v/>
      </c>
    </row>
    <row r="159" spans="2:11" x14ac:dyDescent="0.6">
      <c r="B159" s="1">
        <v>162</v>
      </c>
      <c r="C159" s="2" t="str">
        <f>IF(VLOOKUP($B159,Q,2,FALSE)=0,"",(VLOOKUP($B159,Q,2,FALSE)))</f>
        <v/>
      </c>
      <c r="D159" s="2" t="str">
        <f>IF(VLOOKUP($B159,Q,3,FALSE)=0,"",(VLOOKUP($B159,Q,3,FALSE)))</f>
        <v/>
      </c>
      <c r="E159" s="2" t="str">
        <f>IF(VLOOKUP($B159,Q,8,FALSE)=0,"",(VLOOKUP($B159,Q,8,FALSE)))</f>
        <v/>
      </c>
      <c r="F159" s="19" t="str">
        <f>IF(VLOOKUP($B159,Q,9,FALSE)=0,"",(VLOOKUP($B159,Q,9,FALSE)))</f>
        <v/>
      </c>
      <c r="G159" s="2" t="str">
        <f>IF(VLOOKUP($B159,Q,10,FALSE)=0,"",(VLOOKUP($B159,Q,10,FALSE)))</f>
        <v/>
      </c>
      <c r="H159" s="2" t="str">
        <f>IF(VLOOKUP($B159,Q,14,FALSE)=0,"",(VLOOKUP($B159,Q,14,FALSE)))</f>
        <v/>
      </c>
      <c r="I159" s="2" t="str">
        <f>IF(VLOOKUP($B159,Q,14,FALSE)=0,"",(VLOOKUP($B159,Q,15,FALSE)))</f>
        <v/>
      </c>
      <c r="J159" s="2" t="str">
        <f>IF(VLOOKUP($B159,Q,14,FALSE)=0,"",(VLOOKUP($B159,Q,16,FALSE)))</f>
        <v/>
      </c>
      <c r="K159" s="2" t="str">
        <f>IF(VLOOKUP($B159,Q,14,FALSE)=0,"",(VLOOKUP($B159,Q,17,FALSE)))</f>
        <v/>
      </c>
    </row>
    <row r="160" spans="2:11" x14ac:dyDescent="0.6">
      <c r="B160" s="1">
        <v>163</v>
      </c>
      <c r="C160" s="2" t="str">
        <f>IF(VLOOKUP($B160,Q,2,FALSE)=0,"",(VLOOKUP($B160,Q,2,FALSE)))</f>
        <v/>
      </c>
      <c r="D160" s="2" t="str">
        <f>IF(VLOOKUP($B160,Q,3,FALSE)=0,"",(VLOOKUP($B160,Q,3,FALSE)))</f>
        <v/>
      </c>
      <c r="E160" s="2" t="str">
        <f>IF(VLOOKUP($B160,Q,8,FALSE)=0,"",(VLOOKUP($B160,Q,8,FALSE)))</f>
        <v/>
      </c>
      <c r="F160" s="19" t="str">
        <f>IF(VLOOKUP($B160,Q,9,FALSE)=0,"",(VLOOKUP($B160,Q,9,FALSE)))</f>
        <v/>
      </c>
      <c r="G160" s="2" t="str">
        <f>IF(VLOOKUP($B160,Q,10,FALSE)=0,"",(VLOOKUP($B160,Q,10,FALSE)))</f>
        <v/>
      </c>
      <c r="H160" s="2" t="str">
        <f>IF(VLOOKUP($B160,Q,14,FALSE)=0,"",(VLOOKUP($B160,Q,14,FALSE)))</f>
        <v/>
      </c>
      <c r="I160" s="2" t="str">
        <f>IF(VLOOKUP($B160,Q,14,FALSE)=0,"",(VLOOKUP($B160,Q,15,FALSE)))</f>
        <v/>
      </c>
      <c r="J160" s="2" t="str">
        <f>IF(VLOOKUP($B160,Q,14,FALSE)=0,"",(VLOOKUP($B160,Q,16,FALSE)))</f>
        <v/>
      </c>
      <c r="K160" s="2" t="str">
        <f>IF(VLOOKUP($B160,Q,14,FALSE)=0,"",(VLOOKUP($B160,Q,17,FALSE)))</f>
        <v/>
      </c>
    </row>
    <row r="161" spans="2:11" x14ac:dyDescent="0.6">
      <c r="B161" s="1">
        <v>164</v>
      </c>
      <c r="C161" s="2" t="str">
        <f>IF(VLOOKUP($B161,Q,2,FALSE)=0,"",(VLOOKUP($B161,Q,2,FALSE)))</f>
        <v/>
      </c>
      <c r="D161" s="2" t="str">
        <f>IF(VLOOKUP($B161,Q,3,FALSE)=0,"",(VLOOKUP($B161,Q,3,FALSE)))</f>
        <v/>
      </c>
      <c r="E161" s="2" t="str">
        <f>IF(VLOOKUP($B161,Q,8,FALSE)=0,"",(VLOOKUP($B161,Q,8,FALSE)))</f>
        <v/>
      </c>
      <c r="F161" s="19" t="str">
        <f>IF(VLOOKUP($B161,Q,9,FALSE)=0,"",(VLOOKUP($B161,Q,9,FALSE)))</f>
        <v/>
      </c>
      <c r="G161" s="2" t="str">
        <f>IF(VLOOKUP($B161,Q,10,FALSE)=0,"",(VLOOKUP($B161,Q,10,FALSE)))</f>
        <v/>
      </c>
      <c r="H161" s="2" t="str">
        <f>IF(VLOOKUP($B161,Q,14,FALSE)=0,"",(VLOOKUP($B161,Q,14,FALSE)))</f>
        <v/>
      </c>
      <c r="I161" s="2" t="str">
        <f>IF(VLOOKUP($B161,Q,14,FALSE)=0,"",(VLOOKUP($B161,Q,15,FALSE)))</f>
        <v/>
      </c>
      <c r="J161" s="2" t="str">
        <f>IF(VLOOKUP($B161,Q,14,FALSE)=0,"",(VLOOKUP($B161,Q,16,FALSE)))</f>
        <v/>
      </c>
      <c r="K161" s="2" t="str">
        <f>IF(VLOOKUP($B161,Q,14,FALSE)=0,"",(VLOOKUP($B161,Q,17,FALSE)))</f>
        <v/>
      </c>
    </row>
    <row r="162" spans="2:11" x14ac:dyDescent="0.6">
      <c r="B162" s="1">
        <v>165</v>
      </c>
      <c r="C162" s="2" t="str">
        <f>IF(VLOOKUP($B162,Q,2,FALSE)=0,"",(VLOOKUP($B162,Q,2,FALSE)))</f>
        <v/>
      </c>
      <c r="D162" s="2" t="str">
        <f>IF(VLOOKUP($B162,Q,3,FALSE)=0,"",(VLOOKUP($B162,Q,3,FALSE)))</f>
        <v/>
      </c>
      <c r="E162" s="2" t="str">
        <f>IF(VLOOKUP($B162,Q,8,FALSE)=0,"",(VLOOKUP($B162,Q,8,FALSE)))</f>
        <v/>
      </c>
      <c r="F162" s="19" t="str">
        <f>IF(VLOOKUP($B162,Q,9,FALSE)=0,"",(VLOOKUP($B162,Q,9,FALSE)))</f>
        <v/>
      </c>
      <c r="G162" s="2" t="str">
        <f>IF(VLOOKUP($B162,Q,10,FALSE)=0,"",(VLOOKUP($B162,Q,10,FALSE)))</f>
        <v/>
      </c>
      <c r="H162" s="2" t="str">
        <f>IF(VLOOKUP($B162,Q,14,FALSE)=0,"",(VLOOKUP($B162,Q,14,FALSE)))</f>
        <v/>
      </c>
      <c r="I162" s="2" t="str">
        <f>IF(VLOOKUP($B162,Q,14,FALSE)=0,"",(VLOOKUP($B162,Q,15,FALSE)))</f>
        <v/>
      </c>
      <c r="J162" s="2" t="str">
        <f>IF(VLOOKUP($B162,Q,14,FALSE)=0,"",(VLOOKUP($B162,Q,16,FALSE)))</f>
        <v/>
      </c>
      <c r="K162" s="2" t="str">
        <f>IF(VLOOKUP($B162,Q,14,FALSE)=0,"",(VLOOKUP($B162,Q,17,FALSE)))</f>
        <v/>
      </c>
    </row>
    <row r="163" spans="2:11" x14ac:dyDescent="0.6">
      <c r="B163" s="1">
        <v>166</v>
      </c>
      <c r="C163" s="2" t="str">
        <f>IF(VLOOKUP($B163,Q,2,FALSE)=0,"",(VLOOKUP($B163,Q,2,FALSE)))</f>
        <v/>
      </c>
      <c r="D163" s="2" t="str">
        <f>IF(VLOOKUP($B163,Q,3,FALSE)=0,"",(VLOOKUP($B163,Q,3,FALSE)))</f>
        <v/>
      </c>
      <c r="E163" s="2" t="str">
        <f>IF(VLOOKUP($B163,Q,8,FALSE)=0,"",(VLOOKUP($B163,Q,8,FALSE)))</f>
        <v/>
      </c>
      <c r="F163" s="19" t="str">
        <f>IF(VLOOKUP($B163,Q,9,FALSE)=0,"",(VLOOKUP($B163,Q,9,FALSE)))</f>
        <v/>
      </c>
      <c r="G163" s="2" t="str">
        <f>IF(VLOOKUP($B163,Q,10,FALSE)=0,"",(VLOOKUP($B163,Q,10,FALSE)))</f>
        <v/>
      </c>
      <c r="H163" s="2" t="str">
        <f>IF(VLOOKUP($B163,Q,14,FALSE)=0,"",(VLOOKUP($B163,Q,14,FALSE)))</f>
        <v/>
      </c>
      <c r="I163" s="2" t="str">
        <f>IF(VLOOKUP($B163,Q,14,FALSE)=0,"",(VLOOKUP($B163,Q,15,FALSE)))</f>
        <v/>
      </c>
      <c r="J163" s="2" t="str">
        <f>IF(VLOOKUP($B163,Q,14,FALSE)=0,"",(VLOOKUP($B163,Q,16,FALSE)))</f>
        <v/>
      </c>
      <c r="K163" s="2" t="str">
        <f>IF(VLOOKUP($B163,Q,14,FALSE)=0,"",(VLOOKUP($B163,Q,17,FALSE)))</f>
        <v/>
      </c>
    </row>
    <row r="164" spans="2:11" x14ac:dyDescent="0.6">
      <c r="B164" s="1">
        <v>167</v>
      </c>
      <c r="C164" s="2" t="str">
        <f>IF(VLOOKUP($B164,Q,2,FALSE)=0,"",(VLOOKUP($B164,Q,2,FALSE)))</f>
        <v/>
      </c>
      <c r="D164" s="2" t="str">
        <f>IF(VLOOKUP($B164,Q,3,FALSE)=0,"",(VLOOKUP($B164,Q,3,FALSE)))</f>
        <v/>
      </c>
      <c r="E164" s="2" t="str">
        <f>IF(VLOOKUP($B164,Q,8,FALSE)=0,"",(VLOOKUP($B164,Q,8,FALSE)))</f>
        <v/>
      </c>
      <c r="F164" s="19" t="str">
        <f>IF(VLOOKUP($B164,Q,9,FALSE)=0,"",(VLOOKUP($B164,Q,9,FALSE)))</f>
        <v/>
      </c>
      <c r="G164" s="2" t="str">
        <f>IF(VLOOKUP($B164,Q,10,FALSE)=0,"",(VLOOKUP($B164,Q,10,FALSE)))</f>
        <v/>
      </c>
      <c r="H164" s="2" t="str">
        <f>IF(VLOOKUP($B164,Q,14,FALSE)=0,"",(VLOOKUP($B164,Q,14,FALSE)))</f>
        <v/>
      </c>
      <c r="I164" s="2" t="str">
        <f>IF(VLOOKUP($B164,Q,14,FALSE)=0,"",(VLOOKUP($B164,Q,15,FALSE)))</f>
        <v/>
      </c>
      <c r="J164" s="2" t="str">
        <f>IF(VLOOKUP($B164,Q,14,FALSE)=0,"",(VLOOKUP($B164,Q,16,FALSE)))</f>
        <v/>
      </c>
      <c r="K164" s="2" t="str">
        <f>IF(VLOOKUP($B164,Q,14,FALSE)=0,"",(VLOOKUP($B164,Q,17,FALSE)))</f>
        <v/>
      </c>
    </row>
    <row r="165" spans="2:11" x14ac:dyDescent="0.6">
      <c r="B165" s="1">
        <v>168</v>
      </c>
      <c r="C165" s="2" t="str">
        <f>IF(VLOOKUP($B165,Q,2,FALSE)=0,"",(VLOOKUP($B165,Q,2,FALSE)))</f>
        <v/>
      </c>
      <c r="D165" s="2" t="str">
        <f>IF(VLOOKUP($B165,Q,3,FALSE)=0,"",(VLOOKUP($B165,Q,3,FALSE)))</f>
        <v/>
      </c>
      <c r="E165" s="2" t="str">
        <f>IF(VLOOKUP($B165,Q,8,FALSE)=0,"",(VLOOKUP($B165,Q,8,FALSE)))</f>
        <v/>
      </c>
      <c r="F165" s="19" t="str">
        <f>IF(VLOOKUP($B165,Q,9,FALSE)=0,"",(VLOOKUP($B165,Q,9,FALSE)))</f>
        <v/>
      </c>
      <c r="G165" s="2" t="str">
        <f>IF(VLOOKUP($B165,Q,10,FALSE)=0,"",(VLOOKUP($B165,Q,10,FALSE)))</f>
        <v/>
      </c>
      <c r="H165" s="2" t="str">
        <f>IF(VLOOKUP($B165,Q,14,FALSE)=0,"",(VLOOKUP($B165,Q,14,FALSE)))</f>
        <v/>
      </c>
      <c r="I165" s="2" t="str">
        <f>IF(VLOOKUP($B165,Q,14,FALSE)=0,"",(VLOOKUP($B165,Q,15,FALSE)))</f>
        <v/>
      </c>
      <c r="J165" s="2" t="str">
        <f>IF(VLOOKUP($B165,Q,14,FALSE)=0,"",(VLOOKUP($B165,Q,16,FALSE)))</f>
        <v/>
      </c>
      <c r="K165" s="2" t="str">
        <f>IF(VLOOKUP($B165,Q,14,FALSE)=0,"",(VLOOKUP($B165,Q,17,FALSE)))</f>
        <v/>
      </c>
    </row>
    <row r="166" spans="2:11" x14ac:dyDescent="0.6">
      <c r="B166" s="1">
        <v>169</v>
      </c>
      <c r="C166" s="2" t="str">
        <f>IF(VLOOKUP($B166,Q,2,FALSE)=0,"",(VLOOKUP($B166,Q,2,FALSE)))</f>
        <v/>
      </c>
      <c r="D166" s="2" t="str">
        <f>IF(VLOOKUP($B166,Q,3,FALSE)=0,"",(VLOOKUP($B166,Q,3,FALSE)))</f>
        <v/>
      </c>
      <c r="E166" s="2" t="str">
        <f>IF(VLOOKUP($B166,Q,8,FALSE)=0,"",(VLOOKUP($B166,Q,8,FALSE)))</f>
        <v/>
      </c>
      <c r="F166" s="19" t="str">
        <f>IF(VLOOKUP($B166,Q,9,FALSE)=0,"",(VLOOKUP($B166,Q,9,FALSE)))</f>
        <v/>
      </c>
      <c r="G166" s="2" t="str">
        <f>IF(VLOOKUP($B166,Q,10,FALSE)=0,"",(VLOOKUP($B166,Q,10,FALSE)))</f>
        <v/>
      </c>
      <c r="H166" s="2" t="str">
        <f>IF(VLOOKUP($B166,Q,14,FALSE)=0,"",(VLOOKUP($B166,Q,14,FALSE)))</f>
        <v/>
      </c>
      <c r="I166" s="2" t="str">
        <f>IF(VLOOKUP($B166,Q,14,FALSE)=0,"",(VLOOKUP($B166,Q,15,FALSE)))</f>
        <v/>
      </c>
      <c r="J166" s="2" t="str">
        <f>IF(VLOOKUP($B166,Q,14,FALSE)=0,"",(VLOOKUP($B166,Q,16,FALSE)))</f>
        <v/>
      </c>
      <c r="K166" s="2" t="str">
        <f>IF(VLOOKUP($B166,Q,14,FALSE)=0,"",(VLOOKUP($B166,Q,17,FALSE)))</f>
        <v/>
      </c>
    </row>
    <row r="167" spans="2:11" x14ac:dyDescent="0.6">
      <c r="B167" s="1">
        <v>170</v>
      </c>
      <c r="C167" s="2" t="str">
        <f>IF(VLOOKUP($B167,Q,2,FALSE)=0,"",(VLOOKUP($B167,Q,2,FALSE)))</f>
        <v/>
      </c>
      <c r="D167" s="2" t="str">
        <f>IF(VLOOKUP($B167,Q,3,FALSE)=0,"",(VLOOKUP($B167,Q,3,FALSE)))</f>
        <v/>
      </c>
      <c r="E167" s="2" t="str">
        <f>IF(VLOOKUP($B167,Q,8,FALSE)=0,"",(VLOOKUP($B167,Q,8,FALSE)))</f>
        <v/>
      </c>
      <c r="F167" s="19" t="str">
        <f>IF(VLOOKUP($B167,Q,9,FALSE)=0,"",(VLOOKUP($B167,Q,9,FALSE)))</f>
        <v/>
      </c>
      <c r="G167" s="2" t="str">
        <f>IF(VLOOKUP($B167,Q,10,FALSE)=0,"",(VLOOKUP($B167,Q,10,FALSE)))</f>
        <v/>
      </c>
      <c r="H167" s="2" t="str">
        <f>IF(VLOOKUP($B167,Q,14,FALSE)=0,"",(VLOOKUP($B167,Q,14,FALSE)))</f>
        <v/>
      </c>
      <c r="I167" s="2" t="str">
        <f>IF(VLOOKUP($B167,Q,14,FALSE)=0,"",(VLOOKUP($B167,Q,15,FALSE)))</f>
        <v/>
      </c>
      <c r="J167" s="2" t="str">
        <f>IF(VLOOKUP($B167,Q,14,FALSE)=0,"",(VLOOKUP($B167,Q,16,FALSE)))</f>
        <v/>
      </c>
      <c r="K167" s="2" t="str">
        <f>IF(VLOOKUP($B167,Q,14,FALSE)=0,"",(VLOOKUP($B167,Q,17,FALSE)))</f>
        <v/>
      </c>
    </row>
    <row r="168" spans="2:11" x14ac:dyDescent="0.6">
      <c r="B168" s="1">
        <v>171</v>
      </c>
      <c r="C168" s="2" t="str">
        <f>IF(VLOOKUP($B168,Q,2,FALSE)=0,"",(VLOOKUP($B168,Q,2,FALSE)))</f>
        <v/>
      </c>
      <c r="D168" s="2" t="str">
        <f>IF(VLOOKUP($B168,Q,3,FALSE)=0,"",(VLOOKUP($B168,Q,3,FALSE)))</f>
        <v/>
      </c>
      <c r="E168" s="2" t="str">
        <f>IF(VLOOKUP($B168,Q,8,FALSE)=0,"",(VLOOKUP($B168,Q,8,FALSE)))</f>
        <v/>
      </c>
      <c r="F168" s="19" t="str">
        <f>IF(VLOOKUP($B168,Q,9,FALSE)=0,"",(VLOOKUP($B168,Q,9,FALSE)))</f>
        <v/>
      </c>
      <c r="G168" s="2" t="str">
        <f>IF(VLOOKUP($B168,Q,10,FALSE)=0,"",(VLOOKUP($B168,Q,10,FALSE)))</f>
        <v/>
      </c>
      <c r="H168" s="2" t="str">
        <f>IF(VLOOKUP($B168,Q,14,FALSE)=0,"",(VLOOKUP($B168,Q,14,FALSE)))</f>
        <v/>
      </c>
      <c r="I168" s="2" t="str">
        <f>IF(VLOOKUP($B168,Q,14,FALSE)=0,"",(VLOOKUP($B168,Q,15,FALSE)))</f>
        <v/>
      </c>
      <c r="J168" s="2" t="str">
        <f>IF(VLOOKUP($B168,Q,14,FALSE)=0,"",(VLOOKUP($B168,Q,16,FALSE)))</f>
        <v/>
      </c>
      <c r="K168" s="2" t="str">
        <f>IF(VLOOKUP($B168,Q,14,FALSE)=0,"",(VLOOKUP($B168,Q,17,FALSE)))</f>
        <v/>
      </c>
    </row>
    <row r="169" spans="2:11" x14ac:dyDescent="0.6">
      <c r="B169" s="1">
        <v>172</v>
      </c>
      <c r="C169" s="2" t="str">
        <f>IF(VLOOKUP($B169,Q,2,FALSE)=0,"",(VLOOKUP($B169,Q,2,FALSE)))</f>
        <v/>
      </c>
      <c r="D169" s="2" t="str">
        <f>IF(VLOOKUP($B169,Q,3,FALSE)=0,"",(VLOOKUP($B169,Q,3,FALSE)))</f>
        <v/>
      </c>
      <c r="E169" s="2" t="str">
        <f>IF(VLOOKUP($B169,Q,8,FALSE)=0,"",(VLOOKUP($B169,Q,8,FALSE)))</f>
        <v/>
      </c>
      <c r="F169" s="19" t="str">
        <f>IF(VLOOKUP($B169,Q,9,FALSE)=0,"",(VLOOKUP($B169,Q,9,FALSE)))</f>
        <v/>
      </c>
      <c r="G169" s="2" t="str">
        <f>IF(VLOOKUP($B169,Q,10,FALSE)=0,"",(VLOOKUP($B169,Q,10,FALSE)))</f>
        <v/>
      </c>
      <c r="H169" s="2" t="str">
        <f>IF(VLOOKUP($B169,Q,14,FALSE)=0,"",(VLOOKUP($B169,Q,14,FALSE)))</f>
        <v/>
      </c>
      <c r="I169" s="2" t="str">
        <f>IF(VLOOKUP($B169,Q,14,FALSE)=0,"",(VLOOKUP($B169,Q,15,FALSE)))</f>
        <v/>
      </c>
      <c r="J169" s="2" t="str">
        <f>IF(VLOOKUP($B169,Q,14,FALSE)=0,"",(VLOOKUP($B169,Q,16,FALSE)))</f>
        <v/>
      </c>
      <c r="K169" s="2" t="str">
        <f>IF(VLOOKUP($B169,Q,14,FALSE)=0,"",(VLOOKUP($B169,Q,17,FALSE)))</f>
        <v/>
      </c>
    </row>
    <row r="170" spans="2:11" x14ac:dyDescent="0.6">
      <c r="B170" s="1">
        <v>173</v>
      </c>
      <c r="C170" s="2" t="str">
        <f>IF(VLOOKUP($B170,Q,2,FALSE)=0,"",(VLOOKUP($B170,Q,2,FALSE)))</f>
        <v/>
      </c>
      <c r="D170" s="2" t="str">
        <f>IF(VLOOKUP($B170,Q,3,FALSE)=0,"",(VLOOKUP($B170,Q,3,FALSE)))</f>
        <v/>
      </c>
      <c r="E170" s="2" t="str">
        <f>IF(VLOOKUP($B170,Q,8,FALSE)=0,"",(VLOOKUP($B170,Q,8,FALSE)))</f>
        <v/>
      </c>
      <c r="F170" s="19" t="str">
        <f>IF(VLOOKUP($B170,Q,9,FALSE)=0,"",(VLOOKUP($B170,Q,9,FALSE)))</f>
        <v/>
      </c>
      <c r="G170" s="2" t="str">
        <f>IF(VLOOKUP($B170,Q,10,FALSE)=0,"",(VLOOKUP($B170,Q,10,FALSE)))</f>
        <v/>
      </c>
      <c r="H170" s="2" t="str">
        <f>IF(VLOOKUP($B170,Q,14,FALSE)=0,"",(VLOOKUP($B170,Q,14,FALSE)))</f>
        <v/>
      </c>
      <c r="I170" s="2" t="str">
        <f>IF(VLOOKUP($B170,Q,14,FALSE)=0,"",(VLOOKUP($B170,Q,15,FALSE)))</f>
        <v/>
      </c>
      <c r="J170" s="2" t="str">
        <f>IF(VLOOKUP($B170,Q,14,FALSE)=0,"",(VLOOKUP($B170,Q,16,FALSE)))</f>
        <v/>
      </c>
      <c r="K170" s="2" t="str">
        <f>IF(VLOOKUP($B170,Q,14,FALSE)=0,"",(VLOOKUP($B170,Q,17,FALSE)))</f>
        <v/>
      </c>
    </row>
    <row r="171" spans="2:11" x14ac:dyDescent="0.6">
      <c r="B171" s="1">
        <v>174</v>
      </c>
      <c r="C171" s="2" t="str">
        <f>IF(VLOOKUP($B171,Q,2,FALSE)=0,"",(VLOOKUP($B171,Q,2,FALSE)))</f>
        <v/>
      </c>
      <c r="D171" s="2" t="str">
        <f>IF(VLOOKUP($B171,Q,3,FALSE)=0,"",(VLOOKUP($B171,Q,3,FALSE)))</f>
        <v/>
      </c>
      <c r="E171" s="2" t="str">
        <f>IF(VLOOKUP($B171,Q,8,FALSE)=0,"",(VLOOKUP($B171,Q,8,FALSE)))</f>
        <v/>
      </c>
      <c r="F171" s="19" t="str">
        <f>IF(VLOOKUP($B171,Q,9,FALSE)=0,"",(VLOOKUP($B171,Q,9,FALSE)))</f>
        <v/>
      </c>
      <c r="G171" s="2" t="str">
        <f>IF(VLOOKUP($B171,Q,10,FALSE)=0,"",(VLOOKUP($B171,Q,10,FALSE)))</f>
        <v/>
      </c>
      <c r="H171" s="2" t="str">
        <f>IF(VLOOKUP($B171,Q,14,FALSE)=0,"",(VLOOKUP($B171,Q,14,FALSE)))</f>
        <v/>
      </c>
      <c r="I171" s="2" t="str">
        <f>IF(VLOOKUP($B171,Q,14,FALSE)=0,"",(VLOOKUP($B171,Q,15,FALSE)))</f>
        <v/>
      </c>
      <c r="J171" s="2" t="str">
        <f>IF(VLOOKUP($B171,Q,14,FALSE)=0,"",(VLOOKUP($B171,Q,16,FALSE)))</f>
        <v/>
      </c>
      <c r="K171" s="2" t="str">
        <f>IF(VLOOKUP($B171,Q,14,FALSE)=0,"",(VLOOKUP($B171,Q,17,FALSE)))</f>
        <v/>
      </c>
    </row>
    <row r="172" spans="2:11" x14ac:dyDescent="0.6">
      <c r="B172" s="1">
        <v>175</v>
      </c>
      <c r="C172" s="2" t="str">
        <f>IF(VLOOKUP($B172,Q,2,FALSE)=0,"",(VLOOKUP($B172,Q,2,FALSE)))</f>
        <v/>
      </c>
      <c r="D172" s="2" t="str">
        <f>IF(VLOOKUP($B172,Q,3,FALSE)=0,"",(VLOOKUP($B172,Q,3,FALSE)))</f>
        <v/>
      </c>
      <c r="E172" s="2" t="str">
        <f>IF(VLOOKUP($B172,Q,8,FALSE)=0,"",(VLOOKUP($B172,Q,8,FALSE)))</f>
        <v/>
      </c>
      <c r="F172" s="19" t="str">
        <f>IF(VLOOKUP($B172,Q,9,FALSE)=0,"",(VLOOKUP($B172,Q,9,FALSE)))</f>
        <v/>
      </c>
      <c r="G172" s="2" t="str">
        <f>IF(VLOOKUP($B172,Q,10,FALSE)=0,"",(VLOOKUP($B172,Q,10,FALSE)))</f>
        <v/>
      </c>
      <c r="H172" s="2" t="str">
        <f>IF(VLOOKUP($B172,Q,14,FALSE)=0,"",(VLOOKUP($B172,Q,14,FALSE)))</f>
        <v/>
      </c>
      <c r="I172" s="2" t="str">
        <f>IF(VLOOKUP($B172,Q,14,FALSE)=0,"",(VLOOKUP($B172,Q,15,FALSE)))</f>
        <v/>
      </c>
      <c r="J172" s="2" t="str">
        <f>IF(VLOOKUP($B172,Q,14,FALSE)=0,"",(VLOOKUP($B172,Q,16,FALSE)))</f>
        <v/>
      </c>
      <c r="K172" s="2" t="str">
        <f>IF(VLOOKUP($B172,Q,14,FALSE)=0,"",(VLOOKUP($B172,Q,17,FALSE)))</f>
        <v/>
      </c>
    </row>
    <row r="173" spans="2:11" x14ac:dyDescent="0.6">
      <c r="B173" s="1">
        <v>176</v>
      </c>
      <c r="C173" s="2" t="str">
        <f>IF(VLOOKUP($B173,Q,2,FALSE)=0,"",(VLOOKUP($B173,Q,2,FALSE)))</f>
        <v/>
      </c>
      <c r="D173" s="2" t="str">
        <f>IF(VLOOKUP($B173,Q,3,FALSE)=0,"",(VLOOKUP($B173,Q,3,FALSE)))</f>
        <v/>
      </c>
      <c r="E173" s="2" t="str">
        <f>IF(VLOOKUP($B173,Q,8,FALSE)=0,"",(VLOOKUP($B173,Q,8,FALSE)))</f>
        <v/>
      </c>
      <c r="F173" s="19" t="str">
        <f>IF(VLOOKUP($B173,Q,9,FALSE)=0,"",(VLOOKUP($B173,Q,9,FALSE)))</f>
        <v/>
      </c>
      <c r="G173" s="2" t="str">
        <f>IF(VLOOKUP($B173,Q,10,FALSE)=0,"",(VLOOKUP($B173,Q,10,FALSE)))</f>
        <v/>
      </c>
      <c r="H173" s="2" t="str">
        <f>IF(VLOOKUP($B173,Q,14,FALSE)=0,"",(VLOOKUP($B173,Q,14,FALSE)))</f>
        <v/>
      </c>
      <c r="I173" s="2" t="str">
        <f>IF(VLOOKUP($B173,Q,14,FALSE)=0,"",(VLOOKUP($B173,Q,15,FALSE)))</f>
        <v/>
      </c>
      <c r="J173" s="2" t="str">
        <f>IF(VLOOKUP($B173,Q,14,FALSE)=0,"",(VLOOKUP($B173,Q,16,FALSE)))</f>
        <v/>
      </c>
      <c r="K173" s="2" t="str">
        <f>IF(VLOOKUP($B173,Q,14,FALSE)=0,"",(VLOOKUP($B173,Q,17,FALSE)))</f>
        <v/>
      </c>
    </row>
    <row r="174" spans="2:11" x14ac:dyDescent="0.6">
      <c r="B174" s="1">
        <v>177</v>
      </c>
      <c r="C174" s="2" t="str">
        <f>IF(VLOOKUP($B174,Q,2,FALSE)=0,"",(VLOOKUP($B174,Q,2,FALSE)))</f>
        <v/>
      </c>
      <c r="D174" s="2" t="str">
        <f>IF(VLOOKUP($B174,Q,3,FALSE)=0,"",(VLOOKUP($B174,Q,3,FALSE)))</f>
        <v/>
      </c>
      <c r="E174" s="2" t="str">
        <f>IF(VLOOKUP($B174,Q,8,FALSE)=0,"",(VLOOKUP($B174,Q,8,FALSE)))</f>
        <v/>
      </c>
      <c r="F174" s="19" t="str">
        <f>IF(VLOOKUP($B174,Q,9,FALSE)=0,"",(VLOOKUP($B174,Q,9,FALSE)))</f>
        <v/>
      </c>
      <c r="G174" s="2" t="str">
        <f>IF(VLOOKUP($B174,Q,10,FALSE)=0,"",(VLOOKUP($B174,Q,10,FALSE)))</f>
        <v/>
      </c>
      <c r="H174" s="2" t="str">
        <f>IF(VLOOKUP($B174,Q,14,FALSE)=0,"",(VLOOKUP($B174,Q,14,FALSE)))</f>
        <v/>
      </c>
      <c r="I174" s="2" t="str">
        <f>IF(VLOOKUP($B174,Q,14,FALSE)=0,"",(VLOOKUP($B174,Q,15,FALSE)))</f>
        <v/>
      </c>
      <c r="J174" s="2" t="str">
        <f>IF(VLOOKUP($B174,Q,14,FALSE)=0,"",(VLOOKUP($B174,Q,16,FALSE)))</f>
        <v/>
      </c>
      <c r="K174" s="2" t="str">
        <f>IF(VLOOKUP($B174,Q,14,FALSE)=0,"",(VLOOKUP($B174,Q,17,FALSE)))</f>
        <v/>
      </c>
    </row>
    <row r="175" spans="2:11" x14ac:dyDescent="0.6">
      <c r="B175" s="1">
        <v>178</v>
      </c>
      <c r="C175" s="2" t="str">
        <f>IF(VLOOKUP($B175,Q,2,FALSE)=0,"",(VLOOKUP($B175,Q,2,FALSE)))</f>
        <v/>
      </c>
      <c r="D175" s="2" t="str">
        <f>IF(VLOOKUP($B175,Q,3,FALSE)=0,"",(VLOOKUP($B175,Q,3,FALSE)))</f>
        <v/>
      </c>
      <c r="E175" s="2" t="str">
        <f>IF(VLOOKUP($B175,Q,8,FALSE)=0,"",(VLOOKUP($B175,Q,8,FALSE)))</f>
        <v/>
      </c>
      <c r="F175" s="19" t="str">
        <f>IF(VLOOKUP($B175,Q,9,FALSE)=0,"",(VLOOKUP($B175,Q,9,FALSE)))</f>
        <v/>
      </c>
      <c r="G175" s="2" t="str">
        <f>IF(VLOOKUP($B175,Q,10,FALSE)=0,"",(VLOOKUP($B175,Q,10,FALSE)))</f>
        <v/>
      </c>
      <c r="H175" s="2" t="str">
        <f>IF(VLOOKUP($B175,Q,14,FALSE)=0,"",(VLOOKUP($B175,Q,14,FALSE)))</f>
        <v/>
      </c>
      <c r="I175" s="2" t="str">
        <f>IF(VLOOKUP($B175,Q,14,FALSE)=0,"",(VLOOKUP($B175,Q,15,FALSE)))</f>
        <v/>
      </c>
      <c r="J175" s="2" t="str">
        <f>IF(VLOOKUP($B175,Q,14,FALSE)=0,"",(VLOOKUP($B175,Q,16,FALSE)))</f>
        <v/>
      </c>
      <c r="K175" s="2" t="str">
        <f>IF(VLOOKUP($B175,Q,14,FALSE)=0,"",(VLOOKUP($B175,Q,17,FALSE)))</f>
        <v/>
      </c>
    </row>
    <row r="176" spans="2:11" x14ac:dyDescent="0.6">
      <c r="B176" s="1">
        <v>179</v>
      </c>
      <c r="C176" s="2" t="str">
        <f>IF(VLOOKUP($B176,Q,2,FALSE)=0,"",(VLOOKUP($B176,Q,2,FALSE)))</f>
        <v/>
      </c>
      <c r="D176" s="2" t="str">
        <f>IF(VLOOKUP($B176,Q,3,FALSE)=0,"",(VLOOKUP($B176,Q,3,FALSE)))</f>
        <v/>
      </c>
      <c r="E176" s="2" t="str">
        <f>IF(VLOOKUP($B176,Q,8,FALSE)=0,"",(VLOOKUP($B176,Q,8,FALSE)))</f>
        <v/>
      </c>
      <c r="F176" s="19" t="str">
        <f>IF(VLOOKUP($B176,Q,9,FALSE)=0,"",(VLOOKUP($B176,Q,9,FALSE)))</f>
        <v/>
      </c>
      <c r="G176" s="2" t="str">
        <f>IF(VLOOKUP($B176,Q,10,FALSE)=0,"",(VLOOKUP($B176,Q,10,FALSE)))</f>
        <v/>
      </c>
      <c r="H176" s="2" t="str">
        <f>IF(VLOOKUP($B176,Q,14,FALSE)=0,"",(VLOOKUP($B176,Q,14,FALSE)))</f>
        <v/>
      </c>
      <c r="I176" s="2" t="str">
        <f>IF(VLOOKUP($B176,Q,14,FALSE)=0,"",(VLOOKUP($B176,Q,15,FALSE)))</f>
        <v/>
      </c>
      <c r="J176" s="2" t="str">
        <f>IF(VLOOKUP($B176,Q,14,FALSE)=0,"",(VLOOKUP($B176,Q,16,FALSE)))</f>
        <v/>
      </c>
      <c r="K176" s="2" t="str">
        <f>IF(VLOOKUP($B176,Q,14,FALSE)=0,"",(VLOOKUP($B176,Q,17,FALSE)))</f>
        <v/>
      </c>
    </row>
    <row r="177" spans="2:11" x14ac:dyDescent="0.6">
      <c r="B177" s="1">
        <v>180</v>
      </c>
      <c r="C177" s="2" t="str">
        <f>IF(VLOOKUP($B177,Q,2,FALSE)=0,"",(VLOOKUP($B177,Q,2,FALSE)))</f>
        <v/>
      </c>
      <c r="D177" s="2" t="str">
        <f>IF(VLOOKUP($B177,Q,3,FALSE)=0,"",(VLOOKUP($B177,Q,3,FALSE)))</f>
        <v/>
      </c>
      <c r="E177" s="2" t="str">
        <f>IF(VLOOKUP($B177,Q,8,FALSE)=0,"",(VLOOKUP($B177,Q,8,FALSE)))</f>
        <v/>
      </c>
      <c r="F177" s="19" t="str">
        <f>IF(VLOOKUP($B177,Q,9,FALSE)=0,"",(VLOOKUP($B177,Q,9,FALSE)))</f>
        <v/>
      </c>
      <c r="G177" s="2" t="str">
        <f>IF(VLOOKUP($B177,Q,10,FALSE)=0,"",(VLOOKUP($B177,Q,10,FALSE)))</f>
        <v/>
      </c>
      <c r="H177" s="2" t="str">
        <f>IF(VLOOKUP($B177,Q,14,FALSE)=0,"",(VLOOKUP($B177,Q,14,FALSE)))</f>
        <v/>
      </c>
      <c r="I177" s="2" t="str">
        <f>IF(VLOOKUP($B177,Q,14,FALSE)=0,"",(VLOOKUP($B177,Q,15,FALSE)))</f>
        <v/>
      </c>
      <c r="J177" s="2" t="str">
        <f>IF(VLOOKUP($B177,Q,14,FALSE)=0,"",(VLOOKUP($B177,Q,16,FALSE)))</f>
        <v/>
      </c>
      <c r="K177" s="2" t="str">
        <f>IF(VLOOKUP($B177,Q,14,FALSE)=0,"",(VLOOKUP($B177,Q,17,FALSE)))</f>
        <v/>
      </c>
    </row>
    <row r="178" spans="2:11" x14ac:dyDescent="0.6">
      <c r="B178" s="1">
        <v>181</v>
      </c>
      <c r="C178" s="2" t="str">
        <f>IF(VLOOKUP($B178,Q,2,FALSE)=0,"",(VLOOKUP($B178,Q,2,FALSE)))</f>
        <v/>
      </c>
      <c r="D178" s="2" t="str">
        <f>IF(VLOOKUP($B178,Q,3,FALSE)=0,"",(VLOOKUP($B178,Q,3,FALSE)))</f>
        <v/>
      </c>
      <c r="E178" s="2" t="str">
        <f>IF(VLOOKUP($B178,Q,8,FALSE)=0,"",(VLOOKUP($B178,Q,8,FALSE)))</f>
        <v/>
      </c>
      <c r="F178" s="19" t="str">
        <f>IF(VLOOKUP($B178,Q,9,FALSE)=0,"",(VLOOKUP($B178,Q,9,FALSE)))</f>
        <v/>
      </c>
      <c r="G178" s="2" t="str">
        <f>IF(VLOOKUP($B178,Q,10,FALSE)=0,"",(VLOOKUP($B178,Q,10,FALSE)))</f>
        <v/>
      </c>
      <c r="H178" s="2" t="str">
        <f>IF(VLOOKUP($B178,Q,14,FALSE)=0,"",(VLOOKUP($B178,Q,14,FALSE)))</f>
        <v/>
      </c>
      <c r="I178" s="2" t="str">
        <f>IF(VLOOKUP($B178,Q,14,FALSE)=0,"",(VLOOKUP($B178,Q,15,FALSE)))</f>
        <v/>
      </c>
      <c r="J178" s="2" t="str">
        <f>IF(VLOOKUP($B178,Q,14,FALSE)=0,"",(VLOOKUP($B178,Q,16,FALSE)))</f>
        <v/>
      </c>
      <c r="K178" s="2" t="str">
        <f>IF(VLOOKUP($B178,Q,14,FALSE)=0,"",(VLOOKUP($B178,Q,17,FALSE)))</f>
        <v/>
      </c>
    </row>
    <row r="179" spans="2:11" x14ac:dyDescent="0.6">
      <c r="B179" s="1">
        <v>182</v>
      </c>
      <c r="C179" s="2" t="str">
        <f>IF(VLOOKUP($B179,Q,2,FALSE)=0,"",(VLOOKUP($B179,Q,2,FALSE)))</f>
        <v/>
      </c>
      <c r="D179" s="2" t="str">
        <f>IF(VLOOKUP($B179,Q,3,FALSE)=0,"",(VLOOKUP($B179,Q,3,FALSE)))</f>
        <v/>
      </c>
      <c r="E179" s="2" t="str">
        <f>IF(VLOOKUP($B179,Q,8,FALSE)=0,"",(VLOOKUP($B179,Q,8,FALSE)))</f>
        <v/>
      </c>
      <c r="F179" s="19" t="str">
        <f>IF(VLOOKUP($B179,Q,9,FALSE)=0,"",(VLOOKUP($B179,Q,9,FALSE)))</f>
        <v/>
      </c>
      <c r="G179" s="2" t="str">
        <f>IF(VLOOKUP($B179,Q,10,FALSE)=0,"",(VLOOKUP($B179,Q,10,FALSE)))</f>
        <v/>
      </c>
      <c r="H179" s="2" t="str">
        <f>IF(VLOOKUP($B179,Q,14,FALSE)=0,"",(VLOOKUP($B179,Q,14,FALSE)))</f>
        <v/>
      </c>
      <c r="I179" s="2" t="str">
        <f>IF(VLOOKUP($B179,Q,14,FALSE)=0,"",(VLOOKUP($B179,Q,15,FALSE)))</f>
        <v/>
      </c>
      <c r="J179" s="2" t="str">
        <f>IF(VLOOKUP($B179,Q,14,FALSE)=0,"",(VLOOKUP($B179,Q,16,FALSE)))</f>
        <v/>
      </c>
      <c r="K179" s="2" t="str">
        <f>IF(VLOOKUP($B179,Q,14,FALSE)=0,"",(VLOOKUP($B179,Q,17,FALSE)))</f>
        <v/>
      </c>
    </row>
    <row r="180" spans="2:11" x14ac:dyDescent="0.6">
      <c r="B180" s="1">
        <v>183</v>
      </c>
      <c r="C180" s="2" t="str">
        <f>IF(VLOOKUP($B180,Q,2,FALSE)=0,"",(VLOOKUP($B180,Q,2,FALSE)))</f>
        <v/>
      </c>
      <c r="D180" s="2" t="str">
        <f>IF(VLOOKUP($B180,Q,3,FALSE)=0,"",(VLOOKUP($B180,Q,3,FALSE)))</f>
        <v/>
      </c>
      <c r="E180" s="2" t="str">
        <f>IF(VLOOKUP($B180,Q,8,FALSE)=0,"",(VLOOKUP($B180,Q,8,FALSE)))</f>
        <v/>
      </c>
      <c r="F180" s="19" t="str">
        <f>IF(VLOOKUP($B180,Q,9,FALSE)=0,"",(VLOOKUP($B180,Q,9,FALSE)))</f>
        <v/>
      </c>
      <c r="G180" s="2" t="str">
        <f>IF(VLOOKUP($B180,Q,10,FALSE)=0,"",(VLOOKUP($B180,Q,10,FALSE)))</f>
        <v/>
      </c>
      <c r="H180" s="2" t="str">
        <f>IF(VLOOKUP($B180,Q,14,FALSE)=0,"",(VLOOKUP($B180,Q,14,FALSE)))</f>
        <v/>
      </c>
      <c r="I180" s="2" t="str">
        <f>IF(VLOOKUP($B180,Q,14,FALSE)=0,"",(VLOOKUP($B180,Q,15,FALSE)))</f>
        <v/>
      </c>
      <c r="J180" s="2" t="str">
        <f>IF(VLOOKUP($B180,Q,14,FALSE)=0,"",(VLOOKUP($B180,Q,16,FALSE)))</f>
        <v/>
      </c>
      <c r="K180" s="2" t="str">
        <f>IF(VLOOKUP($B180,Q,14,FALSE)=0,"",(VLOOKUP($B180,Q,17,FALSE)))</f>
        <v/>
      </c>
    </row>
    <row r="181" spans="2:11" x14ac:dyDescent="0.6">
      <c r="B181" s="1">
        <v>184</v>
      </c>
      <c r="C181" s="2" t="str">
        <f>IF(VLOOKUP($B181,Q,2,FALSE)=0,"",(VLOOKUP($B181,Q,2,FALSE)))</f>
        <v/>
      </c>
      <c r="D181" s="2" t="str">
        <f>IF(VLOOKUP($B181,Q,3,FALSE)=0,"",(VLOOKUP($B181,Q,3,FALSE)))</f>
        <v/>
      </c>
      <c r="E181" s="2" t="str">
        <f>IF(VLOOKUP($B181,Q,8,FALSE)=0,"",(VLOOKUP($B181,Q,8,FALSE)))</f>
        <v/>
      </c>
      <c r="F181" s="19" t="str">
        <f>IF(VLOOKUP($B181,Q,9,FALSE)=0,"",(VLOOKUP($B181,Q,9,FALSE)))</f>
        <v/>
      </c>
      <c r="G181" s="2" t="str">
        <f>IF(VLOOKUP($B181,Q,10,FALSE)=0,"",(VLOOKUP($B181,Q,10,FALSE)))</f>
        <v/>
      </c>
      <c r="H181" s="2" t="str">
        <f>IF(VLOOKUP($B181,Q,14,FALSE)=0,"",(VLOOKUP($B181,Q,14,FALSE)))</f>
        <v/>
      </c>
      <c r="I181" s="2" t="str">
        <f>IF(VLOOKUP($B181,Q,14,FALSE)=0,"",(VLOOKUP($B181,Q,15,FALSE)))</f>
        <v/>
      </c>
      <c r="J181" s="2" t="str">
        <f>IF(VLOOKUP($B181,Q,14,FALSE)=0,"",(VLOOKUP($B181,Q,16,FALSE)))</f>
        <v/>
      </c>
      <c r="K181" s="2" t="str">
        <f>IF(VLOOKUP($B181,Q,14,FALSE)=0,"",(VLOOKUP($B181,Q,17,FALSE)))</f>
        <v/>
      </c>
    </row>
    <row r="182" spans="2:11" x14ac:dyDescent="0.6">
      <c r="B182" s="1">
        <v>185</v>
      </c>
      <c r="C182" s="2" t="str">
        <f>IF(VLOOKUP($B182,Q,2,FALSE)=0,"",(VLOOKUP($B182,Q,2,FALSE)))</f>
        <v/>
      </c>
      <c r="D182" s="2" t="str">
        <f>IF(VLOOKUP($B182,Q,3,FALSE)=0,"",(VLOOKUP($B182,Q,3,FALSE)))</f>
        <v/>
      </c>
      <c r="E182" s="2" t="str">
        <f>IF(VLOOKUP($B182,Q,8,FALSE)=0,"",(VLOOKUP($B182,Q,8,FALSE)))</f>
        <v/>
      </c>
      <c r="F182" s="19" t="str">
        <f>IF(VLOOKUP($B182,Q,9,FALSE)=0,"",(VLOOKUP($B182,Q,9,FALSE)))</f>
        <v/>
      </c>
      <c r="G182" s="2" t="str">
        <f>IF(VLOOKUP($B182,Q,10,FALSE)=0,"",(VLOOKUP($B182,Q,10,FALSE)))</f>
        <v/>
      </c>
      <c r="H182" s="2" t="str">
        <f>IF(VLOOKUP($B182,Q,14,FALSE)=0,"",(VLOOKUP($B182,Q,14,FALSE)))</f>
        <v/>
      </c>
      <c r="I182" s="2" t="str">
        <f>IF(VLOOKUP($B182,Q,14,FALSE)=0,"",(VLOOKUP($B182,Q,15,FALSE)))</f>
        <v/>
      </c>
      <c r="J182" s="2" t="str">
        <f>IF(VLOOKUP($B182,Q,14,FALSE)=0,"",(VLOOKUP($B182,Q,16,FALSE)))</f>
        <v/>
      </c>
      <c r="K182" s="2" t="str">
        <f>IF(VLOOKUP($B182,Q,14,FALSE)=0,"",(VLOOKUP($B182,Q,17,FALSE)))</f>
        <v/>
      </c>
    </row>
    <row r="183" spans="2:11" x14ac:dyDescent="0.6">
      <c r="B183" s="1">
        <v>186</v>
      </c>
      <c r="C183" s="2" t="str">
        <f>IF(VLOOKUP($B183,Q,2,FALSE)=0,"",(VLOOKUP($B183,Q,2,FALSE)))</f>
        <v/>
      </c>
      <c r="D183" s="2" t="str">
        <f>IF(VLOOKUP($B183,Q,3,FALSE)=0,"",(VLOOKUP($B183,Q,3,FALSE)))</f>
        <v/>
      </c>
      <c r="E183" s="2" t="str">
        <f>IF(VLOOKUP($B183,Q,8,FALSE)=0,"",(VLOOKUP($B183,Q,8,FALSE)))</f>
        <v/>
      </c>
      <c r="F183" s="19" t="str">
        <f>IF(VLOOKUP($B183,Q,9,FALSE)=0,"",(VLOOKUP($B183,Q,9,FALSE)))</f>
        <v/>
      </c>
      <c r="G183" s="2" t="str">
        <f>IF(VLOOKUP($B183,Q,10,FALSE)=0,"",(VLOOKUP($B183,Q,10,FALSE)))</f>
        <v/>
      </c>
      <c r="H183" s="2" t="str">
        <f>IF(VLOOKUP($B183,Q,14,FALSE)=0,"",(VLOOKUP($B183,Q,14,FALSE)))</f>
        <v/>
      </c>
      <c r="I183" s="2" t="str">
        <f>IF(VLOOKUP($B183,Q,14,FALSE)=0,"",(VLOOKUP($B183,Q,15,FALSE)))</f>
        <v/>
      </c>
      <c r="J183" s="2" t="str">
        <f>IF(VLOOKUP($B183,Q,14,FALSE)=0,"",(VLOOKUP($B183,Q,16,FALSE)))</f>
        <v/>
      </c>
      <c r="K183" s="2" t="str">
        <f>IF(VLOOKUP($B183,Q,14,FALSE)=0,"",(VLOOKUP($B183,Q,17,FALSE)))</f>
        <v/>
      </c>
    </row>
    <row r="184" spans="2:11" x14ac:dyDescent="0.6">
      <c r="B184" s="1">
        <v>187</v>
      </c>
      <c r="C184" s="2" t="str">
        <f>IF(VLOOKUP($B184,Q,2,FALSE)=0,"",(VLOOKUP($B184,Q,2,FALSE)))</f>
        <v/>
      </c>
      <c r="D184" s="2" t="str">
        <f>IF(VLOOKUP($B184,Q,3,FALSE)=0,"",(VLOOKUP($B184,Q,3,FALSE)))</f>
        <v/>
      </c>
      <c r="E184" s="2" t="str">
        <f>IF(VLOOKUP($B184,Q,8,FALSE)=0,"",(VLOOKUP($B184,Q,8,FALSE)))</f>
        <v/>
      </c>
      <c r="F184" s="19" t="str">
        <f>IF(VLOOKUP($B184,Q,9,FALSE)=0,"",(VLOOKUP($B184,Q,9,FALSE)))</f>
        <v/>
      </c>
      <c r="G184" s="2" t="str">
        <f>IF(VLOOKUP($B184,Q,10,FALSE)=0,"",(VLOOKUP($B184,Q,10,FALSE)))</f>
        <v/>
      </c>
      <c r="H184" s="2" t="str">
        <f>IF(VLOOKUP($B184,Q,14,FALSE)=0,"",(VLOOKUP($B184,Q,14,FALSE)))</f>
        <v/>
      </c>
      <c r="I184" s="2" t="str">
        <f>IF(VLOOKUP($B184,Q,14,FALSE)=0,"",(VLOOKUP($B184,Q,15,FALSE)))</f>
        <v/>
      </c>
      <c r="J184" s="2" t="str">
        <f>IF(VLOOKUP($B184,Q,14,FALSE)=0,"",(VLOOKUP($B184,Q,16,FALSE)))</f>
        <v/>
      </c>
      <c r="K184" s="2" t="str">
        <f>IF(VLOOKUP($B184,Q,14,FALSE)=0,"",(VLOOKUP($B184,Q,17,FALSE)))</f>
        <v/>
      </c>
    </row>
    <row r="185" spans="2:11" x14ac:dyDescent="0.6">
      <c r="B185" s="1">
        <v>188</v>
      </c>
      <c r="C185" s="2" t="str">
        <f>IF(VLOOKUP($B185,Q,2,FALSE)=0,"",(VLOOKUP($B185,Q,2,FALSE)))</f>
        <v/>
      </c>
      <c r="D185" s="2" t="str">
        <f>IF(VLOOKUP($B185,Q,3,FALSE)=0,"",(VLOOKUP($B185,Q,3,FALSE)))</f>
        <v/>
      </c>
      <c r="E185" s="2" t="str">
        <f>IF(VLOOKUP($B185,Q,8,FALSE)=0,"",(VLOOKUP($B185,Q,8,FALSE)))</f>
        <v/>
      </c>
      <c r="F185" s="19" t="str">
        <f>IF(VLOOKUP($B185,Q,9,FALSE)=0,"",(VLOOKUP($B185,Q,9,FALSE)))</f>
        <v/>
      </c>
      <c r="G185" s="2" t="str">
        <f>IF(VLOOKUP($B185,Q,10,FALSE)=0,"",(VLOOKUP($B185,Q,10,FALSE)))</f>
        <v/>
      </c>
      <c r="H185" s="2" t="str">
        <f>IF(VLOOKUP($B185,Q,14,FALSE)=0,"",(VLOOKUP($B185,Q,14,FALSE)))</f>
        <v/>
      </c>
      <c r="I185" s="2" t="str">
        <f>IF(VLOOKUP($B185,Q,14,FALSE)=0,"",(VLOOKUP($B185,Q,15,FALSE)))</f>
        <v/>
      </c>
      <c r="J185" s="2" t="str">
        <f>IF(VLOOKUP($B185,Q,14,FALSE)=0,"",(VLOOKUP($B185,Q,16,FALSE)))</f>
        <v/>
      </c>
      <c r="K185" s="2" t="str">
        <f>IF(VLOOKUP($B185,Q,14,FALSE)=0,"",(VLOOKUP($B185,Q,17,FALSE)))</f>
        <v/>
      </c>
    </row>
    <row r="186" spans="2:11" x14ac:dyDescent="0.6">
      <c r="B186" s="1">
        <v>189</v>
      </c>
      <c r="C186" s="2" t="str">
        <f>IF(VLOOKUP($B186,Q,2,FALSE)=0,"",(VLOOKUP($B186,Q,2,FALSE)))</f>
        <v/>
      </c>
      <c r="D186" s="2" t="str">
        <f>IF(VLOOKUP($B186,Q,3,FALSE)=0,"",(VLOOKUP($B186,Q,3,FALSE)))</f>
        <v/>
      </c>
      <c r="E186" s="2" t="str">
        <f>IF(VLOOKUP($B186,Q,8,FALSE)=0,"",(VLOOKUP($B186,Q,8,FALSE)))</f>
        <v/>
      </c>
      <c r="F186" s="19" t="str">
        <f>IF(VLOOKUP($B186,Q,9,FALSE)=0,"",(VLOOKUP($B186,Q,9,FALSE)))</f>
        <v/>
      </c>
      <c r="G186" s="2" t="str">
        <f>IF(VLOOKUP($B186,Q,10,FALSE)=0,"",(VLOOKUP($B186,Q,10,FALSE)))</f>
        <v/>
      </c>
      <c r="H186" s="2" t="str">
        <f>IF(VLOOKUP($B186,Q,14,FALSE)=0,"",(VLOOKUP($B186,Q,14,FALSE)))</f>
        <v/>
      </c>
      <c r="I186" s="2" t="str">
        <f>IF(VLOOKUP($B186,Q,14,FALSE)=0,"",(VLOOKUP($B186,Q,15,FALSE)))</f>
        <v/>
      </c>
      <c r="J186" s="2" t="str">
        <f>IF(VLOOKUP($B186,Q,14,FALSE)=0,"",(VLOOKUP($B186,Q,16,FALSE)))</f>
        <v/>
      </c>
      <c r="K186" s="2" t="str">
        <f>IF(VLOOKUP($B186,Q,14,FALSE)=0,"",(VLOOKUP($B186,Q,17,FALSE)))</f>
        <v/>
      </c>
    </row>
    <row r="187" spans="2:11" x14ac:dyDescent="0.6">
      <c r="B187" s="1">
        <v>190</v>
      </c>
      <c r="C187" s="2" t="str">
        <f>IF(VLOOKUP($B187,Q,2,FALSE)=0,"",(VLOOKUP($B187,Q,2,FALSE)))</f>
        <v/>
      </c>
      <c r="D187" s="2" t="str">
        <f>IF(VLOOKUP($B187,Q,3,FALSE)=0,"",(VLOOKUP($B187,Q,3,FALSE)))</f>
        <v/>
      </c>
      <c r="E187" s="2" t="str">
        <f>IF(VLOOKUP($B187,Q,8,FALSE)=0,"",(VLOOKUP($B187,Q,8,FALSE)))</f>
        <v/>
      </c>
      <c r="F187" s="19" t="str">
        <f>IF(VLOOKUP($B187,Q,9,FALSE)=0,"",(VLOOKUP($B187,Q,9,FALSE)))</f>
        <v/>
      </c>
      <c r="G187" s="2" t="str">
        <f>IF(VLOOKUP($B187,Q,10,FALSE)=0,"",(VLOOKUP($B187,Q,10,FALSE)))</f>
        <v/>
      </c>
      <c r="H187" s="2" t="str">
        <f>IF(VLOOKUP($B187,Q,14,FALSE)=0,"",(VLOOKUP($B187,Q,14,FALSE)))</f>
        <v/>
      </c>
      <c r="I187" s="2" t="str">
        <f>IF(VLOOKUP($B187,Q,14,FALSE)=0,"",(VLOOKUP($B187,Q,15,FALSE)))</f>
        <v/>
      </c>
      <c r="J187" s="2" t="str">
        <f>IF(VLOOKUP($B187,Q,14,FALSE)=0,"",(VLOOKUP($B187,Q,16,FALSE)))</f>
        <v/>
      </c>
      <c r="K187" s="2" t="str">
        <f>IF(VLOOKUP($B187,Q,14,FALSE)=0,"",(VLOOKUP($B187,Q,17,FALSE)))</f>
        <v/>
      </c>
    </row>
    <row r="188" spans="2:11" x14ac:dyDescent="0.6">
      <c r="B188" s="1">
        <v>191</v>
      </c>
      <c r="C188" s="2" t="str">
        <f>IF(VLOOKUP($B188,Q,2,FALSE)=0,"",(VLOOKUP($B188,Q,2,FALSE)))</f>
        <v/>
      </c>
      <c r="D188" s="2" t="str">
        <f>IF(VLOOKUP($B188,Q,3,FALSE)=0,"",(VLOOKUP($B188,Q,3,FALSE)))</f>
        <v/>
      </c>
      <c r="E188" s="2" t="str">
        <f>IF(VLOOKUP($B188,Q,8,FALSE)=0,"",(VLOOKUP($B188,Q,8,FALSE)))</f>
        <v/>
      </c>
      <c r="F188" s="19" t="str">
        <f>IF(VLOOKUP($B188,Q,9,FALSE)=0,"",(VLOOKUP($B188,Q,9,FALSE)))</f>
        <v/>
      </c>
      <c r="G188" s="2" t="str">
        <f>IF(VLOOKUP($B188,Q,10,FALSE)=0,"",(VLOOKUP($B188,Q,10,FALSE)))</f>
        <v/>
      </c>
      <c r="H188" s="2" t="str">
        <f>IF(VLOOKUP($B188,Q,14,FALSE)=0,"",(VLOOKUP($B188,Q,14,FALSE)))</f>
        <v/>
      </c>
      <c r="I188" s="2" t="str">
        <f>IF(VLOOKUP($B188,Q,14,FALSE)=0,"",(VLOOKUP($B188,Q,15,FALSE)))</f>
        <v/>
      </c>
      <c r="J188" s="2" t="str">
        <f>IF(VLOOKUP($B188,Q,14,FALSE)=0,"",(VLOOKUP($B188,Q,16,FALSE)))</f>
        <v/>
      </c>
      <c r="K188" s="2" t="str">
        <f>IF(VLOOKUP($B188,Q,14,FALSE)=0,"",(VLOOKUP($B188,Q,17,FALSE)))</f>
        <v/>
      </c>
    </row>
    <row r="189" spans="2:11" x14ac:dyDescent="0.6">
      <c r="B189" s="1">
        <v>192</v>
      </c>
      <c r="C189" s="2" t="str">
        <f>IF(VLOOKUP($B189,Q,2,FALSE)=0,"",(VLOOKUP($B189,Q,2,FALSE)))</f>
        <v/>
      </c>
      <c r="D189" s="2" t="str">
        <f>IF(VLOOKUP($B189,Q,3,FALSE)=0,"",(VLOOKUP($B189,Q,3,FALSE)))</f>
        <v/>
      </c>
      <c r="E189" s="2" t="str">
        <f>IF(VLOOKUP($B189,Q,8,FALSE)=0,"",(VLOOKUP($B189,Q,8,FALSE)))</f>
        <v/>
      </c>
      <c r="F189" s="19" t="str">
        <f>IF(VLOOKUP($B189,Q,9,FALSE)=0,"",(VLOOKUP($B189,Q,9,FALSE)))</f>
        <v/>
      </c>
      <c r="G189" s="2" t="str">
        <f>IF(VLOOKUP($B189,Q,10,FALSE)=0,"",(VLOOKUP($B189,Q,10,FALSE)))</f>
        <v/>
      </c>
      <c r="H189" s="2" t="str">
        <f>IF(VLOOKUP($B189,Q,14,FALSE)=0,"",(VLOOKUP($B189,Q,14,FALSE)))</f>
        <v/>
      </c>
      <c r="I189" s="2" t="str">
        <f>IF(VLOOKUP($B189,Q,14,FALSE)=0,"",(VLOOKUP($B189,Q,15,FALSE)))</f>
        <v/>
      </c>
      <c r="J189" s="2" t="str">
        <f>IF(VLOOKUP($B189,Q,14,FALSE)=0,"",(VLOOKUP($B189,Q,16,FALSE)))</f>
        <v/>
      </c>
      <c r="K189" s="2" t="str">
        <f>IF(VLOOKUP($B189,Q,14,FALSE)=0,"",(VLOOKUP($B189,Q,17,FALSE)))</f>
        <v/>
      </c>
    </row>
    <row r="190" spans="2:11" x14ac:dyDescent="0.6">
      <c r="B190" s="1">
        <v>193</v>
      </c>
      <c r="C190" s="2" t="str">
        <f>IF(VLOOKUP($B190,Q,2,FALSE)=0,"",(VLOOKUP($B190,Q,2,FALSE)))</f>
        <v/>
      </c>
      <c r="D190" s="2" t="str">
        <f>IF(VLOOKUP($B190,Q,3,FALSE)=0,"",(VLOOKUP($B190,Q,3,FALSE)))</f>
        <v/>
      </c>
      <c r="E190" s="2" t="str">
        <f>IF(VLOOKUP($B190,Q,8,FALSE)=0,"",(VLOOKUP($B190,Q,8,FALSE)))</f>
        <v/>
      </c>
      <c r="F190" s="19" t="str">
        <f>IF(VLOOKUP($B190,Q,9,FALSE)=0,"",(VLOOKUP($B190,Q,9,FALSE)))</f>
        <v/>
      </c>
      <c r="G190" s="2" t="str">
        <f>IF(VLOOKUP($B190,Q,10,FALSE)=0,"",(VLOOKUP($B190,Q,10,FALSE)))</f>
        <v/>
      </c>
      <c r="H190" s="2" t="str">
        <f>IF(VLOOKUP($B190,Q,14,FALSE)=0,"",(VLOOKUP($B190,Q,14,FALSE)))</f>
        <v/>
      </c>
      <c r="I190" s="2" t="str">
        <f>IF(VLOOKUP($B190,Q,14,FALSE)=0,"",(VLOOKUP($B190,Q,15,FALSE)))</f>
        <v/>
      </c>
      <c r="J190" s="2" t="str">
        <f>IF(VLOOKUP($B190,Q,14,FALSE)=0,"",(VLOOKUP($B190,Q,16,FALSE)))</f>
        <v/>
      </c>
      <c r="K190" s="2" t="str">
        <f>IF(VLOOKUP($B190,Q,14,FALSE)=0,"",(VLOOKUP($B190,Q,17,FALSE)))</f>
        <v/>
      </c>
    </row>
    <row r="191" spans="2:11" x14ac:dyDescent="0.6">
      <c r="B191" s="1">
        <v>194</v>
      </c>
      <c r="C191" s="2" t="str">
        <f>IF(VLOOKUP($B191,Q,2,FALSE)=0,"",(VLOOKUP($B191,Q,2,FALSE)))</f>
        <v/>
      </c>
      <c r="D191" s="2" t="str">
        <f>IF(VLOOKUP($B191,Q,3,FALSE)=0,"",(VLOOKUP($B191,Q,3,FALSE)))</f>
        <v/>
      </c>
      <c r="E191" s="2" t="str">
        <f>IF(VLOOKUP($B191,Q,8,FALSE)=0,"",(VLOOKUP($B191,Q,8,FALSE)))</f>
        <v/>
      </c>
      <c r="F191" s="19" t="str">
        <f>IF(VLOOKUP($B191,Q,9,FALSE)=0,"",(VLOOKUP($B191,Q,9,FALSE)))</f>
        <v/>
      </c>
      <c r="G191" s="2" t="str">
        <f>IF(VLOOKUP($B191,Q,10,FALSE)=0,"",(VLOOKUP($B191,Q,10,FALSE)))</f>
        <v/>
      </c>
      <c r="H191" s="2" t="str">
        <f>IF(VLOOKUP($B191,Q,14,FALSE)=0,"",(VLOOKUP($B191,Q,14,FALSE)))</f>
        <v/>
      </c>
      <c r="I191" s="2" t="str">
        <f>IF(VLOOKUP($B191,Q,14,FALSE)=0,"",(VLOOKUP($B191,Q,15,FALSE)))</f>
        <v/>
      </c>
      <c r="J191" s="2" t="str">
        <f>IF(VLOOKUP($B191,Q,14,FALSE)=0,"",(VLOOKUP($B191,Q,16,FALSE)))</f>
        <v/>
      </c>
      <c r="K191" s="2" t="str">
        <f>IF(VLOOKUP($B191,Q,14,FALSE)=0,"",(VLOOKUP($B191,Q,17,FALSE)))</f>
        <v/>
      </c>
    </row>
    <row r="192" spans="2:11" x14ac:dyDescent="0.6">
      <c r="B192" s="1">
        <v>195</v>
      </c>
      <c r="C192" s="2" t="str">
        <f>IF(VLOOKUP($B192,Q,2,FALSE)=0,"",(VLOOKUP($B192,Q,2,FALSE)))</f>
        <v/>
      </c>
      <c r="D192" s="2" t="str">
        <f>IF(VLOOKUP($B192,Q,3,FALSE)=0,"",(VLOOKUP($B192,Q,3,FALSE)))</f>
        <v/>
      </c>
      <c r="E192" s="2" t="str">
        <f>IF(VLOOKUP($B192,Q,8,FALSE)=0,"",(VLOOKUP($B192,Q,8,FALSE)))</f>
        <v/>
      </c>
      <c r="F192" s="19" t="str">
        <f>IF(VLOOKUP($B192,Q,9,FALSE)=0,"",(VLOOKUP($B192,Q,9,FALSE)))</f>
        <v/>
      </c>
      <c r="G192" s="2" t="str">
        <f>IF(VLOOKUP($B192,Q,10,FALSE)=0,"",(VLOOKUP($B192,Q,10,FALSE)))</f>
        <v/>
      </c>
      <c r="H192" s="2" t="str">
        <f>IF(VLOOKUP($B192,Q,14,FALSE)=0,"",(VLOOKUP($B192,Q,14,FALSE)))</f>
        <v/>
      </c>
      <c r="I192" s="2" t="str">
        <f>IF(VLOOKUP($B192,Q,14,FALSE)=0,"",(VLOOKUP($B192,Q,15,FALSE)))</f>
        <v/>
      </c>
      <c r="J192" s="2" t="str">
        <f>IF(VLOOKUP($B192,Q,14,FALSE)=0,"",(VLOOKUP($B192,Q,16,FALSE)))</f>
        <v/>
      </c>
      <c r="K192" s="2" t="str">
        <f>IF(VLOOKUP($B192,Q,14,FALSE)=0,"",(VLOOKUP($B192,Q,17,FALSE)))</f>
        <v/>
      </c>
    </row>
    <row r="193" spans="2:11" x14ac:dyDescent="0.6">
      <c r="B193" s="1">
        <v>196</v>
      </c>
      <c r="C193" s="2" t="str">
        <f>IF(VLOOKUP($B193,Q,2,FALSE)=0,"",(VLOOKUP($B193,Q,2,FALSE)))</f>
        <v/>
      </c>
      <c r="D193" s="2" t="str">
        <f>IF(VLOOKUP($B193,Q,3,FALSE)=0,"",(VLOOKUP($B193,Q,3,FALSE)))</f>
        <v/>
      </c>
      <c r="E193" s="2" t="str">
        <f>IF(VLOOKUP($B193,Q,8,FALSE)=0,"",(VLOOKUP($B193,Q,8,FALSE)))</f>
        <v/>
      </c>
      <c r="F193" s="19" t="str">
        <f>IF(VLOOKUP($B193,Q,9,FALSE)=0,"",(VLOOKUP($B193,Q,9,FALSE)))</f>
        <v/>
      </c>
      <c r="G193" s="2" t="str">
        <f>IF(VLOOKUP($B193,Q,10,FALSE)=0,"",(VLOOKUP($B193,Q,10,FALSE)))</f>
        <v/>
      </c>
      <c r="H193" s="2" t="str">
        <f>IF(VLOOKUP($B193,Q,14,FALSE)=0,"",(VLOOKUP($B193,Q,14,FALSE)))</f>
        <v/>
      </c>
      <c r="I193" s="2" t="str">
        <f>IF(VLOOKUP($B193,Q,14,FALSE)=0,"",(VLOOKUP($B193,Q,15,FALSE)))</f>
        <v/>
      </c>
      <c r="J193" s="2" t="str">
        <f>IF(VLOOKUP($B193,Q,14,FALSE)=0,"",(VLOOKUP($B193,Q,16,FALSE)))</f>
        <v/>
      </c>
      <c r="K193" s="2" t="str">
        <f>IF(VLOOKUP($B193,Q,14,FALSE)=0,"",(VLOOKUP($B193,Q,17,FALSE)))</f>
        <v/>
      </c>
    </row>
    <row r="194" spans="2:11" x14ac:dyDescent="0.6">
      <c r="B194" s="1">
        <v>197</v>
      </c>
      <c r="C194" s="2" t="str">
        <f>IF(VLOOKUP($B194,Q,2,FALSE)=0,"",(VLOOKUP($B194,Q,2,FALSE)))</f>
        <v/>
      </c>
      <c r="D194" s="2" t="str">
        <f>IF(VLOOKUP($B194,Q,3,FALSE)=0,"",(VLOOKUP($B194,Q,3,FALSE)))</f>
        <v/>
      </c>
      <c r="E194" s="2" t="str">
        <f>IF(VLOOKUP($B194,Q,8,FALSE)=0,"",(VLOOKUP($B194,Q,8,FALSE)))</f>
        <v/>
      </c>
      <c r="F194" s="19" t="str">
        <f>IF(VLOOKUP($B194,Q,9,FALSE)=0,"",(VLOOKUP($B194,Q,9,FALSE)))</f>
        <v/>
      </c>
      <c r="G194" s="2" t="str">
        <f>IF(VLOOKUP($B194,Q,10,FALSE)=0,"",(VLOOKUP($B194,Q,10,FALSE)))</f>
        <v/>
      </c>
      <c r="H194" s="2" t="str">
        <f>IF(VLOOKUP($B194,Q,14,FALSE)=0,"",(VLOOKUP($B194,Q,14,FALSE)))</f>
        <v/>
      </c>
      <c r="I194" s="2" t="str">
        <f>IF(VLOOKUP($B194,Q,14,FALSE)=0,"",(VLOOKUP($B194,Q,15,FALSE)))</f>
        <v/>
      </c>
      <c r="J194" s="2" t="str">
        <f>IF(VLOOKUP($B194,Q,14,FALSE)=0,"",(VLOOKUP($B194,Q,16,FALSE)))</f>
        <v/>
      </c>
      <c r="K194" s="2" t="str">
        <f>IF(VLOOKUP($B194,Q,14,FALSE)=0,"",(VLOOKUP($B194,Q,17,FALSE)))</f>
        <v/>
      </c>
    </row>
    <row r="195" spans="2:11" x14ac:dyDescent="0.6">
      <c r="B195" s="1">
        <v>198</v>
      </c>
      <c r="C195" s="2" t="str">
        <f>IF(VLOOKUP($B195,Q,2,FALSE)=0,"",(VLOOKUP($B195,Q,2,FALSE)))</f>
        <v/>
      </c>
      <c r="D195" s="2" t="str">
        <f>IF(VLOOKUP($B195,Q,3,FALSE)=0,"",(VLOOKUP($B195,Q,3,FALSE)))</f>
        <v/>
      </c>
      <c r="E195" s="2" t="str">
        <f>IF(VLOOKUP($B195,Q,8,FALSE)=0,"",(VLOOKUP($B195,Q,8,FALSE)))</f>
        <v/>
      </c>
      <c r="F195" s="19" t="str">
        <f>IF(VLOOKUP($B195,Q,9,FALSE)=0,"",(VLOOKUP($B195,Q,9,FALSE)))</f>
        <v/>
      </c>
      <c r="G195" s="2" t="str">
        <f>IF(VLOOKUP($B195,Q,10,FALSE)=0,"",(VLOOKUP($B195,Q,10,FALSE)))</f>
        <v/>
      </c>
      <c r="H195" s="2" t="str">
        <f>IF(VLOOKUP($B195,Q,14,FALSE)=0,"",(VLOOKUP($B195,Q,14,FALSE)))</f>
        <v/>
      </c>
      <c r="I195" s="2" t="str">
        <f>IF(VLOOKUP($B195,Q,14,FALSE)=0,"",(VLOOKUP($B195,Q,15,FALSE)))</f>
        <v/>
      </c>
      <c r="J195" s="2" t="str">
        <f>IF(VLOOKUP($B195,Q,14,FALSE)=0,"",(VLOOKUP($B195,Q,16,FALSE)))</f>
        <v/>
      </c>
      <c r="K195" s="2" t="str">
        <f>IF(VLOOKUP($B195,Q,14,FALSE)=0,"",(VLOOKUP($B195,Q,17,FALSE)))</f>
        <v/>
      </c>
    </row>
    <row r="196" spans="2:11" x14ac:dyDescent="0.6">
      <c r="B196" s="1">
        <v>199</v>
      </c>
      <c r="C196" s="2" t="str">
        <f>IF(VLOOKUP($B196,Q,2,FALSE)=0,"",(VLOOKUP($B196,Q,2,FALSE)))</f>
        <v/>
      </c>
      <c r="D196" s="2" t="str">
        <f>IF(VLOOKUP($B196,Q,3,FALSE)=0,"",(VLOOKUP($B196,Q,3,FALSE)))</f>
        <v/>
      </c>
      <c r="E196" s="2" t="str">
        <f>IF(VLOOKUP($B196,Q,8,FALSE)=0,"",(VLOOKUP($B196,Q,8,FALSE)))</f>
        <v/>
      </c>
      <c r="F196" s="19" t="str">
        <f>IF(VLOOKUP($B196,Q,9,FALSE)=0,"",(VLOOKUP($B196,Q,9,FALSE)))</f>
        <v/>
      </c>
      <c r="G196" s="2" t="str">
        <f>IF(VLOOKUP($B196,Q,10,FALSE)=0,"",(VLOOKUP($B196,Q,10,FALSE)))</f>
        <v/>
      </c>
      <c r="H196" s="2" t="str">
        <f>IF(VLOOKUP($B196,Q,14,FALSE)=0,"",(VLOOKUP($B196,Q,14,FALSE)))</f>
        <v/>
      </c>
      <c r="I196" s="2" t="str">
        <f>IF(VLOOKUP($B196,Q,14,FALSE)=0,"",(VLOOKUP($B196,Q,15,FALSE)))</f>
        <v/>
      </c>
      <c r="J196" s="2" t="str">
        <f>IF(VLOOKUP($B196,Q,14,FALSE)=0,"",(VLOOKUP($B196,Q,16,FALSE)))</f>
        <v/>
      </c>
      <c r="K196" s="2" t="str">
        <f>IF(VLOOKUP($B196,Q,14,FALSE)=0,"",(VLOOKUP($B196,Q,17,FALSE)))</f>
        <v/>
      </c>
    </row>
    <row r="197" spans="2:11" x14ac:dyDescent="0.6">
      <c r="B197" s="1">
        <v>200</v>
      </c>
      <c r="C197" s="2" t="str">
        <f>IF(VLOOKUP($B197,Q,2,FALSE)=0,"",(VLOOKUP($B197,Q,2,FALSE)))</f>
        <v/>
      </c>
      <c r="D197" s="2" t="str">
        <f>IF(VLOOKUP($B197,Q,3,FALSE)=0,"",(VLOOKUP($B197,Q,3,FALSE)))</f>
        <v/>
      </c>
      <c r="E197" s="2" t="str">
        <f>IF(VLOOKUP($B197,Q,8,FALSE)=0,"",(VLOOKUP($B197,Q,8,FALSE)))</f>
        <v/>
      </c>
      <c r="F197" s="19" t="str">
        <f>IF(VLOOKUP($B197,Q,9,FALSE)=0,"",(VLOOKUP($B197,Q,9,FALSE)))</f>
        <v/>
      </c>
      <c r="G197" s="2" t="str">
        <f>IF(VLOOKUP($B197,Q,10,FALSE)=0,"",(VLOOKUP($B197,Q,10,FALSE)))</f>
        <v/>
      </c>
      <c r="H197" s="2" t="str">
        <f>IF(VLOOKUP($B197,Q,14,FALSE)=0,"",(VLOOKUP($B197,Q,14,FALSE)))</f>
        <v/>
      </c>
      <c r="I197" s="2" t="str">
        <f>IF(VLOOKUP($B197,Q,14,FALSE)=0,"",(VLOOKUP($B197,Q,15,FALSE)))</f>
        <v/>
      </c>
      <c r="J197" s="2" t="str">
        <f>IF(VLOOKUP($B197,Q,14,FALSE)=0,"",(VLOOKUP($B197,Q,16,FALSE)))</f>
        <v/>
      </c>
      <c r="K197" s="2" t="str">
        <f>IF(VLOOKUP($B197,Q,14,FALSE)=0,"",(VLOOKUP($B197,Q,17,FALSE)))</f>
        <v/>
      </c>
    </row>
    <row r="198" spans="2:11" x14ac:dyDescent="0.6">
      <c r="B198" s="1">
        <v>201</v>
      </c>
      <c r="C198" s="2" t="str">
        <f>IF(VLOOKUP($B198,Q,2,FALSE)=0,"",(VLOOKUP($B198,Q,2,FALSE)))</f>
        <v/>
      </c>
      <c r="D198" s="2" t="str">
        <f>IF(VLOOKUP($B198,Q,3,FALSE)=0,"",(VLOOKUP($B198,Q,3,FALSE)))</f>
        <v/>
      </c>
      <c r="E198" s="2" t="str">
        <f>IF(VLOOKUP($B198,Q,8,FALSE)=0,"",(VLOOKUP($B198,Q,8,FALSE)))</f>
        <v/>
      </c>
      <c r="F198" s="19" t="str">
        <f>IF(VLOOKUP($B198,Q,9,FALSE)=0,"",(VLOOKUP($B198,Q,9,FALSE)))</f>
        <v/>
      </c>
      <c r="G198" s="2" t="str">
        <f>IF(VLOOKUP($B198,Q,10,FALSE)=0,"",(VLOOKUP($B198,Q,10,FALSE)))</f>
        <v/>
      </c>
      <c r="H198" s="2" t="str">
        <f>IF(VLOOKUP($B198,Q,14,FALSE)=0,"",(VLOOKUP($B198,Q,14,FALSE)))</f>
        <v/>
      </c>
      <c r="I198" s="2" t="str">
        <f>IF(VLOOKUP($B198,Q,14,FALSE)=0,"",(VLOOKUP($B198,Q,15,FALSE)))</f>
        <v/>
      </c>
      <c r="J198" s="2" t="str">
        <f>IF(VLOOKUP($B198,Q,14,FALSE)=0,"",(VLOOKUP($B198,Q,16,FALSE)))</f>
        <v/>
      </c>
      <c r="K198" s="2" t="str">
        <f>IF(VLOOKUP($B198,Q,14,FALSE)=0,"",(VLOOKUP($B198,Q,17,FALSE)))</f>
        <v/>
      </c>
    </row>
    <row r="199" spans="2:11" x14ac:dyDescent="0.6">
      <c r="B199" s="1">
        <v>202</v>
      </c>
      <c r="C199" s="2" t="str">
        <f>IF(VLOOKUP($B199,Q,2,FALSE)=0,"",(VLOOKUP($B199,Q,2,FALSE)))</f>
        <v/>
      </c>
      <c r="D199" s="2" t="str">
        <f>IF(VLOOKUP($B199,Q,3,FALSE)=0,"",(VLOOKUP($B199,Q,3,FALSE)))</f>
        <v/>
      </c>
      <c r="E199" s="2" t="str">
        <f>IF(VLOOKUP($B199,Q,8,FALSE)=0,"",(VLOOKUP($B199,Q,8,FALSE)))</f>
        <v/>
      </c>
      <c r="F199" s="19" t="str">
        <f>IF(VLOOKUP($B199,Q,9,FALSE)=0,"",(VLOOKUP($B199,Q,9,FALSE)))</f>
        <v/>
      </c>
      <c r="G199" s="2" t="str">
        <f>IF(VLOOKUP($B199,Q,10,FALSE)=0,"",(VLOOKUP($B199,Q,10,FALSE)))</f>
        <v/>
      </c>
      <c r="H199" s="2" t="str">
        <f>IF(VLOOKUP($B199,Q,14,FALSE)=0,"",(VLOOKUP($B199,Q,14,FALSE)))</f>
        <v/>
      </c>
      <c r="I199" s="2" t="str">
        <f>IF(VLOOKUP($B199,Q,14,FALSE)=0,"",(VLOOKUP($B199,Q,15,FALSE)))</f>
        <v/>
      </c>
      <c r="J199" s="2" t="str">
        <f>IF(VLOOKUP($B199,Q,14,FALSE)=0,"",(VLOOKUP($B199,Q,16,FALSE)))</f>
        <v/>
      </c>
      <c r="K199" s="2" t="str">
        <f>IF(VLOOKUP($B199,Q,14,FALSE)=0,"",(VLOOKUP($B199,Q,17,FALSE)))</f>
        <v/>
      </c>
    </row>
    <row r="200" spans="2:11" x14ac:dyDescent="0.6">
      <c r="B200" s="1">
        <v>203</v>
      </c>
      <c r="C200" s="2" t="str">
        <f>IF(VLOOKUP($B200,Q,2,FALSE)=0,"",(VLOOKUP($B200,Q,2,FALSE)))</f>
        <v/>
      </c>
      <c r="D200" s="2" t="str">
        <f>IF(VLOOKUP($B200,Q,3,FALSE)=0,"",(VLOOKUP($B200,Q,3,FALSE)))</f>
        <v/>
      </c>
      <c r="E200" s="2" t="str">
        <f>IF(VLOOKUP($B200,Q,8,FALSE)=0,"",(VLOOKUP($B200,Q,8,FALSE)))</f>
        <v/>
      </c>
      <c r="F200" s="19" t="str">
        <f>IF(VLOOKUP($B200,Q,9,FALSE)=0,"",(VLOOKUP($B200,Q,9,FALSE)))</f>
        <v/>
      </c>
      <c r="G200" s="2" t="str">
        <f>IF(VLOOKUP($B200,Q,10,FALSE)=0,"",(VLOOKUP($B200,Q,10,FALSE)))</f>
        <v/>
      </c>
      <c r="H200" s="2" t="str">
        <f>IF(VLOOKUP($B200,Q,14,FALSE)=0,"",(VLOOKUP($B200,Q,14,FALSE)))</f>
        <v/>
      </c>
      <c r="I200" s="2" t="str">
        <f>IF(VLOOKUP($B200,Q,14,FALSE)=0,"",(VLOOKUP($B200,Q,15,FALSE)))</f>
        <v/>
      </c>
      <c r="J200" s="2" t="str">
        <f>IF(VLOOKUP($B200,Q,14,FALSE)=0,"",(VLOOKUP($B200,Q,16,FALSE)))</f>
        <v/>
      </c>
      <c r="K200" s="2" t="str">
        <f>IF(VLOOKUP($B200,Q,14,FALSE)=0,"",(VLOOKUP($B200,Q,17,FALSE)))</f>
        <v/>
      </c>
    </row>
    <row r="201" spans="2:11" x14ac:dyDescent="0.6">
      <c r="B201" s="1">
        <v>204</v>
      </c>
      <c r="C201" s="2" t="str">
        <f>IF(VLOOKUP($B201,Q,2,FALSE)=0,"",(VLOOKUP($B201,Q,2,FALSE)))</f>
        <v/>
      </c>
      <c r="D201" s="2" t="str">
        <f>IF(VLOOKUP($B201,Q,3,FALSE)=0,"",(VLOOKUP($B201,Q,3,FALSE)))</f>
        <v/>
      </c>
      <c r="E201" s="2" t="str">
        <f>IF(VLOOKUP($B201,Q,8,FALSE)=0,"",(VLOOKUP($B201,Q,8,FALSE)))</f>
        <v/>
      </c>
      <c r="F201" s="19" t="str">
        <f>IF(VLOOKUP($B201,Q,9,FALSE)=0,"",(VLOOKUP($B201,Q,9,FALSE)))</f>
        <v/>
      </c>
      <c r="G201" s="2" t="str">
        <f>IF(VLOOKUP($B201,Q,10,FALSE)=0,"",(VLOOKUP($B201,Q,10,FALSE)))</f>
        <v/>
      </c>
      <c r="H201" s="2" t="str">
        <f>IF(VLOOKUP($B201,Q,14,FALSE)=0,"",(VLOOKUP($B201,Q,14,FALSE)))</f>
        <v/>
      </c>
      <c r="I201" s="2" t="str">
        <f>IF(VLOOKUP($B201,Q,14,FALSE)=0,"",(VLOOKUP($B201,Q,15,FALSE)))</f>
        <v/>
      </c>
      <c r="J201" s="2" t="str">
        <f>IF(VLOOKUP($B201,Q,14,FALSE)=0,"",(VLOOKUP($B201,Q,16,FALSE)))</f>
        <v/>
      </c>
      <c r="K201" s="2" t="str">
        <f>IF(VLOOKUP($B201,Q,14,FALSE)=0,"",(VLOOKUP($B201,Q,17,FALSE)))</f>
        <v/>
      </c>
    </row>
    <row r="202" spans="2:11" x14ac:dyDescent="0.6">
      <c r="B202" s="1">
        <v>205</v>
      </c>
      <c r="C202" s="2" t="str">
        <f>IF(VLOOKUP($B202,Q,2,FALSE)=0,"",(VLOOKUP($B202,Q,2,FALSE)))</f>
        <v/>
      </c>
      <c r="D202" s="2" t="str">
        <f>IF(VLOOKUP($B202,Q,3,FALSE)=0,"",(VLOOKUP($B202,Q,3,FALSE)))</f>
        <v/>
      </c>
      <c r="E202" s="2" t="str">
        <f>IF(VLOOKUP($B202,Q,8,FALSE)=0,"",(VLOOKUP($B202,Q,8,FALSE)))</f>
        <v/>
      </c>
      <c r="F202" s="19" t="str">
        <f>IF(VLOOKUP($B202,Q,9,FALSE)=0,"",(VLOOKUP($B202,Q,9,FALSE)))</f>
        <v/>
      </c>
      <c r="G202" s="2" t="str">
        <f>IF(VLOOKUP($B202,Q,10,FALSE)=0,"",(VLOOKUP($B202,Q,10,FALSE)))</f>
        <v/>
      </c>
      <c r="H202" s="2" t="str">
        <f>IF(VLOOKUP($B202,Q,14,FALSE)=0,"",(VLOOKUP($B202,Q,14,FALSE)))</f>
        <v/>
      </c>
      <c r="I202" s="2" t="str">
        <f>IF(VLOOKUP($B202,Q,14,FALSE)=0,"",(VLOOKUP($B202,Q,15,FALSE)))</f>
        <v/>
      </c>
      <c r="J202" s="2" t="str">
        <f>IF(VLOOKUP($B202,Q,14,FALSE)=0,"",(VLOOKUP($B202,Q,16,FALSE)))</f>
        <v/>
      </c>
      <c r="K202" s="2" t="str">
        <f>IF(VLOOKUP($B202,Q,14,FALSE)=0,"",(VLOOKUP($B202,Q,17,FALSE)))</f>
        <v/>
      </c>
    </row>
    <row r="203" spans="2:11" x14ac:dyDescent="0.6">
      <c r="B203" s="1">
        <v>206</v>
      </c>
      <c r="C203" s="2" t="str">
        <f>IF(VLOOKUP($B203,Q,2,FALSE)=0,"",(VLOOKUP($B203,Q,2,FALSE)))</f>
        <v/>
      </c>
      <c r="D203" s="2" t="str">
        <f>IF(VLOOKUP($B203,Q,3,FALSE)=0,"",(VLOOKUP($B203,Q,3,FALSE)))</f>
        <v/>
      </c>
      <c r="E203" s="2" t="str">
        <f>IF(VLOOKUP($B203,Q,8,FALSE)=0,"",(VLOOKUP($B203,Q,8,FALSE)))</f>
        <v/>
      </c>
      <c r="F203" s="19" t="str">
        <f>IF(VLOOKUP($B203,Q,9,FALSE)=0,"",(VLOOKUP($B203,Q,9,FALSE)))</f>
        <v/>
      </c>
      <c r="G203" s="2" t="str">
        <f>IF(VLOOKUP($B203,Q,10,FALSE)=0,"",(VLOOKUP($B203,Q,10,FALSE)))</f>
        <v/>
      </c>
      <c r="H203" s="2" t="str">
        <f>IF(VLOOKUP($B203,Q,14,FALSE)=0,"",(VLOOKUP($B203,Q,14,FALSE)))</f>
        <v/>
      </c>
      <c r="I203" s="2" t="str">
        <f>IF(VLOOKUP($B203,Q,14,FALSE)=0,"",(VLOOKUP($B203,Q,15,FALSE)))</f>
        <v/>
      </c>
      <c r="J203" s="2" t="str">
        <f>IF(VLOOKUP($B203,Q,14,FALSE)=0,"",(VLOOKUP($B203,Q,16,FALSE)))</f>
        <v/>
      </c>
      <c r="K203" s="2" t="str">
        <f>IF(VLOOKUP($B203,Q,14,FALSE)=0,"",(VLOOKUP($B203,Q,17,FALSE)))</f>
        <v/>
      </c>
    </row>
    <row r="204" spans="2:11" x14ac:dyDescent="0.6">
      <c r="B204" s="1">
        <v>207</v>
      </c>
      <c r="C204" s="2" t="str">
        <f>IF(VLOOKUP($B204,Q,2,FALSE)=0,"",(VLOOKUP($B204,Q,2,FALSE)))</f>
        <v/>
      </c>
      <c r="D204" s="2" t="str">
        <f>IF(VLOOKUP($B204,Q,3,FALSE)=0,"",(VLOOKUP($B204,Q,3,FALSE)))</f>
        <v/>
      </c>
      <c r="E204" s="2" t="str">
        <f>IF(VLOOKUP($B204,Q,8,FALSE)=0,"",(VLOOKUP($B204,Q,8,FALSE)))</f>
        <v/>
      </c>
      <c r="F204" s="19" t="str">
        <f>IF(VLOOKUP($B204,Q,9,FALSE)=0,"",(VLOOKUP($B204,Q,9,FALSE)))</f>
        <v/>
      </c>
      <c r="G204" s="2" t="str">
        <f>IF(VLOOKUP($B204,Q,10,FALSE)=0,"",(VLOOKUP($B204,Q,10,FALSE)))</f>
        <v/>
      </c>
      <c r="H204" s="2" t="str">
        <f>IF(VLOOKUP($B204,Q,14,FALSE)=0,"",(VLOOKUP($B204,Q,14,FALSE)))</f>
        <v/>
      </c>
      <c r="I204" s="2" t="str">
        <f>IF(VLOOKUP($B204,Q,14,FALSE)=0,"",(VLOOKUP($B204,Q,15,FALSE)))</f>
        <v/>
      </c>
      <c r="J204" s="2" t="str">
        <f>IF(VLOOKUP($B204,Q,14,FALSE)=0,"",(VLOOKUP($B204,Q,16,FALSE)))</f>
        <v/>
      </c>
      <c r="K204" s="2" t="str">
        <f>IF(VLOOKUP($B204,Q,14,FALSE)=0,"",(VLOOKUP($B204,Q,17,FALSE)))</f>
        <v/>
      </c>
    </row>
    <row r="205" spans="2:11" x14ac:dyDescent="0.6">
      <c r="B205" s="1">
        <v>208</v>
      </c>
      <c r="C205" s="2" t="str">
        <f>IF(VLOOKUP($B205,Q,2,FALSE)=0,"",(VLOOKUP($B205,Q,2,FALSE)))</f>
        <v/>
      </c>
      <c r="D205" s="2" t="str">
        <f>IF(VLOOKUP($B205,Q,3,FALSE)=0,"",(VLOOKUP($B205,Q,3,FALSE)))</f>
        <v/>
      </c>
      <c r="E205" s="2" t="str">
        <f>IF(VLOOKUP($B205,Q,8,FALSE)=0,"",(VLOOKUP($B205,Q,8,FALSE)))</f>
        <v/>
      </c>
      <c r="F205" s="19" t="str">
        <f>IF(VLOOKUP($B205,Q,9,FALSE)=0,"",(VLOOKUP($B205,Q,9,FALSE)))</f>
        <v/>
      </c>
      <c r="G205" s="2" t="str">
        <f>IF(VLOOKUP($B205,Q,10,FALSE)=0,"",(VLOOKUP($B205,Q,10,FALSE)))</f>
        <v/>
      </c>
      <c r="H205" s="2" t="str">
        <f>IF(VLOOKUP($B205,Q,14,FALSE)=0,"",(VLOOKUP($B205,Q,14,FALSE)))</f>
        <v/>
      </c>
      <c r="I205" s="2" t="str">
        <f>IF(VLOOKUP($B205,Q,14,FALSE)=0,"",(VLOOKUP($B205,Q,15,FALSE)))</f>
        <v/>
      </c>
      <c r="J205" s="2" t="str">
        <f>IF(VLOOKUP($B205,Q,14,FALSE)=0,"",(VLOOKUP($B205,Q,16,FALSE)))</f>
        <v/>
      </c>
      <c r="K205" s="2" t="str">
        <f>IF(VLOOKUP($B205,Q,14,FALSE)=0,"",(VLOOKUP($B205,Q,17,FALSE)))</f>
        <v/>
      </c>
    </row>
    <row r="206" spans="2:11" x14ac:dyDescent="0.6">
      <c r="B206" s="1">
        <v>209</v>
      </c>
      <c r="C206" s="2" t="str">
        <f>IF(VLOOKUP($B206,Q,2,FALSE)=0,"",(VLOOKUP($B206,Q,2,FALSE)))</f>
        <v/>
      </c>
      <c r="D206" s="2" t="str">
        <f>IF(VLOOKUP($B206,Q,3,FALSE)=0,"",(VLOOKUP($B206,Q,3,FALSE)))</f>
        <v/>
      </c>
      <c r="E206" s="2" t="str">
        <f>IF(VLOOKUP($B206,Q,8,FALSE)=0,"",(VLOOKUP($B206,Q,8,FALSE)))</f>
        <v/>
      </c>
      <c r="F206" s="19" t="str">
        <f>IF(VLOOKUP($B206,Q,9,FALSE)=0,"",(VLOOKUP($B206,Q,9,FALSE)))</f>
        <v/>
      </c>
      <c r="G206" s="2" t="str">
        <f>IF(VLOOKUP($B206,Q,10,FALSE)=0,"",(VLOOKUP($B206,Q,10,FALSE)))</f>
        <v/>
      </c>
      <c r="H206" s="2" t="str">
        <f>IF(VLOOKUP($B206,Q,14,FALSE)=0,"",(VLOOKUP($B206,Q,14,FALSE)))</f>
        <v/>
      </c>
      <c r="I206" s="2" t="str">
        <f>IF(VLOOKUP($B206,Q,14,FALSE)=0,"",(VLOOKUP($B206,Q,15,FALSE)))</f>
        <v/>
      </c>
      <c r="J206" s="2" t="str">
        <f>IF(VLOOKUP($B206,Q,14,FALSE)=0,"",(VLOOKUP($B206,Q,16,FALSE)))</f>
        <v/>
      </c>
      <c r="K206" s="2" t="str">
        <f>IF(VLOOKUP($B206,Q,14,FALSE)=0,"",(VLOOKUP($B206,Q,17,FALSE)))</f>
        <v/>
      </c>
    </row>
    <row r="207" spans="2:11" x14ac:dyDescent="0.6">
      <c r="B207" s="1">
        <v>210</v>
      </c>
      <c r="C207" s="2" t="str">
        <f>IF(VLOOKUP($B207,Q,2,FALSE)=0,"",(VLOOKUP($B207,Q,2,FALSE)))</f>
        <v/>
      </c>
      <c r="D207" s="2" t="str">
        <f>IF(VLOOKUP($B207,Q,3,FALSE)=0,"",(VLOOKUP($B207,Q,3,FALSE)))</f>
        <v/>
      </c>
      <c r="E207" s="2" t="str">
        <f>IF(VLOOKUP($B207,Q,8,FALSE)=0,"",(VLOOKUP($B207,Q,8,FALSE)))</f>
        <v/>
      </c>
      <c r="F207" s="19" t="str">
        <f>IF(VLOOKUP($B207,Q,9,FALSE)=0,"",(VLOOKUP($B207,Q,9,FALSE)))</f>
        <v/>
      </c>
      <c r="G207" s="2" t="str">
        <f>IF(VLOOKUP($B207,Q,10,FALSE)=0,"",(VLOOKUP($B207,Q,10,FALSE)))</f>
        <v/>
      </c>
      <c r="H207" s="2" t="str">
        <f>IF(VLOOKUP($B207,Q,14,FALSE)=0,"",(VLOOKUP($B207,Q,14,FALSE)))</f>
        <v/>
      </c>
      <c r="I207" s="2" t="str">
        <f>IF(VLOOKUP($B207,Q,14,FALSE)=0,"",(VLOOKUP($B207,Q,15,FALSE)))</f>
        <v/>
      </c>
      <c r="J207" s="2" t="str">
        <f>IF(VLOOKUP($B207,Q,14,FALSE)=0,"",(VLOOKUP($B207,Q,16,FALSE)))</f>
        <v/>
      </c>
      <c r="K207" s="2" t="str">
        <f>IF(VLOOKUP($B207,Q,14,FALSE)=0,"",(VLOOKUP($B207,Q,17,FALSE)))</f>
        <v/>
      </c>
    </row>
    <row r="208" spans="2:11" x14ac:dyDescent="0.6">
      <c r="B208" s="1">
        <v>211</v>
      </c>
      <c r="C208" s="2" t="str">
        <f>IF(VLOOKUP($B208,Q,2,FALSE)=0,"",(VLOOKUP($B208,Q,2,FALSE)))</f>
        <v/>
      </c>
      <c r="D208" s="2" t="str">
        <f>IF(VLOOKUP($B208,Q,3,FALSE)=0,"",(VLOOKUP($B208,Q,3,FALSE)))</f>
        <v/>
      </c>
      <c r="E208" s="2" t="str">
        <f>IF(VLOOKUP($B208,Q,8,FALSE)=0,"",(VLOOKUP($B208,Q,8,FALSE)))</f>
        <v/>
      </c>
      <c r="F208" s="19" t="str">
        <f>IF(VLOOKUP($B208,Q,9,FALSE)=0,"",(VLOOKUP($B208,Q,9,FALSE)))</f>
        <v/>
      </c>
      <c r="G208" s="2" t="str">
        <f>IF(VLOOKUP($B208,Q,10,FALSE)=0,"",(VLOOKUP($B208,Q,10,FALSE)))</f>
        <v/>
      </c>
      <c r="H208" s="2" t="str">
        <f>IF(VLOOKUP($B208,Q,14,FALSE)=0,"",(VLOOKUP($B208,Q,14,FALSE)))</f>
        <v/>
      </c>
      <c r="I208" s="2" t="str">
        <f>IF(VLOOKUP($B208,Q,14,FALSE)=0,"",(VLOOKUP($B208,Q,15,FALSE)))</f>
        <v/>
      </c>
      <c r="J208" s="2" t="str">
        <f>IF(VLOOKUP($B208,Q,14,FALSE)=0,"",(VLOOKUP($B208,Q,16,FALSE)))</f>
        <v/>
      </c>
      <c r="K208" s="2" t="str">
        <f>IF(VLOOKUP($B208,Q,14,FALSE)=0,"",(VLOOKUP($B208,Q,17,FALSE)))</f>
        <v/>
      </c>
    </row>
    <row r="209" spans="2:11" x14ac:dyDescent="0.6">
      <c r="B209" s="1">
        <v>212</v>
      </c>
      <c r="C209" s="2" t="str">
        <f>IF(VLOOKUP($B209,Q,2,FALSE)=0,"",(VLOOKUP($B209,Q,2,FALSE)))</f>
        <v/>
      </c>
      <c r="D209" s="2" t="str">
        <f>IF(VLOOKUP($B209,Q,3,FALSE)=0,"",(VLOOKUP($B209,Q,3,FALSE)))</f>
        <v/>
      </c>
      <c r="E209" s="2" t="str">
        <f>IF(VLOOKUP($B209,Q,8,FALSE)=0,"",(VLOOKUP($B209,Q,8,FALSE)))</f>
        <v/>
      </c>
      <c r="F209" s="19" t="str">
        <f>IF(VLOOKUP($B209,Q,9,FALSE)=0,"",(VLOOKUP($B209,Q,9,FALSE)))</f>
        <v/>
      </c>
      <c r="G209" s="2" t="str">
        <f>IF(VLOOKUP($B209,Q,10,FALSE)=0,"",(VLOOKUP($B209,Q,10,FALSE)))</f>
        <v/>
      </c>
      <c r="H209" s="2" t="str">
        <f>IF(VLOOKUP($B209,Q,14,FALSE)=0,"",(VLOOKUP($B209,Q,14,FALSE)))</f>
        <v/>
      </c>
      <c r="I209" s="2" t="str">
        <f>IF(VLOOKUP($B209,Q,14,FALSE)=0,"",(VLOOKUP($B209,Q,15,FALSE)))</f>
        <v/>
      </c>
      <c r="J209" s="2" t="str">
        <f>IF(VLOOKUP($B209,Q,14,FALSE)=0,"",(VLOOKUP($B209,Q,16,FALSE)))</f>
        <v/>
      </c>
      <c r="K209" s="2" t="str">
        <f>IF(VLOOKUP($B209,Q,14,FALSE)=0,"",(VLOOKUP($B209,Q,17,FALSE)))</f>
        <v/>
      </c>
    </row>
    <row r="210" spans="2:11" x14ac:dyDescent="0.6">
      <c r="B210" s="1">
        <v>213</v>
      </c>
      <c r="C210" s="2" t="str">
        <f>IF(VLOOKUP($B210,Q,2,FALSE)=0,"",(VLOOKUP($B210,Q,2,FALSE)))</f>
        <v/>
      </c>
      <c r="D210" s="2" t="str">
        <f>IF(VLOOKUP($B210,Q,3,FALSE)=0,"",(VLOOKUP($B210,Q,3,FALSE)))</f>
        <v/>
      </c>
      <c r="E210" s="2" t="str">
        <f>IF(VLOOKUP($B210,Q,8,FALSE)=0,"",(VLOOKUP($B210,Q,8,FALSE)))</f>
        <v/>
      </c>
      <c r="F210" s="19" t="str">
        <f>IF(VLOOKUP($B210,Q,9,FALSE)=0,"",(VLOOKUP($B210,Q,9,FALSE)))</f>
        <v/>
      </c>
      <c r="G210" s="2" t="str">
        <f>IF(VLOOKUP($B210,Q,10,FALSE)=0,"",(VLOOKUP($B210,Q,10,FALSE)))</f>
        <v/>
      </c>
      <c r="H210" s="2" t="str">
        <f>IF(VLOOKUP($B210,Q,14,FALSE)=0,"",(VLOOKUP($B210,Q,14,FALSE)))</f>
        <v/>
      </c>
      <c r="I210" s="2" t="str">
        <f>IF(VLOOKUP($B210,Q,14,FALSE)=0,"",(VLOOKUP($B210,Q,15,FALSE)))</f>
        <v/>
      </c>
      <c r="J210" s="2" t="str">
        <f>IF(VLOOKUP($B210,Q,14,FALSE)=0,"",(VLOOKUP($B210,Q,16,FALSE)))</f>
        <v/>
      </c>
      <c r="K210" s="2" t="str">
        <f>IF(VLOOKUP($B210,Q,14,FALSE)=0,"",(VLOOKUP($B210,Q,17,FALSE)))</f>
        <v/>
      </c>
    </row>
    <row r="211" spans="2:11" x14ac:dyDescent="0.6">
      <c r="B211" s="1">
        <v>214</v>
      </c>
      <c r="C211" s="2" t="str">
        <f>IF(VLOOKUP($B211,Q,2,FALSE)=0,"",(VLOOKUP($B211,Q,2,FALSE)))</f>
        <v/>
      </c>
      <c r="D211" s="2" t="str">
        <f>IF(VLOOKUP($B211,Q,3,FALSE)=0,"",(VLOOKUP($B211,Q,3,FALSE)))</f>
        <v/>
      </c>
      <c r="E211" s="2" t="str">
        <f>IF(VLOOKUP($B211,Q,8,FALSE)=0,"",(VLOOKUP($B211,Q,8,FALSE)))</f>
        <v/>
      </c>
      <c r="F211" s="19" t="str">
        <f>IF(VLOOKUP($B211,Q,9,FALSE)=0,"",(VLOOKUP($B211,Q,9,FALSE)))</f>
        <v/>
      </c>
      <c r="G211" s="2" t="str">
        <f>IF(VLOOKUP($B211,Q,10,FALSE)=0,"",(VLOOKUP($B211,Q,10,FALSE)))</f>
        <v/>
      </c>
      <c r="H211" s="2" t="str">
        <f>IF(VLOOKUP($B211,Q,14,FALSE)=0,"",(VLOOKUP($B211,Q,14,FALSE)))</f>
        <v/>
      </c>
      <c r="I211" s="2" t="str">
        <f>IF(VLOOKUP($B211,Q,14,FALSE)=0,"",(VLOOKUP($B211,Q,15,FALSE)))</f>
        <v/>
      </c>
      <c r="J211" s="2" t="str">
        <f>IF(VLOOKUP($B211,Q,14,FALSE)=0,"",(VLOOKUP($B211,Q,16,FALSE)))</f>
        <v/>
      </c>
      <c r="K211" s="2" t="str">
        <f>IF(VLOOKUP($B211,Q,14,FALSE)=0,"",(VLOOKUP($B211,Q,17,FALSE)))</f>
        <v/>
      </c>
    </row>
    <row r="212" spans="2:11" x14ac:dyDescent="0.6">
      <c r="B212" s="1">
        <v>215</v>
      </c>
      <c r="C212" s="2" t="str">
        <f>IF(VLOOKUP($B212,Q,2,FALSE)=0,"",(VLOOKUP($B212,Q,2,FALSE)))</f>
        <v/>
      </c>
      <c r="D212" s="2" t="str">
        <f>IF(VLOOKUP($B212,Q,3,FALSE)=0,"",(VLOOKUP($B212,Q,3,FALSE)))</f>
        <v/>
      </c>
      <c r="E212" s="2" t="str">
        <f>IF(VLOOKUP($B212,Q,8,FALSE)=0,"",(VLOOKUP($B212,Q,8,FALSE)))</f>
        <v/>
      </c>
      <c r="F212" s="19" t="str">
        <f>IF(VLOOKUP($B212,Q,9,FALSE)=0,"",(VLOOKUP($B212,Q,9,FALSE)))</f>
        <v/>
      </c>
      <c r="G212" s="2" t="str">
        <f>IF(VLOOKUP($B212,Q,10,FALSE)=0,"",(VLOOKUP($B212,Q,10,FALSE)))</f>
        <v/>
      </c>
      <c r="H212" s="2" t="str">
        <f>IF(VLOOKUP($B212,Q,14,FALSE)=0,"",(VLOOKUP($B212,Q,14,FALSE)))</f>
        <v/>
      </c>
      <c r="I212" s="2" t="str">
        <f>IF(VLOOKUP($B212,Q,14,FALSE)=0,"",(VLOOKUP($B212,Q,15,FALSE)))</f>
        <v/>
      </c>
      <c r="J212" s="2" t="str">
        <f>IF(VLOOKUP($B212,Q,14,FALSE)=0,"",(VLOOKUP($B212,Q,16,FALSE)))</f>
        <v/>
      </c>
      <c r="K212" s="2" t="str">
        <f>IF(VLOOKUP($B212,Q,14,FALSE)=0,"",(VLOOKUP($B212,Q,17,FALSE)))</f>
        <v/>
      </c>
    </row>
    <row r="213" spans="2:11" x14ac:dyDescent="0.6">
      <c r="B213" s="1">
        <v>216</v>
      </c>
      <c r="C213" s="2" t="str">
        <f>IF(VLOOKUP($B213,Q,2,FALSE)=0,"",(VLOOKUP($B213,Q,2,FALSE)))</f>
        <v/>
      </c>
      <c r="D213" s="2" t="str">
        <f>IF(VLOOKUP($B213,Q,3,FALSE)=0,"",(VLOOKUP($B213,Q,3,FALSE)))</f>
        <v/>
      </c>
      <c r="E213" s="2" t="str">
        <f>IF(VLOOKUP($B213,Q,8,FALSE)=0,"",(VLOOKUP($B213,Q,8,FALSE)))</f>
        <v/>
      </c>
      <c r="F213" s="19" t="str">
        <f>IF(VLOOKUP($B213,Q,9,FALSE)=0,"",(VLOOKUP($B213,Q,9,FALSE)))</f>
        <v/>
      </c>
      <c r="G213" s="2" t="str">
        <f>IF(VLOOKUP($B213,Q,10,FALSE)=0,"",(VLOOKUP($B213,Q,10,FALSE)))</f>
        <v/>
      </c>
      <c r="H213" s="2" t="str">
        <f>IF(VLOOKUP($B213,Q,14,FALSE)=0,"",(VLOOKUP($B213,Q,14,FALSE)))</f>
        <v/>
      </c>
      <c r="I213" s="2" t="str">
        <f>IF(VLOOKUP($B213,Q,14,FALSE)=0,"",(VLOOKUP($B213,Q,15,FALSE)))</f>
        <v/>
      </c>
      <c r="J213" s="2" t="str">
        <f>IF(VLOOKUP($B213,Q,14,FALSE)=0,"",(VLOOKUP($B213,Q,16,FALSE)))</f>
        <v/>
      </c>
      <c r="K213" s="2" t="str">
        <f>IF(VLOOKUP($B213,Q,14,FALSE)=0,"",(VLOOKUP($B213,Q,17,FALSE)))</f>
        <v/>
      </c>
    </row>
    <row r="214" spans="2:11" x14ac:dyDescent="0.6">
      <c r="B214" s="1">
        <v>217</v>
      </c>
      <c r="C214" s="2" t="str">
        <f>IF(VLOOKUP($B214,Q,2,FALSE)=0,"",(VLOOKUP($B214,Q,2,FALSE)))</f>
        <v/>
      </c>
      <c r="D214" s="2" t="str">
        <f>IF(VLOOKUP($B214,Q,3,FALSE)=0,"",(VLOOKUP($B214,Q,3,FALSE)))</f>
        <v/>
      </c>
      <c r="E214" s="2" t="str">
        <f>IF(VLOOKUP($B214,Q,8,FALSE)=0,"",(VLOOKUP($B214,Q,8,FALSE)))</f>
        <v/>
      </c>
      <c r="F214" s="19" t="str">
        <f>IF(VLOOKUP($B214,Q,9,FALSE)=0,"",(VLOOKUP($B214,Q,9,FALSE)))</f>
        <v/>
      </c>
      <c r="G214" s="2" t="str">
        <f>IF(VLOOKUP($B214,Q,10,FALSE)=0,"",(VLOOKUP($B214,Q,10,FALSE)))</f>
        <v/>
      </c>
      <c r="H214" s="2" t="str">
        <f>IF(VLOOKUP($B214,Q,14,FALSE)=0,"",(VLOOKUP($B214,Q,14,FALSE)))</f>
        <v/>
      </c>
      <c r="I214" s="2" t="str">
        <f>IF(VLOOKUP($B214,Q,14,FALSE)=0,"",(VLOOKUP($B214,Q,15,FALSE)))</f>
        <v/>
      </c>
      <c r="J214" s="2" t="str">
        <f>IF(VLOOKUP($B214,Q,14,FALSE)=0,"",(VLOOKUP($B214,Q,16,FALSE)))</f>
        <v/>
      </c>
      <c r="K214" s="2" t="str">
        <f>IF(VLOOKUP($B214,Q,14,FALSE)=0,"",(VLOOKUP($B214,Q,17,FALSE)))</f>
        <v/>
      </c>
    </row>
    <row r="215" spans="2:11" x14ac:dyDescent="0.6">
      <c r="B215" s="1">
        <v>218</v>
      </c>
      <c r="C215" s="2" t="str">
        <f>IF(VLOOKUP($B215,Q,2,FALSE)=0,"",(VLOOKUP($B215,Q,2,FALSE)))</f>
        <v/>
      </c>
      <c r="D215" s="2" t="str">
        <f>IF(VLOOKUP($B215,Q,3,FALSE)=0,"",(VLOOKUP($B215,Q,3,FALSE)))</f>
        <v/>
      </c>
      <c r="E215" s="2" t="str">
        <f>IF(VLOOKUP($B215,Q,8,FALSE)=0,"",(VLOOKUP($B215,Q,8,FALSE)))</f>
        <v/>
      </c>
      <c r="F215" s="19" t="str">
        <f>IF(VLOOKUP($B215,Q,9,FALSE)=0,"",(VLOOKUP($B215,Q,9,FALSE)))</f>
        <v/>
      </c>
      <c r="G215" s="2" t="str">
        <f>IF(VLOOKUP($B215,Q,10,FALSE)=0,"",(VLOOKUP($B215,Q,10,FALSE)))</f>
        <v/>
      </c>
      <c r="H215" s="2" t="str">
        <f>IF(VLOOKUP($B215,Q,14,FALSE)=0,"",(VLOOKUP($B215,Q,14,FALSE)))</f>
        <v/>
      </c>
      <c r="I215" s="2" t="str">
        <f>IF(VLOOKUP($B215,Q,14,FALSE)=0,"",(VLOOKUP($B215,Q,15,FALSE)))</f>
        <v/>
      </c>
      <c r="J215" s="2" t="str">
        <f>IF(VLOOKUP($B215,Q,14,FALSE)=0,"",(VLOOKUP($B215,Q,16,FALSE)))</f>
        <v/>
      </c>
      <c r="K215" s="2" t="str">
        <f>IF(VLOOKUP($B215,Q,14,FALSE)=0,"",(VLOOKUP($B215,Q,17,FALSE)))</f>
        <v/>
      </c>
    </row>
    <row r="216" spans="2:11" x14ac:dyDescent="0.6">
      <c r="B216" s="1">
        <v>219</v>
      </c>
      <c r="C216" s="2" t="str">
        <f>IF(VLOOKUP($B216,Q,2,FALSE)=0,"",(VLOOKUP($B216,Q,2,FALSE)))</f>
        <v/>
      </c>
      <c r="D216" s="2" t="str">
        <f>IF(VLOOKUP($B216,Q,3,FALSE)=0,"",(VLOOKUP($B216,Q,3,FALSE)))</f>
        <v/>
      </c>
      <c r="E216" s="2" t="str">
        <f>IF(VLOOKUP($B216,Q,8,FALSE)=0,"",(VLOOKUP($B216,Q,8,FALSE)))</f>
        <v/>
      </c>
      <c r="F216" s="19" t="str">
        <f>IF(VLOOKUP($B216,Q,9,FALSE)=0,"",(VLOOKUP($B216,Q,9,FALSE)))</f>
        <v/>
      </c>
      <c r="G216" s="2" t="str">
        <f>IF(VLOOKUP($B216,Q,10,FALSE)=0,"",(VLOOKUP($B216,Q,10,FALSE)))</f>
        <v/>
      </c>
      <c r="H216" s="2" t="str">
        <f>IF(VLOOKUP($B216,Q,14,FALSE)=0,"",(VLOOKUP($B216,Q,14,FALSE)))</f>
        <v/>
      </c>
      <c r="I216" s="2" t="str">
        <f>IF(VLOOKUP($B216,Q,14,FALSE)=0,"",(VLOOKUP($B216,Q,15,FALSE)))</f>
        <v/>
      </c>
      <c r="J216" s="2" t="str">
        <f>IF(VLOOKUP($B216,Q,14,FALSE)=0,"",(VLOOKUP($B216,Q,16,FALSE)))</f>
        <v/>
      </c>
      <c r="K216" s="2" t="str">
        <f>IF(VLOOKUP($B216,Q,14,FALSE)=0,"",(VLOOKUP($B216,Q,17,FALSE)))</f>
        <v/>
      </c>
    </row>
    <row r="217" spans="2:11" x14ac:dyDescent="0.6">
      <c r="B217" s="1">
        <v>220</v>
      </c>
      <c r="C217" s="2" t="str">
        <f>IF(VLOOKUP($B217,Q,2,FALSE)=0,"",(VLOOKUP($B217,Q,2,FALSE)))</f>
        <v/>
      </c>
      <c r="D217" s="2" t="str">
        <f>IF(VLOOKUP($B217,Q,3,FALSE)=0,"",(VLOOKUP($B217,Q,3,FALSE)))</f>
        <v/>
      </c>
      <c r="E217" s="2" t="str">
        <f>IF(VLOOKUP($B217,Q,8,FALSE)=0,"",(VLOOKUP($B217,Q,8,FALSE)))</f>
        <v/>
      </c>
      <c r="F217" s="19" t="str">
        <f>IF(VLOOKUP($B217,Q,9,FALSE)=0,"",(VLOOKUP($B217,Q,9,FALSE)))</f>
        <v/>
      </c>
      <c r="G217" s="2" t="str">
        <f>IF(VLOOKUP($B217,Q,10,FALSE)=0,"",(VLOOKUP($B217,Q,10,FALSE)))</f>
        <v/>
      </c>
      <c r="H217" s="2" t="str">
        <f>IF(VLOOKUP($B217,Q,14,FALSE)=0,"",(VLOOKUP($B217,Q,14,FALSE)))</f>
        <v/>
      </c>
      <c r="I217" s="2" t="str">
        <f>IF(VLOOKUP($B217,Q,14,FALSE)=0,"",(VLOOKUP($B217,Q,15,FALSE)))</f>
        <v/>
      </c>
      <c r="J217" s="2" t="str">
        <f>IF(VLOOKUP($B217,Q,14,FALSE)=0,"",(VLOOKUP($B217,Q,16,FALSE)))</f>
        <v/>
      </c>
      <c r="K217" s="2" t="str">
        <f>IF(VLOOKUP($B217,Q,14,FALSE)=0,"",(VLOOKUP($B217,Q,17,FALSE)))</f>
        <v/>
      </c>
    </row>
    <row r="218" spans="2:11" x14ac:dyDescent="0.6">
      <c r="B218" s="1">
        <v>221</v>
      </c>
      <c r="C218" s="2" t="str">
        <f>IF(VLOOKUP($B218,Q,2,FALSE)=0,"",(VLOOKUP($B218,Q,2,FALSE)))</f>
        <v/>
      </c>
      <c r="D218" s="2" t="str">
        <f>IF(VLOOKUP($B218,Q,3,FALSE)=0,"",(VLOOKUP($B218,Q,3,FALSE)))</f>
        <v/>
      </c>
      <c r="E218" s="2" t="str">
        <f>IF(VLOOKUP($B218,Q,8,FALSE)=0,"",(VLOOKUP($B218,Q,8,FALSE)))</f>
        <v/>
      </c>
      <c r="F218" s="19" t="str">
        <f>IF(VLOOKUP($B218,Q,9,FALSE)=0,"",(VLOOKUP($B218,Q,9,FALSE)))</f>
        <v/>
      </c>
      <c r="G218" s="2" t="str">
        <f>IF(VLOOKUP($B218,Q,10,FALSE)=0,"",(VLOOKUP($B218,Q,10,FALSE)))</f>
        <v/>
      </c>
      <c r="H218" s="2" t="str">
        <f>IF(VLOOKUP($B218,Q,14,FALSE)=0,"",(VLOOKUP($B218,Q,14,FALSE)))</f>
        <v/>
      </c>
      <c r="I218" s="2" t="str">
        <f>IF(VLOOKUP($B218,Q,14,FALSE)=0,"",(VLOOKUP($B218,Q,15,FALSE)))</f>
        <v/>
      </c>
      <c r="J218" s="2" t="str">
        <f>IF(VLOOKUP($B218,Q,14,FALSE)=0,"",(VLOOKUP($B218,Q,16,FALSE)))</f>
        <v/>
      </c>
      <c r="K218" s="2" t="str">
        <f>IF(VLOOKUP($B218,Q,14,FALSE)=0,"",(VLOOKUP($B218,Q,17,FALSE)))</f>
        <v/>
      </c>
    </row>
    <row r="219" spans="2:11" x14ac:dyDescent="0.6">
      <c r="B219" s="1">
        <v>222</v>
      </c>
      <c r="C219" s="2" t="str">
        <f>IF(VLOOKUP($B219,Q,2,FALSE)=0,"",(VLOOKUP($B219,Q,2,FALSE)))</f>
        <v/>
      </c>
      <c r="D219" s="2" t="str">
        <f>IF(VLOOKUP($B219,Q,3,FALSE)=0,"",(VLOOKUP($B219,Q,3,FALSE)))</f>
        <v/>
      </c>
      <c r="E219" s="2" t="str">
        <f>IF(VLOOKUP($B219,Q,8,FALSE)=0,"",(VLOOKUP($B219,Q,8,FALSE)))</f>
        <v/>
      </c>
      <c r="F219" s="19" t="str">
        <f>IF(VLOOKUP($B219,Q,9,FALSE)=0,"",(VLOOKUP($B219,Q,9,FALSE)))</f>
        <v/>
      </c>
      <c r="G219" s="2" t="str">
        <f>IF(VLOOKUP($B219,Q,10,FALSE)=0,"",(VLOOKUP($B219,Q,10,FALSE)))</f>
        <v/>
      </c>
      <c r="H219" s="2" t="str">
        <f>IF(VLOOKUP($B219,Q,14,FALSE)=0,"",(VLOOKUP($B219,Q,14,FALSE)))</f>
        <v/>
      </c>
      <c r="I219" s="2" t="str">
        <f>IF(VLOOKUP($B219,Q,14,FALSE)=0,"",(VLOOKUP($B219,Q,15,FALSE)))</f>
        <v/>
      </c>
      <c r="J219" s="2" t="str">
        <f>IF(VLOOKUP($B219,Q,14,FALSE)=0,"",(VLOOKUP($B219,Q,16,FALSE)))</f>
        <v/>
      </c>
      <c r="K219" s="2" t="str">
        <f>IF(VLOOKUP($B219,Q,14,FALSE)=0,"",(VLOOKUP($B219,Q,17,FALSE)))</f>
        <v/>
      </c>
    </row>
    <row r="220" spans="2:11" x14ac:dyDescent="0.6">
      <c r="B220" s="1">
        <v>223</v>
      </c>
      <c r="C220" s="2" t="str">
        <f>IF(VLOOKUP($B220,Q,2,FALSE)=0,"",(VLOOKUP($B220,Q,2,FALSE)))</f>
        <v/>
      </c>
      <c r="D220" s="2" t="str">
        <f>IF(VLOOKUP($B220,Q,3,FALSE)=0,"",(VLOOKUP($B220,Q,3,FALSE)))</f>
        <v/>
      </c>
      <c r="E220" s="2" t="str">
        <f>IF(VLOOKUP($B220,Q,8,FALSE)=0,"",(VLOOKUP($B220,Q,8,FALSE)))</f>
        <v/>
      </c>
      <c r="F220" s="19" t="str">
        <f>IF(VLOOKUP($B220,Q,9,FALSE)=0,"",(VLOOKUP($B220,Q,9,FALSE)))</f>
        <v/>
      </c>
      <c r="G220" s="2" t="str">
        <f>IF(VLOOKUP($B220,Q,10,FALSE)=0,"",(VLOOKUP($B220,Q,10,FALSE)))</f>
        <v/>
      </c>
      <c r="H220" s="2" t="str">
        <f>IF(VLOOKUP($B220,Q,14,FALSE)=0,"",(VLOOKUP($B220,Q,14,FALSE)))</f>
        <v/>
      </c>
      <c r="I220" s="2" t="str">
        <f>IF(VLOOKUP($B220,Q,14,FALSE)=0,"",(VLOOKUP($B220,Q,15,FALSE)))</f>
        <v/>
      </c>
      <c r="J220" s="2" t="str">
        <f>IF(VLOOKUP($B220,Q,14,FALSE)=0,"",(VLOOKUP($B220,Q,16,FALSE)))</f>
        <v/>
      </c>
      <c r="K220" s="2" t="str">
        <f>IF(VLOOKUP($B220,Q,14,FALSE)=0,"",(VLOOKUP($B220,Q,17,FALSE)))</f>
        <v/>
      </c>
    </row>
    <row r="221" spans="2:11" x14ac:dyDescent="0.6">
      <c r="B221" s="1">
        <v>224</v>
      </c>
      <c r="C221" s="2" t="str">
        <f>IF(VLOOKUP($B221,Q,2,FALSE)=0,"",(VLOOKUP($B221,Q,2,FALSE)))</f>
        <v/>
      </c>
      <c r="D221" s="2" t="str">
        <f>IF(VLOOKUP($B221,Q,3,FALSE)=0,"",(VLOOKUP($B221,Q,3,FALSE)))</f>
        <v/>
      </c>
      <c r="E221" s="2" t="str">
        <f>IF(VLOOKUP($B221,Q,8,FALSE)=0,"",(VLOOKUP($B221,Q,8,FALSE)))</f>
        <v/>
      </c>
      <c r="F221" s="19" t="str">
        <f>IF(VLOOKUP($B221,Q,9,FALSE)=0,"",(VLOOKUP($B221,Q,9,FALSE)))</f>
        <v/>
      </c>
      <c r="G221" s="2" t="str">
        <f>IF(VLOOKUP($B221,Q,10,FALSE)=0,"",(VLOOKUP($B221,Q,10,FALSE)))</f>
        <v/>
      </c>
      <c r="H221" s="2" t="str">
        <f>IF(VLOOKUP($B221,Q,14,FALSE)=0,"",(VLOOKUP($B221,Q,14,FALSE)))</f>
        <v/>
      </c>
      <c r="I221" s="2" t="str">
        <f>IF(VLOOKUP($B221,Q,14,FALSE)=0,"",(VLOOKUP($B221,Q,15,FALSE)))</f>
        <v/>
      </c>
      <c r="J221" s="2" t="str">
        <f>IF(VLOOKUP($B221,Q,14,FALSE)=0,"",(VLOOKUP($B221,Q,16,FALSE)))</f>
        <v/>
      </c>
      <c r="K221" s="2" t="str">
        <f>IF(VLOOKUP($B221,Q,14,FALSE)=0,"",(VLOOKUP($B221,Q,17,FALSE)))</f>
        <v/>
      </c>
    </row>
    <row r="222" spans="2:11" x14ac:dyDescent="0.6">
      <c r="B222" s="1">
        <v>225</v>
      </c>
      <c r="C222" s="2" t="str">
        <f>IF(VLOOKUP($B222,Q,2,FALSE)=0,"",(VLOOKUP($B222,Q,2,FALSE)))</f>
        <v/>
      </c>
      <c r="D222" s="2" t="str">
        <f>IF(VLOOKUP($B222,Q,3,FALSE)=0,"",(VLOOKUP($B222,Q,3,FALSE)))</f>
        <v/>
      </c>
      <c r="E222" s="2" t="str">
        <f>IF(VLOOKUP($B222,Q,8,FALSE)=0,"",(VLOOKUP($B222,Q,8,FALSE)))</f>
        <v/>
      </c>
      <c r="F222" s="19" t="str">
        <f>IF(VLOOKUP($B222,Q,9,FALSE)=0,"",(VLOOKUP($B222,Q,9,FALSE)))</f>
        <v/>
      </c>
      <c r="G222" s="2" t="str">
        <f>IF(VLOOKUP($B222,Q,10,FALSE)=0,"",(VLOOKUP($B222,Q,10,FALSE)))</f>
        <v/>
      </c>
      <c r="H222" s="2" t="str">
        <f>IF(VLOOKUP($B222,Q,14,FALSE)=0,"",(VLOOKUP($B222,Q,14,FALSE)))</f>
        <v/>
      </c>
      <c r="I222" s="2" t="str">
        <f>IF(VLOOKUP($B222,Q,14,FALSE)=0,"",(VLOOKUP($B222,Q,15,FALSE)))</f>
        <v/>
      </c>
      <c r="J222" s="2" t="str">
        <f>IF(VLOOKUP($B222,Q,14,FALSE)=0,"",(VLOOKUP($B222,Q,16,FALSE)))</f>
        <v/>
      </c>
      <c r="K222" s="2" t="str">
        <f>IF(VLOOKUP($B222,Q,14,FALSE)=0,"",(VLOOKUP($B222,Q,17,FALSE)))</f>
        <v/>
      </c>
    </row>
    <row r="223" spans="2:11" x14ac:dyDescent="0.6">
      <c r="B223" s="1">
        <v>226</v>
      </c>
      <c r="C223" s="2" t="str">
        <f>IF(VLOOKUP($B223,Q,2,FALSE)=0,"",(VLOOKUP($B223,Q,2,FALSE)))</f>
        <v/>
      </c>
      <c r="D223" s="2" t="str">
        <f>IF(VLOOKUP($B223,Q,3,FALSE)=0,"",(VLOOKUP($B223,Q,3,FALSE)))</f>
        <v/>
      </c>
      <c r="E223" s="2" t="str">
        <f>IF(VLOOKUP($B223,Q,8,FALSE)=0,"",(VLOOKUP($B223,Q,8,FALSE)))</f>
        <v/>
      </c>
      <c r="F223" s="19" t="str">
        <f>IF(VLOOKUP($B223,Q,9,FALSE)=0,"",(VLOOKUP($B223,Q,9,FALSE)))</f>
        <v/>
      </c>
      <c r="G223" s="2" t="str">
        <f>IF(VLOOKUP($B223,Q,10,FALSE)=0,"",(VLOOKUP($B223,Q,10,FALSE)))</f>
        <v/>
      </c>
      <c r="H223" s="2" t="str">
        <f>IF(VLOOKUP($B223,Q,14,FALSE)=0,"",(VLOOKUP($B223,Q,14,FALSE)))</f>
        <v/>
      </c>
      <c r="I223" s="2" t="str">
        <f>IF(VLOOKUP($B223,Q,14,FALSE)=0,"",(VLOOKUP($B223,Q,15,FALSE)))</f>
        <v/>
      </c>
      <c r="J223" s="2" t="str">
        <f>IF(VLOOKUP($B223,Q,14,FALSE)=0,"",(VLOOKUP($B223,Q,16,FALSE)))</f>
        <v/>
      </c>
      <c r="K223" s="2" t="str">
        <f>IF(VLOOKUP($B223,Q,14,FALSE)=0,"",(VLOOKUP($B223,Q,17,FALSE)))</f>
        <v/>
      </c>
    </row>
    <row r="224" spans="2:11" x14ac:dyDescent="0.6">
      <c r="B224" s="1">
        <v>227</v>
      </c>
      <c r="C224" s="2" t="str">
        <f>IF(VLOOKUP($B224,Q,2,FALSE)=0,"",(VLOOKUP($B224,Q,2,FALSE)))</f>
        <v/>
      </c>
      <c r="D224" s="2" t="str">
        <f>IF(VLOOKUP($B224,Q,3,FALSE)=0,"",(VLOOKUP($B224,Q,3,FALSE)))</f>
        <v/>
      </c>
      <c r="E224" s="2" t="str">
        <f>IF(VLOOKUP($B224,Q,8,FALSE)=0,"",(VLOOKUP($B224,Q,8,FALSE)))</f>
        <v/>
      </c>
      <c r="F224" s="19" t="str">
        <f>IF(VLOOKUP($B224,Q,9,FALSE)=0,"",(VLOOKUP($B224,Q,9,FALSE)))</f>
        <v/>
      </c>
      <c r="G224" s="2" t="str">
        <f>IF(VLOOKUP($B224,Q,10,FALSE)=0,"",(VLOOKUP($B224,Q,10,FALSE)))</f>
        <v/>
      </c>
      <c r="H224" s="2" t="str">
        <f>IF(VLOOKUP($B224,Q,14,FALSE)=0,"",(VLOOKUP($B224,Q,14,FALSE)))</f>
        <v/>
      </c>
      <c r="I224" s="2" t="str">
        <f>IF(VLOOKUP($B224,Q,14,FALSE)=0,"",(VLOOKUP($B224,Q,15,FALSE)))</f>
        <v/>
      </c>
      <c r="J224" s="2" t="str">
        <f>IF(VLOOKUP($B224,Q,14,FALSE)=0,"",(VLOOKUP($B224,Q,16,FALSE)))</f>
        <v/>
      </c>
      <c r="K224" s="2" t="str">
        <f>IF(VLOOKUP($B224,Q,14,FALSE)=0,"",(VLOOKUP($B224,Q,17,FALSE)))</f>
        <v/>
      </c>
    </row>
    <row r="225" spans="2:11" x14ac:dyDescent="0.6">
      <c r="B225" s="1">
        <v>228</v>
      </c>
      <c r="C225" s="2" t="str">
        <f>IF(VLOOKUP($B225,Q,2,FALSE)=0,"",(VLOOKUP($B225,Q,2,FALSE)))</f>
        <v/>
      </c>
      <c r="D225" s="2" t="str">
        <f>IF(VLOOKUP($B225,Q,3,FALSE)=0,"",(VLOOKUP($B225,Q,3,FALSE)))</f>
        <v/>
      </c>
      <c r="E225" s="2" t="str">
        <f>IF(VLOOKUP($B225,Q,8,FALSE)=0,"",(VLOOKUP($B225,Q,8,FALSE)))</f>
        <v/>
      </c>
      <c r="F225" s="19" t="str">
        <f>IF(VLOOKUP($B225,Q,9,FALSE)=0,"",(VLOOKUP($B225,Q,9,FALSE)))</f>
        <v/>
      </c>
      <c r="G225" s="2" t="str">
        <f>IF(VLOOKUP($B225,Q,10,FALSE)=0,"",(VLOOKUP($B225,Q,10,FALSE)))</f>
        <v/>
      </c>
      <c r="H225" s="2" t="str">
        <f>IF(VLOOKUP($B225,Q,14,FALSE)=0,"",(VLOOKUP($B225,Q,14,FALSE)))</f>
        <v/>
      </c>
      <c r="I225" s="2" t="str">
        <f>IF(VLOOKUP($B225,Q,14,FALSE)=0,"",(VLOOKUP($B225,Q,15,FALSE)))</f>
        <v/>
      </c>
      <c r="J225" s="2" t="str">
        <f>IF(VLOOKUP($B225,Q,14,FALSE)=0,"",(VLOOKUP($B225,Q,16,FALSE)))</f>
        <v/>
      </c>
      <c r="K225" s="2" t="str">
        <f>IF(VLOOKUP($B225,Q,14,FALSE)=0,"",(VLOOKUP($B225,Q,17,FALSE)))</f>
        <v/>
      </c>
    </row>
    <row r="226" spans="2:11" x14ac:dyDescent="0.6">
      <c r="B226" s="1">
        <v>229</v>
      </c>
      <c r="C226" s="2" t="str">
        <f>IF(VLOOKUP($B226,Q,2,FALSE)=0,"",(VLOOKUP($B226,Q,2,FALSE)))</f>
        <v/>
      </c>
      <c r="D226" s="2" t="str">
        <f>IF(VLOOKUP($B226,Q,3,FALSE)=0,"",(VLOOKUP($B226,Q,3,FALSE)))</f>
        <v/>
      </c>
      <c r="E226" s="2" t="str">
        <f>IF(VLOOKUP($B226,Q,8,FALSE)=0,"",(VLOOKUP($B226,Q,8,FALSE)))</f>
        <v/>
      </c>
      <c r="F226" s="19" t="str">
        <f>IF(VLOOKUP($B226,Q,9,FALSE)=0,"",(VLOOKUP($B226,Q,9,FALSE)))</f>
        <v/>
      </c>
      <c r="G226" s="2" t="str">
        <f>IF(VLOOKUP($B226,Q,10,FALSE)=0,"",(VLOOKUP($B226,Q,10,FALSE)))</f>
        <v/>
      </c>
      <c r="H226" s="2" t="str">
        <f>IF(VLOOKUP($B226,Q,14,FALSE)=0,"",(VLOOKUP($B226,Q,14,FALSE)))</f>
        <v/>
      </c>
      <c r="I226" s="2" t="str">
        <f>IF(VLOOKUP($B226,Q,14,FALSE)=0,"",(VLOOKUP($B226,Q,15,FALSE)))</f>
        <v/>
      </c>
      <c r="J226" s="2" t="str">
        <f>IF(VLOOKUP($B226,Q,14,FALSE)=0,"",(VLOOKUP($B226,Q,16,FALSE)))</f>
        <v/>
      </c>
      <c r="K226" s="2" t="str">
        <f>IF(VLOOKUP($B226,Q,14,FALSE)=0,"",(VLOOKUP($B226,Q,17,FALSE)))</f>
        <v/>
      </c>
    </row>
    <row r="227" spans="2:11" x14ac:dyDescent="0.6">
      <c r="B227" s="1">
        <v>230</v>
      </c>
      <c r="C227" s="2" t="str">
        <f>IF(VLOOKUP($B227,Q,2,FALSE)=0,"",(VLOOKUP($B227,Q,2,FALSE)))</f>
        <v/>
      </c>
      <c r="D227" s="2" t="str">
        <f>IF(VLOOKUP($B227,Q,3,FALSE)=0,"",(VLOOKUP($B227,Q,3,FALSE)))</f>
        <v/>
      </c>
      <c r="E227" s="2" t="str">
        <f>IF(VLOOKUP($B227,Q,8,FALSE)=0,"",(VLOOKUP($B227,Q,8,FALSE)))</f>
        <v/>
      </c>
      <c r="F227" s="19" t="str">
        <f>IF(VLOOKUP($B227,Q,9,FALSE)=0,"",(VLOOKUP($B227,Q,9,FALSE)))</f>
        <v/>
      </c>
      <c r="G227" s="2" t="str">
        <f>IF(VLOOKUP($B227,Q,10,FALSE)=0,"",(VLOOKUP($B227,Q,10,FALSE)))</f>
        <v/>
      </c>
      <c r="H227" s="2" t="str">
        <f>IF(VLOOKUP($B227,Q,14,FALSE)=0,"",(VLOOKUP($B227,Q,14,FALSE)))</f>
        <v/>
      </c>
      <c r="I227" s="2" t="str">
        <f>IF(VLOOKUP($B227,Q,14,FALSE)=0,"",(VLOOKUP($B227,Q,15,FALSE)))</f>
        <v/>
      </c>
      <c r="J227" s="2" t="str">
        <f>IF(VLOOKUP($B227,Q,14,FALSE)=0,"",(VLOOKUP($B227,Q,16,FALSE)))</f>
        <v/>
      </c>
      <c r="K227" s="2" t="str">
        <f>IF(VLOOKUP($B227,Q,14,FALSE)=0,"",(VLOOKUP($B227,Q,17,FALSE)))</f>
        <v/>
      </c>
    </row>
    <row r="228" spans="2:11" x14ac:dyDescent="0.6">
      <c r="B228" s="1">
        <v>231</v>
      </c>
      <c r="C228" s="2" t="str">
        <f>IF(VLOOKUP($B228,Q,2,FALSE)=0,"",(VLOOKUP($B228,Q,2,FALSE)))</f>
        <v/>
      </c>
      <c r="D228" s="2" t="str">
        <f>IF(VLOOKUP($B228,Q,3,FALSE)=0,"",(VLOOKUP($B228,Q,3,FALSE)))</f>
        <v/>
      </c>
      <c r="E228" s="2" t="str">
        <f>IF(VLOOKUP($B228,Q,8,FALSE)=0,"",(VLOOKUP($B228,Q,8,FALSE)))</f>
        <v/>
      </c>
      <c r="F228" s="19" t="str">
        <f>IF(VLOOKUP($B228,Q,9,FALSE)=0,"",(VLOOKUP($B228,Q,9,FALSE)))</f>
        <v/>
      </c>
      <c r="G228" s="2" t="str">
        <f>IF(VLOOKUP($B228,Q,10,FALSE)=0,"",(VLOOKUP($B228,Q,10,FALSE)))</f>
        <v/>
      </c>
      <c r="H228" s="2" t="str">
        <f>IF(VLOOKUP($B228,Q,14,FALSE)=0,"",(VLOOKUP($B228,Q,14,FALSE)))</f>
        <v/>
      </c>
      <c r="I228" s="2" t="str">
        <f>IF(VLOOKUP($B228,Q,14,FALSE)=0,"",(VLOOKUP($B228,Q,15,FALSE)))</f>
        <v/>
      </c>
      <c r="J228" s="2" t="str">
        <f>IF(VLOOKUP($B228,Q,14,FALSE)=0,"",(VLOOKUP($B228,Q,16,FALSE)))</f>
        <v/>
      </c>
      <c r="K228" s="2" t="str">
        <f>IF(VLOOKUP($B228,Q,14,FALSE)=0,"",(VLOOKUP($B228,Q,17,FALSE)))</f>
        <v/>
      </c>
    </row>
    <row r="229" spans="2:11" x14ac:dyDescent="0.6">
      <c r="B229" s="1">
        <v>232</v>
      </c>
      <c r="C229" s="2" t="str">
        <f>IF(VLOOKUP($B229,Q,2,FALSE)=0,"",(VLOOKUP($B229,Q,2,FALSE)))</f>
        <v/>
      </c>
      <c r="D229" s="2" t="str">
        <f>IF(VLOOKUP($B229,Q,3,FALSE)=0,"",(VLOOKUP($B229,Q,3,FALSE)))</f>
        <v/>
      </c>
      <c r="E229" s="2" t="str">
        <f>IF(VLOOKUP($B229,Q,8,FALSE)=0,"",(VLOOKUP($B229,Q,8,FALSE)))</f>
        <v/>
      </c>
      <c r="F229" s="19" t="str">
        <f>IF(VLOOKUP($B229,Q,9,FALSE)=0,"",(VLOOKUP($B229,Q,9,FALSE)))</f>
        <v/>
      </c>
      <c r="G229" s="2" t="str">
        <f>IF(VLOOKUP($B229,Q,10,FALSE)=0,"",(VLOOKUP($B229,Q,10,FALSE)))</f>
        <v/>
      </c>
      <c r="H229" s="2" t="str">
        <f>IF(VLOOKUP($B229,Q,14,FALSE)=0,"",(VLOOKUP($B229,Q,14,FALSE)))</f>
        <v/>
      </c>
      <c r="I229" s="2" t="str">
        <f>IF(VLOOKUP($B229,Q,14,FALSE)=0,"",(VLOOKUP($B229,Q,15,FALSE)))</f>
        <v/>
      </c>
      <c r="J229" s="2" t="str">
        <f>IF(VLOOKUP($B229,Q,14,FALSE)=0,"",(VLOOKUP($B229,Q,16,FALSE)))</f>
        <v/>
      </c>
      <c r="K229" s="2" t="str">
        <f>IF(VLOOKUP($B229,Q,14,FALSE)=0,"",(VLOOKUP($B229,Q,17,FALSE)))</f>
        <v/>
      </c>
    </row>
    <row r="230" spans="2:11" x14ac:dyDescent="0.6">
      <c r="B230" s="1">
        <v>233</v>
      </c>
      <c r="C230" s="2" t="str">
        <f>IF(VLOOKUP($B230,Q,2,FALSE)=0,"",(VLOOKUP($B230,Q,2,FALSE)))</f>
        <v/>
      </c>
      <c r="D230" s="2" t="str">
        <f>IF(VLOOKUP($B230,Q,3,FALSE)=0,"",(VLOOKUP($B230,Q,3,FALSE)))</f>
        <v/>
      </c>
      <c r="E230" s="2" t="str">
        <f>IF(VLOOKUP($B230,Q,8,FALSE)=0,"",(VLOOKUP($B230,Q,8,FALSE)))</f>
        <v/>
      </c>
      <c r="F230" s="19" t="str">
        <f>IF(VLOOKUP($B230,Q,9,FALSE)=0,"",(VLOOKUP($B230,Q,9,FALSE)))</f>
        <v/>
      </c>
      <c r="G230" s="2" t="str">
        <f>IF(VLOOKUP($B230,Q,10,FALSE)=0,"",(VLOOKUP($B230,Q,10,FALSE)))</f>
        <v/>
      </c>
      <c r="H230" s="2" t="str">
        <f>IF(VLOOKUP($B230,Q,14,FALSE)=0,"",(VLOOKUP($B230,Q,14,FALSE)))</f>
        <v/>
      </c>
      <c r="I230" s="2" t="str">
        <f>IF(VLOOKUP($B230,Q,14,FALSE)=0,"",(VLOOKUP($B230,Q,15,FALSE)))</f>
        <v/>
      </c>
      <c r="J230" s="2" t="str">
        <f>IF(VLOOKUP($B230,Q,14,FALSE)=0,"",(VLOOKUP($B230,Q,16,FALSE)))</f>
        <v/>
      </c>
      <c r="K230" s="2" t="str">
        <f>IF(VLOOKUP($B230,Q,14,FALSE)=0,"",(VLOOKUP($B230,Q,17,FALSE)))</f>
        <v/>
      </c>
    </row>
    <row r="231" spans="2:11" x14ac:dyDescent="0.6">
      <c r="B231" s="1">
        <v>234</v>
      </c>
      <c r="C231" s="2" t="str">
        <f>IF(VLOOKUP($B231,Q,2,FALSE)=0,"",(VLOOKUP($B231,Q,2,FALSE)))</f>
        <v/>
      </c>
      <c r="D231" s="2" t="str">
        <f>IF(VLOOKUP($B231,Q,3,FALSE)=0,"",(VLOOKUP($B231,Q,3,FALSE)))</f>
        <v/>
      </c>
      <c r="E231" s="2" t="str">
        <f>IF(VLOOKUP($B231,Q,8,FALSE)=0,"",(VLOOKUP($B231,Q,8,FALSE)))</f>
        <v/>
      </c>
      <c r="F231" s="19" t="str">
        <f>IF(VLOOKUP($B231,Q,9,FALSE)=0,"",(VLOOKUP($B231,Q,9,FALSE)))</f>
        <v/>
      </c>
      <c r="G231" s="2" t="str">
        <f>IF(VLOOKUP($B231,Q,10,FALSE)=0,"",(VLOOKUP($B231,Q,10,FALSE)))</f>
        <v/>
      </c>
      <c r="H231" s="2" t="str">
        <f>IF(VLOOKUP($B231,Q,14,FALSE)=0,"",(VLOOKUP($B231,Q,14,FALSE)))</f>
        <v/>
      </c>
      <c r="I231" s="2" t="str">
        <f>IF(VLOOKUP($B231,Q,14,FALSE)=0,"",(VLOOKUP($B231,Q,15,FALSE)))</f>
        <v/>
      </c>
      <c r="J231" s="2" t="str">
        <f>IF(VLOOKUP($B231,Q,14,FALSE)=0,"",(VLOOKUP($B231,Q,16,FALSE)))</f>
        <v/>
      </c>
      <c r="K231" s="2" t="str">
        <f>IF(VLOOKUP($B231,Q,14,FALSE)=0,"",(VLOOKUP($B231,Q,17,FALSE)))</f>
        <v/>
      </c>
    </row>
    <row r="232" spans="2:11" x14ac:dyDescent="0.6">
      <c r="B232" s="1">
        <v>235</v>
      </c>
      <c r="C232" s="2" t="str">
        <f>IF(VLOOKUP($B232,Q,2,FALSE)=0,"",(VLOOKUP($B232,Q,2,FALSE)))</f>
        <v/>
      </c>
      <c r="D232" s="2" t="str">
        <f>IF(VLOOKUP($B232,Q,3,FALSE)=0,"",(VLOOKUP($B232,Q,3,FALSE)))</f>
        <v/>
      </c>
      <c r="E232" s="2" t="str">
        <f>IF(VLOOKUP($B232,Q,8,FALSE)=0,"",(VLOOKUP($B232,Q,8,FALSE)))</f>
        <v/>
      </c>
      <c r="F232" s="19" t="str">
        <f>IF(VLOOKUP($B232,Q,9,FALSE)=0,"",(VLOOKUP($B232,Q,9,FALSE)))</f>
        <v/>
      </c>
      <c r="G232" s="2" t="str">
        <f>IF(VLOOKUP($B232,Q,10,FALSE)=0,"",(VLOOKUP($B232,Q,10,FALSE)))</f>
        <v/>
      </c>
      <c r="H232" s="2" t="str">
        <f>IF(VLOOKUP($B232,Q,14,FALSE)=0,"",(VLOOKUP($B232,Q,14,FALSE)))</f>
        <v/>
      </c>
      <c r="I232" s="2" t="str">
        <f>IF(VLOOKUP($B232,Q,14,FALSE)=0,"",(VLOOKUP($B232,Q,15,FALSE)))</f>
        <v/>
      </c>
      <c r="J232" s="2" t="str">
        <f>IF(VLOOKUP($B232,Q,14,FALSE)=0,"",(VLOOKUP($B232,Q,16,FALSE)))</f>
        <v/>
      </c>
      <c r="K232" s="2" t="str">
        <f>IF(VLOOKUP($B232,Q,14,FALSE)=0,"",(VLOOKUP($B232,Q,17,FALSE)))</f>
        <v/>
      </c>
    </row>
    <row r="233" spans="2:11" x14ac:dyDescent="0.6">
      <c r="B233" s="1">
        <v>236</v>
      </c>
      <c r="C233" s="2" t="str">
        <f>IF(VLOOKUP($B233,Q,2,FALSE)=0,"",(VLOOKUP($B233,Q,2,FALSE)))</f>
        <v/>
      </c>
      <c r="D233" s="2" t="str">
        <f>IF(VLOOKUP($B233,Q,3,FALSE)=0,"",(VLOOKUP($B233,Q,3,FALSE)))</f>
        <v/>
      </c>
      <c r="E233" s="2" t="str">
        <f>IF(VLOOKUP($B233,Q,8,FALSE)=0,"",(VLOOKUP($B233,Q,8,FALSE)))</f>
        <v/>
      </c>
      <c r="F233" s="19" t="str">
        <f>IF(VLOOKUP($B233,Q,9,FALSE)=0,"",(VLOOKUP($B233,Q,9,FALSE)))</f>
        <v/>
      </c>
      <c r="G233" s="2" t="str">
        <f>IF(VLOOKUP($B233,Q,10,FALSE)=0,"",(VLOOKUP($B233,Q,10,FALSE)))</f>
        <v/>
      </c>
      <c r="H233" s="2" t="str">
        <f>IF(VLOOKUP($B233,Q,14,FALSE)=0,"",(VLOOKUP($B233,Q,14,FALSE)))</f>
        <v/>
      </c>
      <c r="I233" s="2" t="str">
        <f>IF(VLOOKUP($B233,Q,14,FALSE)=0,"",(VLOOKUP($B233,Q,15,FALSE)))</f>
        <v/>
      </c>
      <c r="J233" s="2" t="str">
        <f>IF(VLOOKUP($B233,Q,14,FALSE)=0,"",(VLOOKUP($B233,Q,16,FALSE)))</f>
        <v/>
      </c>
      <c r="K233" s="2" t="str">
        <f>IF(VLOOKUP($B233,Q,14,FALSE)=0,"",(VLOOKUP($B233,Q,17,FALSE)))</f>
        <v/>
      </c>
    </row>
    <row r="234" spans="2:11" x14ac:dyDescent="0.6">
      <c r="B234" s="1">
        <v>237</v>
      </c>
      <c r="C234" s="2" t="str">
        <f>IF(VLOOKUP($B234,Q,2,FALSE)=0,"",(VLOOKUP($B234,Q,2,FALSE)))</f>
        <v/>
      </c>
      <c r="D234" s="2" t="str">
        <f>IF(VLOOKUP($B234,Q,3,FALSE)=0,"",(VLOOKUP($B234,Q,3,FALSE)))</f>
        <v/>
      </c>
      <c r="E234" s="2" t="str">
        <f>IF(VLOOKUP($B234,Q,8,FALSE)=0,"",(VLOOKUP($B234,Q,8,FALSE)))</f>
        <v/>
      </c>
      <c r="F234" s="19" t="str">
        <f>IF(VLOOKUP($B234,Q,9,FALSE)=0,"",(VLOOKUP($B234,Q,9,FALSE)))</f>
        <v/>
      </c>
      <c r="G234" s="2" t="str">
        <f>IF(VLOOKUP($B234,Q,10,FALSE)=0,"",(VLOOKUP($B234,Q,10,FALSE)))</f>
        <v/>
      </c>
      <c r="H234" s="2" t="str">
        <f>IF(VLOOKUP($B234,Q,14,FALSE)=0,"",(VLOOKUP($B234,Q,14,FALSE)))</f>
        <v/>
      </c>
      <c r="I234" s="2" t="str">
        <f>IF(VLOOKUP($B234,Q,14,FALSE)=0,"",(VLOOKUP($B234,Q,15,FALSE)))</f>
        <v/>
      </c>
      <c r="J234" s="2" t="str">
        <f>IF(VLOOKUP($B234,Q,14,FALSE)=0,"",(VLOOKUP($B234,Q,16,FALSE)))</f>
        <v/>
      </c>
      <c r="K234" s="2" t="str">
        <f>IF(VLOOKUP($B234,Q,14,FALSE)=0,"",(VLOOKUP($B234,Q,17,FALSE)))</f>
        <v/>
      </c>
    </row>
    <row r="235" spans="2:11" x14ac:dyDescent="0.6">
      <c r="B235" s="1">
        <v>238</v>
      </c>
      <c r="C235" s="2" t="str">
        <f>IF(VLOOKUP($B235,Q,2,FALSE)=0,"",(VLOOKUP($B235,Q,2,FALSE)))</f>
        <v/>
      </c>
      <c r="D235" s="2" t="str">
        <f>IF(VLOOKUP($B235,Q,3,FALSE)=0,"",(VLOOKUP($B235,Q,3,FALSE)))</f>
        <v/>
      </c>
      <c r="E235" s="2" t="str">
        <f>IF(VLOOKUP($B235,Q,8,FALSE)=0,"",(VLOOKUP($B235,Q,8,FALSE)))</f>
        <v/>
      </c>
      <c r="F235" s="19" t="str">
        <f>IF(VLOOKUP($B235,Q,9,FALSE)=0,"",(VLOOKUP($B235,Q,9,FALSE)))</f>
        <v/>
      </c>
      <c r="G235" s="2" t="str">
        <f>IF(VLOOKUP($B235,Q,10,FALSE)=0,"",(VLOOKUP($B235,Q,10,FALSE)))</f>
        <v/>
      </c>
      <c r="H235" s="2" t="str">
        <f>IF(VLOOKUP($B235,Q,14,FALSE)=0,"",(VLOOKUP($B235,Q,14,FALSE)))</f>
        <v/>
      </c>
      <c r="I235" s="2" t="str">
        <f>IF(VLOOKUP($B235,Q,14,FALSE)=0,"",(VLOOKUP($B235,Q,15,FALSE)))</f>
        <v/>
      </c>
      <c r="J235" s="2" t="str">
        <f>IF(VLOOKUP($B235,Q,14,FALSE)=0,"",(VLOOKUP($B235,Q,16,FALSE)))</f>
        <v/>
      </c>
      <c r="K235" s="2" t="str">
        <f>IF(VLOOKUP($B235,Q,14,FALSE)=0,"",(VLOOKUP($B235,Q,17,FALSE)))</f>
        <v/>
      </c>
    </row>
    <row r="236" spans="2:11" x14ac:dyDescent="0.6">
      <c r="B236" s="1">
        <v>239</v>
      </c>
      <c r="C236" s="2" t="str">
        <f>IF(VLOOKUP($B236,Q,2,FALSE)=0,"",(VLOOKUP($B236,Q,2,FALSE)))</f>
        <v/>
      </c>
      <c r="D236" s="2" t="str">
        <f>IF(VLOOKUP($B236,Q,3,FALSE)=0,"",(VLOOKUP($B236,Q,3,FALSE)))</f>
        <v/>
      </c>
      <c r="E236" s="2" t="str">
        <f>IF(VLOOKUP($B236,Q,8,FALSE)=0,"",(VLOOKUP($B236,Q,8,FALSE)))</f>
        <v/>
      </c>
      <c r="F236" s="19" t="str">
        <f>IF(VLOOKUP($B236,Q,9,FALSE)=0,"",(VLOOKUP($B236,Q,9,FALSE)))</f>
        <v/>
      </c>
      <c r="G236" s="2" t="str">
        <f>IF(VLOOKUP($B236,Q,10,FALSE)=0,"",(VLOOKUP($B236,Q,10,FALSE)))</f>
        <v/>
      </c>
      <c r="H236" s="2" t="str">
        <f>IF(VLOOKUP($B236,Q,14,FALSE)=0,"",(VLOOKUP($B236,Q,14,FALSE)))</f>
        <v/>
      </c>
      <c r="I236" s="2" t="str">
        <f>IF(VLOOKUP($B236,Q,14,FALSE)=0,"",(VLOOKUP($B236,Q,15,FALSE)))</f>
        <v/>
      </c>
      <c r="J236" s="2" t="str">
        <f>IF(VLOOKUP($B236,Q,14,FALSE)=0,"",(VLOOKUP($B236,Q,16,FALSE)))</f>
        <v/>
      </c>
      <c r="K236" s="2" t="str">
        <f>IF(VLOOKUP($B236,Q,14,FALSE)=0,"",(VLOOKUP($B236,Q,17,FALSE)))</f>
        <v/>
      </c>
    </row>
    <row r="237" spans="2:11" x14ac:dyDescent="0.6">
      <c r="B237" s="1">
        <v>240</v>
      </c>
      <c r="C237" s="2" t="str">
        <f>IF(VLOOKUP($B237,Q,2,FALSE)=0,"",(VLOOKUP($B237,Q,2,FALSE)))</f>
        <v/>
      </c>
      <c r="D237" s="2" t="str">
        <f>IF(VLOOKUP($B237,Q,3,FALSE)=0,"",(VLOOKUP($B237,Q,3,FALSE)))</f>
        <v/>
      </c>
      <c r="E237" s="2" t="str">
        <f>IF(VLOOKUP($B237,Q,8,FALSE)=0,"",(VLOOKUP($B237,Q,8,FALSE)))</f>
        <v/>
      </c>
      <c r="F237" s="19" t="str">
        <f>IF(VLOOKUP($B237,Q,9,FALSE)=0,"",(VLOOKUP($B237,Q,9,FALSE)))</f>
        <v/>
      </c>
      <c r="G237" s="2" t="str">
        <f>IF(VLOOKUP($B237,Q,10,FALSE)=0,"",(VLOOKUP($B237,Q,10,FALSE)))</f>
        <v/>
      </c>
      <c r="H237" s="2" t="str">
        <f>IF(VLOOKUP($B237,Q,14,FALSE)=0,"",(VLOOKUP($B237,Q,14,FALSE)))</f>
        <v/>
      </c>
      <c r="I237" s="2" t="str">
        <f>IF(VLOOKUP($B237,Q,14,FALSE)=0,"",(VLOOKUP($B237,Q,15,FALSE)))</f>
        <v/>
      </c>
      <c r="J237" s="2" t="str">
        <f>IF(VLOOKUP($B237,Q,14,FALSE)=0,"",(VLOOKUP($B237,Q,16,FALSE)))</f>
        <v/>
      </c>
      <c r="K237" s="2" t="str">
        <f>IF(VLOOKUP($B237,Q,14,FALSE)=0,"",(VLOOKUP($B237,Q,17,FALSE)))</f>
        <v/>
      </c>
    </row>
    <row r="238" spans="2:11" x14ac:dyDescent="0.6">
      <c r="B238" s="1">
        <v>241</v>
      </c>
      <c r="C238" s="2" t="str">
        <f>IF(VLOOKUP($B238,Q,2,FALSE)=0,"",(VLOOKUP($B238,Q,2,FALSE)))</f>
        <v/>
      </c>
      <c r="D238" s="2" t="str">
        <f>IF(VLOOKUP($B238,Q,3,FALSE)=0,"",(VLOOKUP($B238,Q,3,FALSE)))</f>
        <v/>
      </c>
      <c r="E238" s="2" t="str">
        <f>IF(VLOOKUP($B238,Q,8,FALSE)=0,"",(VLOOKUP($B238,Q,8,FALSE)))</f>
        <v/>
      </c>
      <c r="F238" s="19" t="str">
        <f>IF(VLOOKUP($B238,Q,9,FALSE)=0,"",(VLOOKUP($B238,Q,9,FALSE)))</f>
        <v/>
      </c>
      <c r="G238" s="2" t="str">
        <f>IF(VLOOKUP($B238,Q,10,FALSE)=0,"",(VLOOKUP($B238,Q,10,FALSE)))</f>
        <v/>
      </c>
      <c r="H238" s="2" t="str">
        <f>IF(VLOOKUP($B238,Q,14,FALSE)=0,"",(VLOOKUP($B238,Q,14,FALSE)))</f>
        <v/>
      </c>
      <c r="I238" s="2" t="str">
        <f>IF(VLOOKUP($B238,Q,14,FALSE)=0,"",(VLOOKUP($B238,Q,15,FALSE)))</f>
        <v/>
      </c>
      <c r="J238" s="2" t="str">
        <f>IF(VLOOKUP($B238,Q,14,FALSE)=0,"",(VLOOKUP($B238,Q,16,FALSE)))</f>
        <v/>
      </c>
      <c r="K238" s="2" t="str">
        <f>IF(VLOOKUP($B238,Q,14,FALSE)=0,"",(VLOOKUP($B238,Q,17,FALSE)))</f>
        <v/>
      </c>
    </row>
    <row r="239" spans="2:11" x14ac:dyDescent="0.6">
      <c r="B239" s="1">
        <v>242</v>
      </c>
      <c r="C239" s="2" t="str">
        <f>IF(VLOOKUP($B239,Q,2,FALSE)=0,"",(VLOOKUP($B239,Q,2,FALSE)))</f>
        <v/>
      </c>
      <c r="D239" s="2" t="str">
        <f>IF(VLOOKUP($B239,Q,3,FALSE)=0,"",(VLOOKUP($B239,Q,3,FALSE)))</f>
        <v/>
      </c>
      <c r="E239" s="2" t="str">
        <f>IF(VLOOKUP($B239,Q,8,FALSE)=0,"",(VLOOKUP($B239,Q,8,FALSE)))</f>
        <v/>
      </c>
      <c r="F239" s="19" t="str">
        <f>IF(VLOOKUP($B239,Q,9,FALSE)=0,"",(VLOOKUP($B239,Q,9,FALSE)))</f>
        <v/>
      </c>
      <c r="G239" s="2" t="str">
        <f>IF(VLOOKUP($B239,Q,10,FALSE)=0,"",(VLOOKUP($B239,Q,10,FALSE)))</f>
        <v/>
      </c>
      <c r="H239" s="2" t="str">
        <f>IF(VLOOKUP($B239,Q,14,FALSE)=0,"",(VLOOKUP($B239,Q,14,FALSE)))</f>
        <v/>
      </c>
      <c r="I239" s="2" t="str">
        <f>IF(VLOOKUP($B239,Q,14,FALSE)=0,"",(VLOOKUP($B239,Q,15,FALSE)))</f>
        <v/>
      </c>
      <c r="J239" s="2" t="str">
        <f>IF(VLOOKUP($B239,Q,14,FALSE)=0,"",(VLOOKUP($B239,Q,16,FALSE)))</f>
        <v/>
      </c>
      <c r="K239" s="2" t="str">
        <f>IF(VLOOKUP($B239,Q,14,FALSE)=0,"",(VLOOKUP($B239,Q,17,FALSE)))</f>
        <v/>
      </c>
    </row>
    <row r="240" spans="2:11" x14ac:dyDescent="0.6">
      <c r="B240" s="1">
        <v>243</v>
      </c>
      <c r="C240" s="2" t="str">
        <f>IF(VLOOKUP($B240,Q,2,FALSE)=0,"",(VLOOKUP($B240,Q,2,FALSE)))</f>
        <v/>
      </c>
      <c r="D240" s="2" t="str">
        <f>IF(VLOOKUP($B240,Q,3,FALSE)=0,"",(VLOOKUP($B240,Q,3,FALSE)))</f>
        <v/>
      </c>
      <c r="E240" s="2" t="str">
        <f>IF(VLOOKUP($B240,Q,8,FALSE)=0,"",(VLOOKUP($B240,Q,8,FALSE)))</f>
        <v/>
      </c>
      <c r="F240" s="19" t="str">
        <f>IF(VLOOKUP($B240,Q,9,FALSE)=0,"",(VLOOKUP($B240,Q,9,FALSE)))</f>
        <v/>
      </c>
      <c r="G240" s="2" t="str">
        <f>IF(VLOOKUP($B240,Q,10,FALSE)=0,"",(VLOOKUP($B240,Q,10,FALSE)))</f>
        <v/>
      </c>
      <c r="H240" s="2" t="str">
        <f>IF(VLOOKUP($B240,Q,14,FALSE)=0,"",(VLOOKUP($B240,Q,14,FALSE)))</f>
        <v/>
      </c>
      <c r="I240" s="2" t="str">
        <f>IF(VLOOKUP($B240,Q,14,FALSE)=0,"",(VLOOKUP($B240,Q,15,FALSE)))</f>
        <v/>
      </c>
      <c r="J240" s="2" t="str">
        <f>IF(VLOOKUP($B240,Q,14,FALSE)=0,"",(VLOOKUP($B240,Q,16,FALSE)))</f>
        <v/>
      </c>
      <c r="K240" s="2" t="str">
        <f>IF(VLOOKUP($B240,Q,14,FALSE)=0,"",(VLOOKUP($B240,Q,17,FALSE)))</f>
        <v/>
      </c>
    </row>
    <row r="241" spans="2:11" x14ac:dyDescent="0.6">
      <c r="B241" s="1">
        <v>244</v>
      </c>
      <c r="C241" s="2" t="str">
        <f>IF(VLOOKUP($B241,Q,2,FALSE)=0,"",(VLOOKUP($B241,Q,2,FALSE)))</f>
        <v/>
      </c>
      <c r="D241" s="2" t="str">
        <f>IF(VLOOKUP($B241,Q,3,FALSE)=0,"",(VLOOKUP($B241,Q,3,FALSE)))</f>
        <v/>
      </c>
      <c r="E241" s="2" t="str">
        <f>IF(VLOOKUP($B241,Q,8,FALSE)=0,"",(VLOOKUP($B241,Q,8,FALSE)))</f>
        <v/>
      </c>
      <c r="F241" s="19" t="str">
        <f>IF(VLOOKUP($B241,Q,9,FALSE)=0,"",(VLOOKUP($B241,Q,9,FALSE)))</f>
        <v/>
      </c>
      <c r="G241" s="2" t="str">
        <f>IF(VLOOKUP($B241,Q,10,FALSE)=0,"",(VLOOKUP($B241,Q,10,FALSE)))</f>
        <v/>
      </c>
      <c r="H241" s="2" t="str">
        <f>IF(VLOOKUP($B241,Q,14,FALSE)=0,"",(VLOOKUP($B241,Q,14,FALSE)))</f>
        <v/>
      </c>
      <c r="I241" s="2" t="str">
        <f>IF(VLOOKUP($B241,Q,14,FALSE)=0,"",(VLOOKUP($B241,Q,15,FALSE)))</f>
        <v/>
      </c>
      <c r="J241" s="2" t="str">
        <f>IF(VLOOKUP($B241,Q,14,FALSE)=0,"",(VLOOKUP($B241,Q,16,FALSE)))</f>
        <v/>
      </c>
      <c r="K241" s="2" t="str">
        <f>IF(VLOOKUP($B241,Q,14,FALSE)=0,"",(VLOOKUP($B241,Q,17,FALSE)))</f>
        <v/>
      </c>
    </row>
    <row r="242" spans="2:11" x14ac:dyDescent="0.6">
      <c r="B242" s="1">
        <v>245</v>
      </c>
      <c r="C242" s="2" t="str">
        <f>IF(VLOOKUP($B242,Q,2,FALSE)=0,"",(VLOOKUP($B242,Q,2,FALSE)))</f>
        <v/>
      </c>
      <c r="D242" s="2" t="str">
        <f>IF(VLOOKUP($B242,Q,3,FALSE)=0,"",(VLOOKUP($B242,Q,3,FALSE)))</f>
        <v/>
      </c>
      <c r="E242" s="2" t="str">
        <f>IF(VLOOKUP($B242,Q,8,FALSE)=0,"",(VLOOKUP($B242,Q,8,FALSE)))</f>
        <v/>
      </c>
      <c r="F242" s="19" t="str">
        <f>IF(VLOOKUP($B242,Q,9,FALSE)=0,"",(VLOOKUP($B242,Q,9,FALSE)))</f>
        <v/>
      </c>
      <c r="G242" s="2" t="str">
        <f>IF(VLOOKUP($B242,Q,10,FALSE)=0,"",(VLOOKUP($B242,Q,10,FALSE)))</f>
        <v/>
      </c>
      <c r="H242" s="2" t="str">
        <f>IF(VLOOKUP($B242,Q,14,FALSE)=0,"",(VLOOKUP($B242,Q,14,FALSE)))</f>
        <v/>
      </c>
      <c r="I242" s="2" t="str">
        <f>IF(VLOOKUP($B242,Q,14,FALSE)=0,"",(VLOOKUP($B242,Q,15,FALSE)))</f>
        <v/>
      </c>
      <c r="J242" s="2" t="str">
        <f>IF(VLOOKUP($B242,Q,14,FALSE)=0,"",(VLOOKUP($B242,Q,16,FALSE)))</f>
        <v/>
      </c>
      <c r="K242" s="2" t="str">
        <f>IF(VLOOKUP($B242,Q,14,FALSE)=0,"",(VLOOKUP($B242,Q,17,FALSE)))</f>
        <v/>
      </c>
    </row>
    <row r="243" spans="2:11" x14ac:dyDescent="0.6">
      <c r="B243" s="1">
        <v>246</v>
      </c>
      <c r="C243" s="2" t="str">
        <f>IF(VLOOKUP($B243,Q,2,FALSE)=0,"",(VLOOKUP($B243,Q,2,FALSE)))</f>
        <v/>
      </c>
      <c r="D243" s="2" t="str">
        <f>IF(VLOOKUP($B243,Q,3,FALSE)=0,"",(VLOOKUP($B243,Q,3,FALSE)))</f>
        <v/>
      </c>
      <c r="E243" s="2" t="str">
        <f>IF(VLOOKUP($B243,Q,8,FALSE)=0,"",(VLOOKUP($B243,Q,8,FALSE)))</f>
        <v/>
      </c>
      <c r="F243" s="19" t="str">
        <f>IF(VLOOKUP($B243,Q,9,FALSE)=0,"",(VLOOKUP($B243,Q,9,FALSE)))</f>
        <v/>
      </c>
      <c r="G243" s="2" t="str">
        <f>IF(VLOOKUP($B243,Q,10,FALSE)=0,"",(VLOOKUP($B243,Q,10,FALSE)))</f>
        <v/>
      </c>
      <c r="H243" s="2" t="str">
        <f>IF(VLOOKUP($B243,Q,14,FALSE)=0,"",(VLOOKUP($B243,Q,14,FALSE)))</f>
        <v/>
      </c>
      <c r="I243" s="2" t="str">
        <f>IF(VLOOKUP($B243,Q,14,FALSE)=0,"",(VLOOKUP($B243,Q,15,FALSE)))</f>
        <v/>
      </c>
      <c r="J243" s="2" t="str">
        <f>IF(VLOOKUP($B243,Q,14,FALSE)=0,"",(VLOOKUP($B243,Q,16,FALSE)))</f>
        <v/>
      </c>
      <c r="K243" s="2" t="str">
        <f>IF(VLOOKUP($B243,Q,14,FALSE)=0,"",(VLOOKUP($B243,Q,17,FALSE)))</f>
        <v/>
      </c>
    </row>
    <row r="244" spans="2:11" x14ac:dyDescent="0.6">
      <c r="B244" s="1">
        <v>247</v>
      </c>
      <c r="C244" s="2" t="str">
        <f>IF(VLOOKUP($B244,Q,2,FALSE)=0,"",(VLOOKUP($B244,Q,2,FALSE)))</f>
        <v/>
      </c>
      <c r="D244" s="2" t="str">
        <f>IF(VLOOKUP($B244,Q,3,FALSE)=0,"",(VLOOKUP($B244,Q,3,FALSE)))</f>
        <v/>
      </c>
      <c r="E244" s="2" t="str">
        <f>IF(VLOOKUP($B244,Q,8,FALSE)=0,"",(VLOOKUP($B244,Q,8,FALSE)))</f>
        <v/>
      </c>
      <c r="F244" s="19" t="str">
        <f>IF(VLOOKUP($B244,Q,9,FALSE)=0,"",(VLOOKUP($B244,Q,9,FALSE)))</f>
        <v/>
      </c>
      <c r="G244" s="2" t="str">
        <f>IF(VLOOKUP($B244,Q,10,FALSE)=0,"",(VLOOKUP($B244,Q,10,FALSE)))</f>
        <v/>
      </c>
      <c r="H244" s="2" t="str">
        <f>IF(VLOOKUP($B244,Q,14,FALSE)=0,"",(VLOOKUP($B244,Q,14,FALSE)))</f>
        <v/>
      </c>
      <c r="I244" s="2" t="str">
        <f>IF(VLOOKUP($B244,Q,14,FALSE)=0,"",(VLOOKUP($B244,Q,15,FALSE)))</f>
        <v/>
      </c>
      <c r="J244" s="2" t="str">
        <f>IF(VLOOKUP($B244,Q,14,FALSE)=0,"",(VLOOKUP($B244,Q,16,FALSE)))</f>
        <v/>
      </c>
      <c r="K244" s="2" t="str">
        <f>IF(VLOOKUP($B244,Q,14,FALSE)=0,"",(VLOOKUP($B244,Q,17,FALSE)))</f>
        <v/>
      </c>
    </row>
    <row r="245" spans="2:11" x14ac:dyDescent="0.6">
      <c r="B245" s="1">
        <v>248</v>
      </c>
      <c r="C245" s="2" t="str">
        <f>IF(VLOOKUP($B245,Q,2,FALSE)=0,"",(VLOOKUP($B245,Q,2,FALSE)))</f>
        <v/>
      </c>
      <c r="D245" s="2" t="str">
        <f>IF(VLOOKUP($B245,Q,3,FALSE)=0,"",(VLOOKUP($B245,Q,3,FALSE)))</f>
        <v/>
      </c>
      <c r="E245" s="2" t="str">
        <f>IF(VLOOKUP($B245,Q,8,FALSE)=0,"",(VLOOKUP($B245,Q,8,FALSE)))</f>
        <v/>
      </c>
      <c r="F245" s="19" t="str">
        <f>IF(VLOOKUP($B245,Q,9,FALSE)=0,"",(VLOOKUP($B245,Q,9,FALSE)))</f>
        <v/>
      </c>
      <c r="G245" s="2" t="str">
        <f>IF(VLOOKUP($B245,Q,10,FALSE)=0,"",(VLOOKUP($B245,Q,10,FALSE)))</f>
        <v/>
      </c>
      <c r="H245" s="2" t="str">
        <f>IF(VLOOKUP($B245,Q,14,FALSE)=0,"",(VLOOKUP($B245,Q,14,FALSE)))</f>
        <v/>
      </c>
      <c r="I245" s="2" t="str">
        <f>IF(VLOOKUP($B245,Q,14,FALSE)=0,"",(VLOOKUP($B245,Q,15,FALSE)))</f>
        <v/>
      </c>
      <c r="J245" s="2" t="str">
        <f>IF(VLOOKUP($B245,Q,14,FALSE)=0,"",(VLOOKUP($B245,Q,16,FALSE)))</f>
        <v/>
      </c>
      <c r="K245" s="2" t="str">
        <f>IF(VLOOKUP($B245,Q,14,FALSE)=0,"",(VLOOKUP($B245,Q,17,FALSE)))</f>
        <v/>
      </c>
    </row>
    <row r="246" spans="2:11" x14ac:dyDescent="0.6">
      <c r="B246" s="1">
        <v>249</v>
      </c>
      <c r="C246" s="2" t="str">
        <f>IF(VLOOKUP($B246,Q,2,FALSE)=0,"",(VLOOKUP($B246,Q,2,FALSE)))</f>
        <v/>
      </c>
      <c r="D246" s="2" t="str">
        <f>IF(VLOOKUP($B246,Q,3,FALSE)=0,"",(VLOOKUP($B246,Q,3,FALSE)))</f>
        <v/>
      </c>
      <c r="E246" s="2" t="str">
        <f>IF(VLOOKUP($B246,Q,8,FALSE)=0,"",(VLOOKUP($B246,Q,8,FALSE)))</f>
        <v/>
      </c>
      <c r="F246" s="19" t="str">
        <f>IF(VLOOKUP($B246,Q,9,FALSE)=0,"",(VLOOKUP($B246,Q,9,FALSE)))</f>
        <v/>
      </c>
      <c r="G246" s="2" t="str">
        <f>IF(VLOOKUP($B246,Q,10,FALSE)=0,"",(VLOOKUP($B246,Q,10,FALSE)))</f>
        <v/>
      </c>
      <c r="H246" s="2" t="str">
        <f>IF(VLOOKUP($B246,Q,14,FALSE)=0,"",(VLOOKUP($B246,Q,14,FALSE)))</f>
        <v/>
      </c>
      <c r="I246" s="2" t="str">
        <f>IF(VLOOKUP($B246,Q,14,FALSE)=0,"",(VLOOKUP($B246,Q,15,FALSE)))</f>
        <v/>
      </c>
      <c r="J246" s="2" t="str">
        <f>IF(VLOOKUP($B246,Q,14,FALSE)=0,"",(VLOOKUP($B246,Q,16,FALSE)))</f>
        <v/>
      </c>
      <c r="K246" s="2" t="str">
        <f>IF(VLOOKUP($B246,Q,14,FALSE)=0,"",(VLOOKUP($B246,Q,17,FALSE)))</f>
        <v/>
      </c>
    </row>
    <row r="247" spans="2:11" x14ac:dyDescent="0.6">
      <c r="B247" s="1">
        <v>250</v>
      </c>
      <c r="C247" s="2" t="str">
        <f>IF(VLOOKUP($B247,Q,2,FALSE)=0,"",(VLOOKUP($B247,Q,2,FALSE)))</f>
        <v/>
      </c>
      <c r="D247" s="2" t="str">
        <f>IF(VLOOKUP($B247,Q,3,FALSE)=0,"",(VLOOKUP($B247,Q,3,FALSE)))</f>
        <v/>
      </c>
      <c r="E247" s="2" t="str">
        <f>IF(VLOOKUP($B247,Q,8,FALSE)=0,"",(VLOOKUP($B247,Q,8,FALSE)))</f>
        <v/>
      </c>
      <c r="F247" s="19" t="str">
        <f>IF(VLOOKUP($B247,Q,9,FALSE)=0,"",(VLOOKUP($B247,Q,9,FALSE)))</f>
        <v/>
      </c>
      <c r="G247" s="2" t="str">
        <f>IF(VLOOKUP($B247,Q,10,FALSE)=0,"",(VLOOKUP($B247,Q,10,FALSE)))</f>
        <v/>
      </c>
      <c r="H247" s="2" t="str">
        <f>IF(VLOOKUP($B247,Q,14,FALSE)=0,"",(VLOOKUP($B247,Q,14,FALSE)))</f>
        <v/>
      </c>
      <c r="I247" s="2" t="str">
        <f>IF(VLOOKUP($B247,Q,14,FALSE)=0,"",(VLOOKUP($B247,Q,15,FALSE)))</f>
        <v/>
      </c>
      <c r="J247" s="2" t="str">
        <f>IF(VLOOKUP($B247,Q,14,FALSE)=0,"",(VLOOKUP($B247,Q,16,FALSE)))</f>
        <v/>
      </c>
      <c r="K247" s="2" t="str">
        <f>IF(VLOOKUP($B247,Q,14,FALSE)=0,"",(VLOOKUP($B247,Q,17,FALSE)))</f>
        <v/>
      </c>
    </row>
    <row r="248" spans="2:11" x14ac:dyDescent="0.6">
      <c r="B248" s="1">
        <v>251</v>
      </c>
      <c r="C248" s="2" t="str">
        <f>IF(VLOOKUP($B248,Q,2,FALSE)=0,"",(VLOOKUP($B248,Q,2,FALSE)))</f>
        <v/>
      </c>
      <c r="D248" s="2" t="str">
        <f>IF(VLOOKUP($B248,Q,3,FALSE)=0,"",(VLOOKUP($B248,Q,3,FALSE)))</f>
        <v/>
      </c>
      <c r="E248" s="2" t="str">
        <f>IF(VLOOKUP($B248,Q,8,FALSE)=0,"",(VLOOKUP($B248,Q,8,FALSE)))</f>
        <v/>
      </c>
      <c r="F248" s="19" t="str">
        <f>IF(VLOOKUP($B248,Q,9,FALSE)=0,"",(VLOOKUP($B248,Q,9,FALSE)))</f>
        <v/>
      </c>
      <c r="G248" s="2" t="str">
        <f>IF(VLOOKUP($B248,Q,10,FALSE)=0,"",(VLOOKUP($B248,Q,10,FALSE)))</f>
        <v/>
      </c>
      <c r="H248" s="2" t="str">
        <f>IF(VLOOKUP($B248,Q,14,FALSE)=0,"",(VLOOKUP($B248,Q,14,FALSE)))</f>
        <v/>
      </c>
      <c r="I248" s="2" t="str">
        <f>IF(VLOOKUP($B248,Q,14,FALSE)=0,"",(VLOOKUP($B248,Q,15,FALSE)))</f>
        <v/>
      </c>
      <c r="J248" s="2" t="str">
        <f>IF(VLOOKUP($B248,Q,14,FALSE)=0,"",(VLOOKUP($B248,Q,16,FALSE)))</f>
        <v/>
      </c>
      <c r="K248" s="2" t="str">
        <f>IF(VLOOKUP($B248,Q,14,FALSE)=0,"",(VLOOKUP($B248,Q,17,FALSE)))</f>
        <v/>
      </c>
    </row>
    <row r="249" spans="2:11" x14ac:dyDescent="0.6">
      <c r="B249" s="1">
        <v>252</v>
      </c>
      <c r="C249" s="2" t="str">
        <f>IF(VLOOKUP($B249,Q,2,FALSE)=0,"",(VLOOKUP($B249,Q,2,FALSE)))</f>
        <v/>
      </c>
      <c r="D249" s="2" t="str">
        <f>IF(VLOOKUP($B249,Q,3,FALSE)=0,"",(VLOOKUP($B249,Q,3,FALSE)))</f>
        <v/>
      </c>
      <c r="E249" s="2" t="str">
        <f>IF(VLOOKUP($B249,Q,8,FALSE)=0,"",(VLOOKUP($B249,Q,8,FALSE)))</f>
        <v/>
      </c>
      <c r="F249" s="19" t="str">
        <f>IF(VLOOKUP($B249,Q,9,FALSE)=0,"",(VLOOKUP($B249,Q,9,FALSE)))</f>
        <v/>
      </c>
      <c r="G249" s="2" t="str">
        <f>IF(VLOOKUP($B249,Q,10,FALSE)=0,"",(VLOOKUP($B249,Q,10,FALSE)))</f>
        <v/>
      </c>
      <c r="H249" s="2" t="str">
        <f>IF(VLOOKUP($B249,Q,14,FALSE)=0,"",(VLOOKUP($B249,Q,14,FALSE)))</f>
        <v/>
      </c>
      <c r="I249" s="2" t="str">
        <f>IF(VLOOKUP($B249,Q,14,FALSE)=0,"",(VLOOKUP($B249,Q,15,FALSE)))</f>
        <v/>
      </c>
      <c r="J249" s="2" t="str">
        <f>IF(VLOOKUP($B249,Q,14,FALSE)=0,"",(VLOOKUP($B249,Q,16,FALSE)))</f>
        <v/>
      </c>
      <c r="K249" s="2" t="str">
        <f>IF(VLOOKUP($B249,Q,14,FALSE)=0,"",(VLOOKUP($B249,Q,17,FALSE)))</f>
        <v/>
      </c>
    </row>
    <row r="250" spans="2:11" x14ac:dyDescent="0.6">
      <c r="B250" s="1">
        <v>253</v>
      </c>
      <c r="C250" s="2" t="str">
        <f>IF(VLOOKUP($B250,Q,2,FALSE)=0,"",(VLOOKUP($B250,Q,2,FALSE)))</f>
        <v/>
      </c>
      <c r="D250" s="2" t="str">
        <f>IF(VLOOKUP($B250,Q,3,FALSE)=0,"",(VLOOKUP($B250,Q,3,FALSE)))</f>
        <v/>
      </c>
      <c r="E250" s="2" t="str">
        <f>IF(VLOOKUP($B250,Q,8,FALSE)=0,"",(VLOOKUP($B250,Q,8,FALSE)))</f>
        <v/>
      </c>
      <c r="F250" s="19" t="str">
        <f>IF(VLOOKUP($B250,Q,9,FALSE)=0,"",(VLOOKUP($B250,Q,9,FALSE)))</f>
        <v/>
      </c>
      <c r="G250" s="2" t="str">
        <f>IF(VLOOKUP($B250,Q,10,FALSE)=0,"",(VLOOKUP($B250,Q,10,FALSE)))</f>
        <v/>
      </c>
      <c r="H250" s="2" t="str">
        <f>IF(VLOOKUP($B250,Q,14,FALSE)=0,"",(VLOOKUP($B250,Q,14,FALSE)))</f>
        <v/>
      </c>
      <c r="I250" s="2" t="str">
        <f>IF(VLOOKUP($B250,Q,14,FALSE)=0,"",(VLOOKUP($B250,Q,15,FALSE)))</f>
        <v/>
      </c>
      <c r="J250" s="2" t="str">
        <f>IF(VLOOKUP($B250,Q,14,FALSE)=0,"",(VLOOKUP($B250,Q,16,FALSE)))</f>
        <v/>
      </c>
      <c r="K250" s="2" t="str">
        <f>IF(VLOOKUP($B250,Q,14,FALSE)=0,"",(VLOOKUP($B250,Q,17,FALSE)))</f>
        <v/>
      </c>
    </row>
    <row r="251" spans="2:11" x14ac:dyDescent="0.6">
      <c r="B251" s="1">
        <v>254</v>
      </c>
      <c r="C251" s="2" t="str">
        <f>IF(VLOOKUP($B251,Q,2,FALSE)=0,"",(VLOOKUP($B251,Q,2,FALSE)))</f>
        <v/>
      </c>
      <c r="D251" s="2" t="str">
        <f>IF(VLOOKUP($B251,Q,3,FALSE)=0,"",(VLOOKUP($B251,Q,3,FALSE)))</f>
        <v/>
      </c>
      <c r="E251" s="2" t="str">
        <f>IF(VLOOKUP($B251,Q,8,FALSE)=0,"",(VLOOKUP($B251,Q,8,FALSE)))</f>
        <v/>
      </c>
      <c r="F251" s="19" t="str">
        <f>IF(VLOOKUP($B251,Q,9,FALSE)=0,"",(VLOOKUP($B251,Q,9,FALSE)))</f>
        <v/>
      </c>
      <c r="G251" s="2" t="str">
        <f>IF(VLOOKUP($B251,Q,10,FALSE)=0,"",(VLOOKUP($B251,Q,10,FALSE)))</f>
        <v/>
      </c>
      <c r="H251" s="2" t="str">
        <f>IF(VLOOKUP($B251,Q,14,FALSE)=0,"",(VLOOKUP($B251,Q,14,FALSE)))</f>
        <v/>
      </c>
      <c r="I251" s="2" t="str">
        <f>IF(VLOOKUP($B251,Q,14,FALSE)=0,"",(VLOOKUP($B251,Q,15,FALSE)))</f>
        <v/>
      </c>
      <c r="J251" s="2" t="str">
        <f>IF(VLOOKUP($B251,Q,14,FALSE)=0,"",(VLOOKUP($B251,Q,16,FALSE)))</f>
        <v/>
      </c>
      <c r="K251" s="2" t="str">
        <f>IF(VLOOKUP($B251,Q,14,FALSE)=0,"",(VLOOKUP($B251,Q,17,FALSE)))</f>
        <v/>
      </c>
    </row>
    <row r="252" spans="2:11" x14ac:dyDescent="0.6">
      <c r="B252" s="1">
        <v>255</v>
      </c>
      <c r="C252" s="2" t="str">
        <f>IF(VLOOKUP($B252,Q,2,FALSE)=0,"",(VLOOKUP($B252,Q,2,FALSE)))</f>
        <v/>
      </c>
      <c r="D252" s="2" t="str">
        <f>IF(VLOOKUP($B252,Q,3,FALSE)=0,"",(VLOOKUP($B252,Q,3,FALSE)))</f>
        <v/>
      </c>
      <c r="E252" s="2" t="str">
        <f>IF(VLOOKUP($B252,Q,8,FALSE)=0,"",(VLOOKUP($B252,Q,8,FALSE)))</f>
        <v/>
      </c>
      <c r="F252" s="19" t="str">
        <f>IF(VLOOKUP($B252,Q,9,FALSE)=0,"",(VLOOKUP($B252,Q,9,FALSE)))</f>
        <v/>
      </c>
      <c r="G252" s="2" t="str">
        <f>IF(VLOOKUP($B252,Q,10,FALSE)=0,"",(VLOOKUP($B252,Q,10,FALSE)))</f>
        <v/>
      </c>
      <c r="H252" s="2" t="str">
        <f>IF(VLOOKUP($B252,Q,14,FALSE)=0,"",(VLOOKUP($B252,Q,14,FALSE)))</f>
        <v/>
      </c>
      <c r="I252" s="2" t="str">
        <f>IF(VLOOKUP($B252,Q,14,FALSE)=0,"",(VLOOKUP($B252,Q,15,FALSE)))</f>
        <v/>
      </c>
      <c r="J252" s="2" t="str">
        <f>IF(VLOOKUP($B252,Q,14,FALSE)=0,"",(VLOOKUP($B252,Q,16,FALSE)))</f>
        <v/>
      </c>
      <c r="K252" s="2" t="str">
        <f>IF(VLOOKUP($B252,Q,14,FALSE)=0,"",(VLOOKUP($B252,Q,17,FALSE)))</f>
        <v/>
      </c>
    </row>
    <row r="253" spans="2:11" x14ac:dyDescent="0.6">
      <c r="B253" s="1">
        <v>256</v>
      </c>
      <c r="C253" s="2" t="str">
        <f>IF(VLOOKUP($B253,Q,2,FALSE)=0,"",(VLOOKUP($B253,Q,2,FALSE)))</f>
        <v/>
      </c>
      <c r="D253" s="2" t="str">
        <f>IF(VLOOKUP($B253,Q,3,FALSE)=0,"",(VLOOKUP($B253,Q,3,FALSE)))</f>
        <v/>
      </c>
      <c r="E253" s="2" t="str">
        <f>IF(VLOOKUP($B253,Q,8,FALSE)=0,"",(VLOOKUP($B253,Q,8,FALSE)))</f>
        <v/>
      </c>
      <c r="F253" s="19" t="str">
        <f>IF(VLOOKUP($B253,Q,9,FALSE)=0,"",(VLOOKUP($B253,Q,9,FALSE)))</f>
        <v/>
      </c>
      <c r="G253" s="2" t="str">
        <f>IF(VLOOKUP($B253,Q,10,FALSE)=0,"",(VLOOKUP($B253,Q,10,FALSE)))</f>
        <v/>
      </c>
      <c r="H253" s="2" t="str">
        <f>IF(VLOOKUP($B253,Q,14,FALSE)=0,"",(VLOOKUP($B253,Q,14,FALSE)))</f>
        <v/>
      </c>
      <c r="I253" s="2" t="str">
        <f>IF(VLOOKUP($B253,Q,14,FALSE)=0,"",(VLOOKUP($B253,Q,15,FALSE)))</f>
        <v/>
      </c>
      <c r="J253" s="2" t="str">
        <f>IF(VLOOKUP($B253,Q,14,FALSE)=0,"",(VLOOKUP($B253,Q,16,FALSE)))</f>
        <v/>
      </c>
      <c r="K253" s="2" t="str">
        <f>IF(VLOOKUP($B253,Q,14,FALSE)=0,"",(VLOOKUP($B253,Q,17,FALSE)))</f>
        <v/>
      </c>
    </row>
    <row r="254" spans="2:11" x14ac:dyDescent="0.6">
      <c r="B254" s="1">
        <v>257</v>
      </c>
      <c r="C254" s="2" t="str">
        <f>IF(VLOOKUP($B254,Q,2,FALSE)=0,"",(VLOOKUP($B254,Q,2,FALSE)))</f>
        <v/>
      </c>
      <c r="D254" s="2" t="str">
        <f>IF(VLOOKUP($B254,Q,3,FALSE)=0,"",(VLOOKUP($B254,Q,3,FALSE)))</f>
        <v/>
      </c>
      <c r="E254" s="2" t="str">
        <f>IF(VLOOKUP($B254,Q,8,FALSE)=0,"",(VLOOKUP($B254,Q,8,FALSE)))</f>
        <v/>
      </c>
      <c r="F254" s="19" t="str">
        <f>IF(VLOOKUP($B254,Q,9,FALSE)=0,"",(VLOOKUP($B254,Q,9,FALSE)))</f>
        <v/>
      </c>
      <c r="G254" s="2" t="str">
        <f>IF(VLOOKUP($B254,Q,10,FALSE)=0,"",(VLOOKUP($B254,Q,10,FALSE)))</f>
        <v/>
      </c>
      <c r="H254" s="2" t="str">
        <f>IF(VLOOKUP($B254,Q,14,FALSE)=0,"",(VLOOKUP($B254,Q,14,FALSE)))</f>
        <v/>
      </c>
      <c r="I254" s="2" t="str">
        <f>IF(VLOOKUP($B254,Q,14,FALSE)=0,"",(VLOOKUP($B254,Q,15,FALSE)))</f>
        <v/>
      </c>
      <c r="J254" s="2" t="str">
        <f>IF(VLOOKUP($B254,Q,14,FALSE)=0,"",(VLOOKUP($B254,Q,16,FALSE)))</f>
        <v/>
      </c>
      <c r="K254" s="2" t="str">
        <f>IF(VLOOKUP($B254,Q,14,FALSE)=0,"",(VLOOKUP($B254,Q,17,FALSE)))</f>
        <v/>
      </c>
    </row>
    <row r="255" spans="2:11" x14ac:dyDescent="0.6">
      <c r="B255" s="1">
        <v>258</v>
      </c>
      <c r="C255" s="2" t="str">
        <f>IF(VLOOKUP($B255,Q,2,FALSE)=0,"",(VLOOKUP($B255,Q,2,FALSE)))</f>
        <v/>
      </c>
      <c r="D255" s="2" t="str">
        <f>IF(VLOOKUP($B255,Q,3,FALSE)=0,"",(VLOOKUP($B255,Q,3,FALSE)))</f>
        <v/>
      </c>
      <c r="E255" s="2" t="str">
        <f>IF(VLOOKUP($B255,Q,8,FALSE)=0,"",(VLOOKUP($B255,Q,8,FALSE)))</f>
        <v/>
      </c>
      <c r="F255" s="19" t="str">
        <f>IF(VLOOKUP($B255,Q,9,FALSE)=0,"",(VLOOKUP($B255,Q,9,FALSE)))</f>
        <v/>
      </c>
      <c r="G255" s="2" t="str">
        <f>IF(VLOOKUP($B255,Q,10,FALSE)=0,"",(VLOOKUP($B255,Q,10,FALSE)))</f>
        <v/>
      </c>
      <c r="H255" s="2" t="str">
        <f>IF(VLOOKUP($B255,Q,14,FALSE)=0,"",(VLOOKUP($B255,Q,14,FALSE)))</f>
        <v/>
      </c>
      <c r="I255" s="2" t="str">
        <f>IF(VLOOKUP($B255,Q,14,FALSE)=0,"",(VLOOKUP($B255,Q,15,FALSE)))</f>
        <v/>
      </c>
      <c r="J255" s="2" t="str">
        <f>IF(VLOOKUP($B255,Q,14,FALSE)=0,"",(VLOOKUP($B255,Q,16,FALSE)))</f>
        <v/>
      </c>
      <c r="K255" s="2" t="str">
        <f>IF(VLOOKUP($B255,Q,14,FALSE)=0,"",(VLOOKUP($B255,Q,17,FALSE)))</f>
        <v/>
      </c>
    </row>
    <row r="256" spans="2:11" x14ac:dyDescent="0.6">
      <c r="B256" s="1">
        <v>259</v>
      </c>
      <c r="C256" s="2" t="str">
        <f>IF(VLOOKUP($B256,Q,2,FALSE)=0,"",(VLOOKUP($B256,Q,2,FALSE)))</f>
        <v/>
      </c>
      <c r="D256" s="2" t="str">
        <f>IF(VLOOKUP($B256,Q,3,FALSE)=0,"",(VLOOKUP($B256,Q,3,FALSE)))</f>
        <v/>
      </c>
      <c r="E256" s="2" t="str">
        <f>IF(VLOOKUP($B256,Q,8,FALSE)=0,"",(VLOOKUP($B256,Q,8,FALSE)))</f>
        <v/>
      </c>
      <c r="F256" s="19" t="str">
        <f>IF(VLOOKUP($B256,Q,9,FALSE)=0,"",(VLOOKUP($B256,Q,9,FALSE)))</f>
        <v/>
      </c>
      <c r="G256" s="2" t="str">
        <f>IF(VLOOKUP($B256,Q,10,FALSE)=0,"",(VLOOKUP($B256,Q,10,FALSE)))</f>
        <v/>
      </c>
      <c r="H256" s="2" t="str">
        <f>IF(VLOOKUP($B256,Q,14,FALSE)=0,"",(VLOOKUP($B256,Q,14,FALSE)))</f>
        <v/>
      </c>
      <c r="I256" s="2" t="str">
        <f>IF(VLOOKUP($B256,Q,14,FALSE)=0,"",(VLOOKUP($B256,Q,15,FALSE)))</f>
        <v/>
      </c>
      <c r="J256" s="2" t="str">
        <f>IF(VLOOKUP($B256,Q,14,FALSE)=0,"",(VLOOKUP($B256,Q,16,FALSE)))</f>
        <v/>
      </c>
      <c r="K256" s="2" t="str">
        <f>IF(VLOOKUP($B256,Q,14,FALSE)=0,"",(VLOOKUP($B256,Q,17,FALSE)))</f>
        <v/>
      </c>
    </row>
    <row r="257" spans="2:11" x14ac:dyDescent="0.6">
      <c r="B257" s="1">
        <v>260</v>
      </c>
      <c r="C257" s="2" t="str">
        <f>IF(VLOOKUP($B257,Q,2,FALSE)=0,"",(VLOOKUP($B257,Q,2,FALSE)))</f>
        <v/>
      </c>
      <c r="D257" s="2" t="str">
        <f>IF(VLOOKUP($B257,Q,3,FALSE)=0,"",(VLOOKUP($B257,Q,3,FALSE)))</f>
        <v/>
      </c>
      <c r="E257" s="2" t="str">
        <f>IF(VLOOKUP($B257,Q,8,FALSE)=0,"",(VLOOKUP($B257,Q,8,FALSE)))</f>
        <v/>
      </c>
      <c r="F257" s="19" t="str">
        <f>IF(VLOOKUP($B257,Q,9,FALSE)=0,"",(VLOOKUP($B257,Q,9,FALSE)))</f>
        <v/>
      </c>
      <c r="G257" s="2" t="str">
        <f>IF(VLOOKUP($B257,Q,10,FALSE)=0,"",(VLOOKUP($B257,Q,10,FALSE)))</f>
        <v/>
      </c>
      <c r="H257" s="2" t="str">
        <f>IF(VLOOKUP($B257,Q,14,FALSE)=0,"",(VLOOKUP($B257,Q,14,FALSE)))</f>
        <v/>
      </c>
      <c r="I257" s="2" t="str">
        <f>IF(VLOOKUP($B257,Q,14,FALSE)=0,"",(VLOOKUP($B257,Q,15,FALSE)))</f>
        <v/>
      </c>
      <c r="J257" s="2" t="str">
        <f>IF(VLOOKUP($B257,Q,14,FALSE)=0,"",(VLOOKUP($B257,Q,16,FALSE)))</f>
        <v/>
      </c>
      <c r="K257" s="2" t="str">
        <f>IF(VLOOKUP($B257,Q,14,FALSE)=0,"",(VLOOKUP($B257,Q,17,FALSE)))</f>
        <v/>
      </c>
    </row>
    <row r="258" spans="2:11" x14ac:dyDescent="0.6">
      <c r="B258" s="1">
        <v>261</v>
      </c>
      <c r="C258" s="2" t="str">
        <f>IF(VLOOKUP($B258,Q,2,FALSE)=0,"",(VLOOKUP($B258,Q,2,FALSE)))</f>
        <v/>
      </c>
      <c r="D258" s="2" t="str">
        <f>IF(VLOOKUP($B258,Q,3,FALSE)=0,"",(VLOOKUP($B258,Q,3,FALSE)))</f>
        <v/>
      </c>
      <c r="E258" s="2" t="str">
        <f>IF(VLOOKUP($B258,Q,8,FALSE)=0,"",(VLOOKUP($B258,Q,8,FALSE)))</f>
        <v/>
      </c>
      <c r="F258" s="19" t="str">
        <f>IF(VLOOKUP($B258,Q,9,FALSE)=0,"",(VLOOKUP($B258,Q,9,FALSE)))</f>
        <v/>
      </c>
      <c r="G258" s="2" t="str">
        <f>IF(VLOOKUP($B258,Q,10,FALSE)=0,"",(VLOOKUP($B258,Q,10,FALSE)))</f>
        <v/>
      </c>
      <c r="H258" s="2" t="str">
        <f>IF(VLOOKUP($B258,Q,14,FALSE)=0,"",(VLOOKUP($B258,Q,14,FALSE)))</f>
        <v/>
      </c>
      <c r="I258" s="2" t="str">
        <f>IF(VLOOKUP($B258,Q,14,FALSE)=0,"",(VLOOKUP($B258,Q,15,FALSE)))</f>
        <v/>
      </c>
      <c r="J258" s="2" t="str">
        <f>IF(VLOOKUP($B258,Q,14,FALSE)=0,"",(VLOOKUP($B258,Q,16,FALSE)))</f>
        <v/>
      </c>
      <c r="K258" s="2" t="str">
        <f>IF(VLOOKUP($B258,Q,14,FALSE)=0,"",(VLOOKUP($B258,Q,17,FALSE)))</f>
        <v/>
      </c>
    </row>
    <row r="259" spans="2:11" x14ac:dyDescent="0.6">
      <c r="B259" s="1">
        <v>262</v>
      </c>
      <c r="C259" s="2" t="str">
        <f>IF(VLOOKUP($B259,Q,2,FALSE)=0,"",(VLOOKUP($B259,Q,2,FALSE)))</f>
        <v/>
      </c>
      <c r="D259" s="2" t="str">
        <f>IF(VLOOKUP($B259,Q,3,FALSE)=0,"",(VLOOKUP($B259,Q,3,FALSE)))</f>
        <v/>
      </c>
      <c r="E259" s="2" t="str">
        <f>IF(VLOOKUP($B259,Q,8,FALSE)=0,"",(VLOOKUP($B259,Q,8,FALSE)))</f>
        <v/>
      </c>
      <c r="F259" s="19" t="str">
        <f>IF(VLOOKUP($B259,Q,9,FALSE)=0,"",(VLOOKUP($B259,Q,9,FALSE)))</f>
        <v/>
      </c>
      <c r="G259" s="2" t="str">
        <f>IF(VLOOKUP($B259,Q,10,FALSE)=0,"",(VLOOKUP($B259,Q,10,FALSE)))</f>
        <v/>
      </c>
      <c r="H259" s="2" t="str">
        <f>IF(VLOOKUP($B259,Q,14,FALSE)=0,"",(VLOOKUP($B259,Q,14,FALSE)))</f>
        <v/>
      </c>
      <c r="I259" s="2" t="str">
        <f>IF(VLOOKUP($B259,Q,14,FALSE)=0,"",(VLOOKUP($B259,Q,15,FALSE)))</f>
        <v/>
      </c>
      <c r="J259" s="2" t="str">
        <f>IF(VLOOKUP($B259,Q,14,FALSE)=0,"",(VLOOKUP($B259,Q,16,FALSE)))</f>
        <v/>
      </c>
      <c r="K259" s="2" t="str">
        <f>IF(VLOOKUP($B259,Q,14,FALSE)=0,"",(VLOOKUP($B259,Q,17,FALSE)))</f>
        <v/>
      </c>
    </row>
    <row r="260" spans="2:11" x14ac:dyDescent="0.6">
      <c r="B260" s="1">
        <v>263</v>
      </c>
      <c r="C260" s="2" t="str">
        <f>IF(VLOOKUP($B260,Q,2,FALSE)=0,"",(VLOOKUP($B260,Q,2,FALSE)))</f>
        <v/>
      </c>
      <c r="D260" s="2" t="str">
        <f>IF(VLOOKUP($B260,Q,3,FALSE)=0,"",(VLOOKUP($B260,Q,3,FALSE)))</f>
        <v/>
      </c>
      <c r="E260" s="2" t="str">
        <f>IF(VLOOKUP($B260,Q,8,FALSE)=0,"",(VLOOKUP($B260,Q,8,FALSE)))</f>
        <v/>
      </c>
      <c r="F260" s="19" t="str">
        <f>IF(VLOOKUP($B260,Q,9,FALSE)=0,"",(VLOOKUP($B260,Q,9,FALSE)))</f>
        <v/>
      </c>
      <c r="G260" s="2" t="str">
        <f>IF(VLOOKUP($B260,Q,10,FALSE)=0,"",(VLOOKUP($B260,Q,10,FALSE)))</f>
        <v/>
      </c>
      <c r="H260" s="2" t="str">
        <f>IF(VLOOKUP($B260,Q,14,FALSE)=0,"",(VLOOKUP($B260,Q,14,FALSE)))</f>
        <v/>
      </c>
      <c r="I260" s="2" t="str">
        <f>IF(VLOOKUP($B260,Q,14,FALSE)=0,"",(VLOOKUP($B260,Q,15,FALSE)))</f>
        <v/>
      </c>
      <c r="J260" s="2" t="str">
        <f>IF(VLOOKUP($B260,Q,14,FALSE)=0,"",(VLOOKUP($B260,Q,16,FALSE)))</f>
        <v/>
      </c>
      <c r="K260" s="2" t="str">
        <f>IF(VLOOKUP($B260,Q,14,FALSE)=0,"",(VLOOKUP($B260,Q,17,FALSE)))</f>
        <v/>
      </c>
    </row>
    <row r="261" spans="2:11" x14ac:dyDescent="0.6">
      <c r="B261" s="1">
        <v>264</v>
      </c>
      <c r="C261" s="2" t="str">
        <f>IF(VLOOKUP($B261,Q,2,FALSE)=0,"",(VLOOKUP($B261,Q,2,FALSE)))</f>
        <v/>
      </c>
      <c r="D261" s="2" t="str">
        <f>IF(VLOOKUP($B261,Q,3,FALSE)=0,"",(VLOOKUP($B261,Q,3,FALSE)))</f>
        <v/>
      </c>
      <c r="E261" s="2" t="str">
        <f>IF(VLOOKUP($B261,Q,8,FALSE)=0,"",(VLOOKUP($B261,Q,8,FALSE)))</f>
        <v/>
      </c>
      <c r="F261" s="19" t="str">
        <f>IF(VLOOKUP($B261,Q,9,FALSE)=0,"",(VLOOKUP($B261,Q,9,FALSE)))</f>
        <v/>
      </c>
      <c r="G261" s="2" t="str">
        <f>IF(VLOOKUP($B261,Q,10,FALSE)=0,"",(VLOOKUP($B261,Q,10,FALSE)))</f>
        <v/>
      </c>
      <c r="H261" s="2" t="str">
        <f>IF(VLOOKUP($B261,Q,14,FALSE)=0,"",(VLOOKUP($B261,Q,14,FALSE)))</f>
        <v/>
      </c>
      <c r="I261" s="2" t="str">
        <f>IF(VLOOKUP($B261,Q,14,FALSE)=0,"",(VLOOKUP($B261,Q,15,FALSE)))</f>
        <v/>
      </c>
      <c r="J261" s="2" t="str">
        <f>IF(VLOOKUP($B261,Q,14,FALSE)=0,"",(VLOOKUP($B261,Q,16,FALSE)))</f>
        <v/>
      </c>
      <c r="K261" s="2" t="str">
        <f>IF(VLOOKUP($B261,Q,14,FALSE)=0,"",(VLOOKUP($B261,Q,17,FALSE)))</f>
        <v/>
      </c>
    </row>
    <row r="262" spans="2:11" x14ac:dyDescent="0.6">
      <c r="B262" s="1">
        <v>265</v>
      </c>
      <c r="C262" s="2" t="str">
        <f>IF(VLOOKUP($B262,Q,2,FALSE)=0,"",(VLOOKUP($B262,Q,2,FALSE)))</f>
        <v/>
      </c>
      <c r="D262" s="2" t="str">
        <f>IF(VLOOKUP($B262,Q,3,FALSE)=0,"",(VLOOKUP($B262,Q,3,FALSE)))</f>
        <v/>
      </c>
      <c r="E262" s="2" t="str">
        <f>IF(VLOOKUP($B262,Q,8,FALSE)=0,"",(VLOOKUP($B262,Q,8,FALSE)))</f>
        <v/>
      </c>
      <c r="F262" s="19" t="str">
        <f>IF(VLOOKUP($B262,Q,9,FALSE)=0,"",(VLOOKUP($B262,Q,9,FALSE)))</f>
        <v/>
      </c>
      <c r="G262" s="2" t="str">
        <f>IF(VLOOKUP($B262,Q,10,FALSE)=0,"",(VLOOKUP($B262,Q,10,FALSE)))</f>
        <v/>
      </c>
      <c r="H262" s="2" t="str">
        <f>IF(VLOOKUP($B262,Q,14,FALSE)=0,"",(VLOOKUP($B262,Q,14,FALSE)))</f>
        <v/>
      </c>
      <c r="I262" s="2" t="str">
        <f>IF(VLOOKUP($B262,Q,14,FALSE)=0,"",(VLOOKUP($B262,Q,15,FALSE)))</f>
        <v/>
      </c>
      <c r="J262" s="2" t="str">
        <f>IF(VLOOKUP($B262,Q,14,FALSE)=0,"",(VLOOKUP($B262,Q,16,FALSE)))</f>
        <v/>
      </c>
      <c r="K262" s="2" t="str">
        <f>IF(VLOOKUP($B262,Q,14,FALSE)=0,"",(VLOOKUP($B262,Q,17,FALSE)))</f>
        <v/>
      </c>
    </row>
    <row r="263" spans="2:11" x14ac:dyDescent="0.6">
      <c r="B263" s="1">
        <v>266</v>
      </c>
      <c r="C263" s="2" t="str">
        <f>IF(VLOOKUP($B263,Q,2,FALSE)=0,"",(VLOOKUP($B263,Q,2,FALSE)))</f>
        <v/>
      </c>
      <c r="D263" s="2" t="str">
        <f>IF(VLOOKUP($B263,Q,3,FALSE)=0,"",(VLOOKUP($B263,Q,3,FALSE)))</f>
        <v/>
      </c>
      <c r="E263" s="2" t="str">
        <f>IF(VLOOKUP($B263,Q,8,FALSE)=0,"",(VLOOKUP($B263,Q,8,FALSE)))</f>
        <v/>
      </c>
      <c r="F263" s="19" t="str">
        <f>IF(VLOOKUP($B263,Q,9,FALSE)=0,"",(VLOOKUP($B263,Q,9,FALSE)))</f>
        <v/>
      </c>
      <c r="G263" s="2" t="str">
        <f>IF(VLOOKUP($B263,Q,10,FALSE)=0,"",(VLOOKUP($B263,Q,10,FALSE)))</f>
        <v/>
      </c>
      <c r="H263" s="2" t="str">
        <f>IF(VLOOKUP($B263,Q,14,FALSE)=0,"",(VLOOKUP($B263,Q,14,FALSE)))</f>
        <v/>
      </c>
      <c r="I263" s="2" t="str">
        <f>IF(VLOOKUP($B263,Q,14,FALSE)=0,"",(VLOOKUP($B263,Q,15,FALSE)))</f>
        <v/>
      </c>
      <c r="J263" s="2" t="str">
        <f>IF(VLOOKUP($B263,Q,14,FALSE)=0,"",(VLOOKUP($B263,Q,16,FALSE)))</f>
        <v/>
      </c>
      <c r="K263" s="2" t="str">
        <f>IF(VLOOKUP($B263,Q,14,FALSE)=0,"",(VLOOKUP($B263,Q,17,FALSE)))</f>
        <v/>
      </c>
    </row>
    <row r="264" spans="2:11" x14ac:dyDescent="0.6">
      <c r="B264" s="1">
        <v>267</v>
      </c>
      <c r="C264" s="2" t="str">
        <f>IF(VLOOKUP($B264,Q,2,FALSE)=0,"",(VLOOKUP($B264,Q,2,FALSE)))</f>
        <v/>
      </c>
      <c r="D264" s="2" t="str">
        <f>IF(VLOOKUP($B264,Q,3,FALSE)=0,"",(VLOOKUP($B264,Q,3,FALSE)))</f>
        <v/>
      </c>
      <c r="E264" s="2" t="str">
        <f>IF(VLOOKUP($B264,Q,8,FALSE)=0,"",(VLOOKUP($B264,Q,8,FALSE)))</f>
        <v/>
      </c>
      <c r="F264" s="19" t="str">
        <f>IF(VLOOKUP($B264,Q,9,FALSE)=0,"",(VLOOKUP($B264,Q,9,FALSE)))</f>
        <v/>
      </c>
      <c r="G264" s="2" t="str">
        <f>IF(VLOOKUP($B264,Q,10,FALSE)=0,"",(VLOOKUP($B264,Q,10,FALSE)))</f>
        <v/>
      </c>
      <c r="H264" s="2" t="str">
        <f>IF(VLOOKUP($B264,Q,14,FALSE)=0,"",(VLOOKUP($B264,Q,14,FALSE)))</f>
        <v/>
      </c>
      <c r="I264" s="2" t="str">
        <f>IF(VLOOKUP($B264,Q,14,FALSE)=0,"",(VLOOKUP($B264,Q,15,FALSE)))</f>
        <v/>
      </c>
      <c r="J264" s="2" t="str">
        <f>IF(VLOOKUP($B264,Q,14,FALSE)=0,"",(VLOOKUP($B264,Q,16,FALSE)))</f>
        <v/>
      </c>
      <c r="K264" s="2" t="str">
        <f>IF(VLOOKUP($B264,Q,14,FALSE)=0,"",(VLOOKUP($B264,Q,17,FALSE)))</f>
        <v/>
      </c>
    </row>
    <row r="265" spans="2:11" x14ac:dyDescent="0.6">
      <c r="B265" s="1">
        <v>268</v>
      </c>
      <c r="C265" s="2" t="str">
        <f>IF(VLOOKUP($B265,Q,2,FALSE)=0,"",(VLOOKUP($B265,Q,2,FALSE)))</f>
        <v/>
      </c>
      <c r="D265" s="2" t="str">
        <f>IF(VLOOKUP($B265,Q,3,FALSE)=0,"",(VLOOKUP($B265,Q,3,FALSE)))</f>
        <v/>
      </c>
      <c r="E265" s="2" t="str">
        <f>IF(VLOOKUP($B265,Q,8,FALSE)=0,"",(VLOOKUP($B265,Q,8,FALSE)))</f>
        <v/>
      </c>
      <c r="F265" s="19" t="str">
        <f>IF(VLOOKUP($B265,Q,9,FALSE)=0,"",(VLOOKUP($B265,Q,9,FALSE)))</f>
        <v/>
      </c>
      <c r="G265" s="2" t="str">
        <f>IF(VLOOKUP($B265,Q,10,FALSE)=0,"",(VLOOKUP($B265,Q,10,FALSE)))</f>
        <v/>
      </c>
      <c r="H265" s="2" t="str">
        <f>IF(VLOOKUP($B265,Q,14,FALSE)=0,"",(VLOOKUP($B265,Q,14,FALSE)))</f>
        <v/>
      </c>
      <c r="I265" s="2" t="str">
        <f>IF(VLOOKUP($B265,Q,14,FALSE)=0,"",(VLOOKUP($B265,Q,15,FALSE)))</f>
        <v/>
      </c>
      <c r="J265" s="2" t="str">
        <f>IF(VLOOKUP($B265,Q,14,FALSE)=0,"",(VLOOKUP($B265,Q,16,FALSE)))</f>
        <v/>
      </c>
      <c r="K265" s="2" t="str">
        <f>IF(VLOOKUP($B265,Q,14,FALSE)=0,"",(VLOOKUP($B265,Q,17,FALSE)))</f>
        <v/>
      </c>
    </row>
    <row r="266" spans="2:11" x14ac:dyDescent="0.6">
      <c r="B266" s="1">
        <v>269</v>
      </c>
      <c r="C266" s="2" t="str">
        <f>IF(VLOOKUP($B266,Q,2,FALSE)=0,"",(VLOOKUP($B266,Q,2,FALSE)))</f>
        <v/>
      </c>
      <c r="D266" s="2" t="str">
        <f>IF(VLOOKUP($B266,Q,3,FALSE)=0,"",(VLOOKUP($B266,Q,3,FALSE)))</f>
        <v/>
      </c>
      <c r="E266" s="2" t="str">
        <f>IF(VLOOKUP($B266,Q,8,FALSE)=0,"",(VLOOKUP($B266,Q,8,FALSE)))</f>
        <v/>
      </c>
      <c r="F266" s="19" t="str">
        <f>IF(VLOOKUP($B266,Q,9,FALSE)=0,"",(VLOOKUP($B266,Q,9,FALSE)))</f>
        <v/>
      </c>
      <c r="G266" s="2" t="str">
        <f>IF(VLOOKUP($B266,Q,10,FALSE)=0,"",(VLOOKUP($B266,Q,10,FALSE)))</f>
        <v/>
      </c>
      <c r="H266" s="2" t="str">
        <f>IF(VLOOKUP($B266,Q,14,FALSE)=0,"",(VLOOKUP($B266,Q,14,FALSE)))</f>
        <v/>
      </c>
      <c r="I266" s="2" t="str">
        <f>IF(VLOOKUP($B266,Q,14,FALSE)=0,"",(VLOOKUP($B266,Q,15,FALSE)))</f>
        <v/>
      </c>
      <c r="J266" s="2" t="str">
        <f>IF(VLOOKUP($B266,Q,14,FALSE)=0,"",(VLOOKUP($B266,Q,16,FALSE)))</f>
        <v/>
      </c>
      <c r="K266" s="2" t="str">
        <f>IF(VLOOKUP($B266,Q,14,FALSE)=0,"",(VLOOKUP($B266,Q,17,FALSE)))</f>
        <v/>
      </c>
    </row>
    <row r="267" spans="2:11" x14ac:dyDescent="0.6">
      <c r="B267" s="1">
        <v>270</v>
      </c>
      <c r="C267" s="2" t="str">
        <f>IF(VLOOKUP($B267,Q,2,FALSE)=0,"",(VLOOKUP($B267,Q,2,FALSE)))</f>
        <v/>
      </c>
      <c r="D267" s="2" t="str">
        <f>IF(VLOOKUP($B267,Q,3,FALSE)=0,"",(VLOOKUP($B267,Q,3,FALSE)))</f>
        <v/>
      </c>
      <c r="E267" s="2" t="str">
        <f>IF(VLOOKUP($B267,Q,8,FALSE)=0,"",(VLOOKUP($B267,Q,8,FALSE)))</f>
        <v/>
      </c>
      <c r="F267" s="19" t="str">
        <f>IF(VLOOKUP($B267,Q,9,FALSE)=0,"",(VLOOKUP($B267,Q,9,FALSE)))</f>
        <v/>
      </c>
      <c r="G267" s="2" t="str">
        <f>IF(VLOOKUP($B267,Q,10,FALSE)=0,"",(VLOOKUP($B267,Q,10,FALSE)))</f>
        <v/>
      </c>
      <c r="H267" s="2" t="str">
        <f>IF(VLOOKUP($B267,Q,14,FALSE)=0,"",(VLOOKUP($B267,Q,14,FALSE)))</f>
        <v/>
      </c>
      <c r="I267" s="2" t="str">
        <f>IF(VLOOKUP($B267,Q,14,FALSE)=0,"",(VLOOKUP($B267,Q,15,FALSE)))</f>
        <v/>
      </c>
      <c r="J267" s="2" t="str">
        <f>IF(VLOOKUP($B267,Q,14,FALSE)=0,"",(VLOOKUP($B267,Q,16,FALSE)))</f>
        <v/>
      </c>
      <c r="K267" s="2" t="str">
        <f>IF(VLOOKUP($B267,Q,14,FALSE)=0,"",(VLOOKUP($B267,Q,17,FALSE)))</f>
        <v/>
      </c>
    </row>
    <row r="268" spans="2:11" x14ac:dyDescent="0.6">
      <c r="B268" s="1">
        <v>271</v>
      </c>
      <c r="C268" s="2" t="str">
        <f>IF(VLOOKUP($B268,Q,2,FALSE)=0,"",(VLOOKUP($B268,Q,2,FALSE)))</f>
        <v/>
      </c>
      <c r="D268" s="2" t="str">
        <f>IF(VLOOKUP($B268,Q,3,FALSE)=0,"",(VLOOKUP($B268,Q,3,FALSE)))</f>
        <v/>
      </c>
      <c r="E268" s="2" t="str">
        <f>IF(VLOOKUP($B268,Q,8,FALSE)=0,"",(VLOOKUP($B268,Q,8,FALSE)))</f>
        <v/>
      </c>
      <c r="F268" s="19" t="str">
        <f>IF(VLOOKUP($B268,Q,9,FALSE)=0,"",(VLOOKUP($B268,Q,9,FALSE)))</f>
        <v/>
      </c>
      <c r="G268" s="2" t="str">
        <f>IF(VLOOKUP($B268,Q,10,FALSE)=0,"",(VLOOKUP($B268,Q,10,FALSE)))</f>
        <v/>
      </c>
      <c r="H268" s="2" t="str">
        <f>IF(VLOOKUP($B268,Q,14,FALSE)=0,"",(VLOOKUP($B268,Q,14,FALSE)))</f>
        <v/>
      </c>
      <c r="I268" s="2" t="str">
        <f>IF(VLOOKUP($B268,Q,14,FALSE)=0,"",(VLOOKUP($B268,Q,15,FALSE)))</f>
        <v/>
      </c>
      <c r="J268" s="2" t="str">
        <f>IF(VLOOKUP($B268,Q,14,FALSE)=0,"",(VLOOKUP($B268,Q,16,FALSE)))</f>
        <v/>
      </c>
      <c r="K268" s="2" t="str">
        <f>IF(VLOOKUP($B268,Q,14,FALSE)=0,"",(VLOOKUP($B268,Q,17,FALSE)))</f>
        <v/>
      </c>
    </row>
    <row r="269" spans="2:11" x14ac:dyDescent="0.6">
      <c r="B269" s="1">
        <v>272</v>
      </c>
      <c r="C269" s="2" t="str">
        <f>IF(VLOOKUP($B269,Q,2,FALSE)=0,"",(VLOOKUP($B269,Q,2,FALSE)))</f>
        <v/>
      </c>
      <c r="D269" s="2" t="str">
        <f>IF(VLOOKUP($B269,Q,3,FALSE)=0,"",(VLOOKUP($B269,Q,3,FALSE)))</f>
        <v/>
      </c>
      <c r="E269" s="2" t="str">
        <f>IF(VLOOKUP($B269,Q,8,FALSE)=0,"",(VLOOKUP($B269,Q,8,FALSE)))</f>
        <v/>
      </c>
      <c r="F269" s="19" t="str">
        <f>IF(VLOOKUP($B269,Q,9,FALSE)=0,"",(VLOOKUP($B269,Q,9,FALSE)))</f>
        <v/>
      </c>
      <c r="G269" s="2" t="str">
        <f>IF(VLOOKUP($B269,Q,10,FALSE)=0,"",(VLOOKUP($B269,Q,10,FALSE)))</f>
        <v/>
      </c>
      <c r="H269" s="2" t="str">
        <f>IF(VLOOKUP($B269,Q,14,FALSE)=0,"",(VLOOKUP($B269,Q,14,FALSE)))</f>
        <v/>
      </c>
      <c r="I269" s="2" t="str">
        <f>IF(VLOOKUP($B269,Q,14,FALSE)=0,"",(VLOOKUP($B269,Q,15,FALSE)))</f>
        <v/>
      </c>
      <c r="J269" s="2" t="str">
        <f>IF(VLOOKUP($B269,Q,14,FALSE)=0,"",(VLOOKUP($B269,Q,16,FALSE)))</f>
        <v/>
      </c>
      <c r="K269" s="2" t="str">
        <f>IF(VLOOKUP($B269,Q,14,FALSE)=0,"",(VLOOKUP($B269,Q,17,FALSE)))</f>
        <v/>
      </c>
    </row>
    <row r="270" spans="2:11" x14ac:dyDescent="0.6">
      <c r="B270" s="1">
        <v>273</v>
      </c>
      <c r="C270" s="2" t="str">
        <f>IF(VLOOKUP($B270,Q,2,FALSE)=0,"",(VLOOKUP($B270,Q,2,FALSE)))</f>
        <v/>
      </c>
      <c r="D270" s="2" t="str">
        <f>IF(VLOOKUP($B270,Q,3,FALSE)=0,"",(VLOOKUP($B270,Q,3,FALSE)))</f>
        <v/>
      </c>
      <c r="E270" s="2" t="str">
        <f>IF(VLOOKUP($B270,Q,8,FALSE)=0,"",(VLOOKUP($B270,Q,8,FALSE)))</f>
        <v/>
      </c>
      <c r="F270" s="19" t="str">
        <f>IF(VLOOKUP($B270,Q,9,FALSE)=0,"",(VLOOKUP($B270,Q,9,FALSE)))</f>
        <v/>
      </c>
      <c r="G270" s="2" t="str">
        <f>IF(VLOOKUP($B270,Q,10,FALSE)=0,"",(VLOOKUP($B270,Q,10,FALSE)))</f>
        <v/>
      </c>
      <c r="H270" s="2" t="str">
        <f>IF(VLOOKUP($B270,Q,14,FALSE)=0,"",(VLOOKUP($B270,Q,14,FALSE)))</f>
        <v/>
      </c>
      <c r="I270" s="2" t="str">
        <f>IF(VLOOKUP($B270,Q,14,FALSE)=0,"",(VLOOKUP($B270,Q,15,FALSE)))</f>
        <v/>
      </c>
      <c r="J270" s="2" t="str">
        <f>IF(VLOOKUP($B270,Q,14,FALSE)=0,"",(VLOOKUP($B270,Q,16,FALSE)))</f>
        <v/>
      </c>
      <c r="K270" s="2" t="str">
        <f>IF(VLOOKUP($B270,Q,14,FALSE)=0,"",(VLOOKUP($B270,Q,17,FALSE)))</f>
        <v/>
      </c>
    </row>
    <row r="271" spans="2:11" x14ac:dyDescent="0.6">
      <c r="B271" s="1">
        <v>274</v>
      </c>
      <c r="C271" s="2" t="str">
        <f>IF(VLOOKUP($B271,Q,2,FALSE)=0,"",(VLOOKUP($B271,Q,2,FALSE)))</f>
        <v/>
      </c>
      <c r="D271" s="2" t="str">
        <f>IF(VLOOKUP($B271,Q,3,FALSE)=0,"",(VLOOKUP($B271,Q,3,FALSE)))</f>
        <v/>
      </c>
      <c r="E271" s="2" t="str">
        <f>IF(VLOOKUP($B271,Q,8,FALSE)=0,"",(VLOOKUP($B271,Q,8,FALSE)))</f>
        <v/>
      </c>
      <c r="F271" s="19" t="str">
        <f>IF(VLOOKUP($B271,Q,9,FALSE)=0,"",(VLOOKUP($B271,Q,9,FALSE)))</f>
        <v/>
      </c>
      <c r="G271" s="2" t="str">
        <f>IF(VLOOKUP($B271,Q,10,FALSE)=0,"",(VLOOKUP($B271,Q,10,FALSE)))</f>
        <v/>
      </c>
      <c r="H271" s="2" t="str">
        <f>IF(VLOOKUP($B271,Q,14,FALSE)=0,"",(VLOOKUP($B271,Q,14,FALSE)))</f>
        <v/>
      </c>
      <c r="I271" s="2" t="str">
        <f>IF(VLOOKUP($B271,Q,14,FALSE)=0,"",(VLOOKUP($B271,Q,15,FALSE)))</f>
        <v/>
      </c>
      <c r="J271" s="2" t="str">
        <f>IF(VLOOKUP($B271,Q,14,FALSE)=0,"",(VLOOKUP($B271,Q,16,FALSE)))</f>
        <v/>
      </c>
      <c r="K271" s="2" t="str">
        <f>IF(VLOOKUP($B271,Q,14,FALSE)=0,"",(VLOOKUP($B271,Q,17,FALSE)))</f>
        <v/>
      </c>
    </row>
    <row r="272" spans="2:11" x14ac:dyDescent="0.6">
      <c r="B272" s="1">
        <v>275</v>
      </c>
      <c r="C272" s="2" t="str">
        <f>IF(VLOOKUP($B272,Q,2,FALSE)=0,"",(VLOOKUP($B272,Q,2,FALSE)))</f>
        <v/>
      </c>
      <c r="D272" s="2" t="str">
        <f>IF(VLOOKUP($B272,Q,3,FALSE)=0,"",(VLOOKUP($B272,Q,3,FALSE)))</f>
        <v/>
      </c>
      <c r="E272" s="2" t="str">
        <f>IF(VLOOKUP($B272,Q,8,FALSE)=0,"",(VLOOKUP($B272,Q,8,FALSE)))</f>
        <v/>
      </c>
      <c r="F272" s="19" t="str">
        <f>IF(VLOOKUP($B272,Q,9,FALSE)=0,"",(VLOOKUP($B272,Q,9,FALSE)))</f>
        <v/>
      </c>
      <c r="G272" s="2" t="str">
        <f>IF(VLOOKUP($B272,Q,10,FALSE)=0,"",(VLOOKUP($B272,Q,10,FALSE)))</f>
        <v/>
      </c>
      <c r="H272" s="2" t="str">
        <f>IF(VLOOKUP($B272,Q,14,FALSE)=0,"",(VLOOKUP($B272,Q,14,FALSE)))</f>
        <v/>
      </c>
      <c r="I272" s="2" t="str">
        <f>IF(VLOOKUP($B272,Q,14,FALSE)=0,"",(VLOOKUP($B272,Q,15,FALSE)))</f>
        <v/>
      </c>
      <c r="J272" s="2" t="str">
        <f>IF(VLOOKUP($B272,Q,14,FALSE)=0,"",(VLOOKUP($B272,Q,16,FALSE)))</f>
        <v/>
      </c>
      <c r="K272" s="2" t="str">
        <f>IF(VLOOKUP($B272,Q,14,FALSE)=0,"",(VLOOKUP($B272,Q,17,FALSE)))</f>
        <v/>
      </c>
    </row>
    <row r="273" spans="2:11" x14ac:dyDescent="0.6">
      <c r="B273" s="1">
        <v>276</v>
      </c>
      <c r="C273" s="2" t="str">
        <f>IF(VLOOKUP($B273,Q,2,FALSE)=0,"",(VLOOKUP($B273,Q,2,FALSE)))</f>
        <v/>
      </c>
      <c r="D273" s="2" t="str">
        <f>IF(VLOOKUP($B273,Q,3,FALSE)=0,"",(VLOOKUP($B273,Q,3,FALSE)))</f>
        <v/>
      </c>
      <c r="E273" s="2" t="str">
        <f>IF(VLOOKUP($B273,Q,8,FALSE)=0,"",(VLOOKUP($B273,Q,8,FALSE)))</f>
        <v/>
      </c>
      <c r="F273" s="19" t="str">
        <f>IF(VLOOKUP($B273,Q,9,FALSE)=0,"",(VLOOKUP($B273,Q,9,FALSE)))</f>
        <v/>
      </c>
      <c r="G273" s="2" t="str">
        <f>IF(VLOOKUP($B273,Q,10,FALSE)=0,"",(VLOOKUP($B273,Q,10,FALSE)))</f>
        <v/>
      </c>
      <c r="H273" s="2" t="str">
        <f>IF(VLOOKUP($B273,Q,14,FALSE)=0,"",(VLOOKUP($B273,Q,14,FALSE)))</f>
        <v/>
      </c>
      <c r="I273" s="2" t="str">
        <f>IF(VLOOKUP($B273,Q,14,FALSE)=0,"",(VLOOKUP($B273,Q,15,FALSE)))</f>
        <v/>
      </c>
      <c r="J273" s="2" t="str">
        <f>IF(VLOOKUP($B273,Q,14,FALSE)=0,"",(VLOOKUP($B273,Q,16,FALSE)))</f>
        <v/>
      </c>
      <c r="K273" s="2" t="str">
        <f>IF(VLOOKUP($B273,Q,14,FALSE)=0,"",(VLOOKUP($B273,Q,17,FALSE)))</f>
        <v/>
      </c>
    </row>
    <row r="274" spans="2:11" x14ac:dyDescent="0.6">
      <c r="B274" s="1">
        <v>277</v>
      </c>
      <c r="C274" s="2" t="str">
        <f>IF(VLOOKUP($B274,Q,2,FALSE)=0,"",(VLOOKUP($B274,Q,2,FALSE)))</f>
        <v/>
      </c>
      <c r="D274" s="2" t="str">
        <f>IF(VLOOKUP($B274,Q,3,FALSE)=0,"",(VLOOKUP($B274,Q,3,FALSE)))</f>
        <v/>
      </c>
      <c r="E274" s="2" t="str">
        <f>IF(VLOOKUP($B274,Q,8,FALSE)=0,"",(VLOOKUP($B274,Q,8,FALSE)))</f>
        <v/>
      </c>
      <c r="F274" s="19" t="str">
        <f>IF(VLOOKUP($B274,Q,9,FALSE)=0,"",(VLOOKUP($B274,Q,9,FALSE)))</f>
        <v/>
      </c>
      <c r="G274" s="2" t="str">
        <f>IF(VLOOKUP($B274,Q,10,FALSE)=0,"",(VLOOKUP($B274,Q,10,FALSE)))</f>
        <v/>
      </c>
      <c r="H274" s="2" t="str">
        <f>IF(VLOOKUP($B274,Q,14,FALSE)=0,"",(VLOOKUP($B274,Q,14,FALSE)))</f>
        <v/>
      </c>
      <c r="I274" s="2" t="str">
        <f>IF(VLOOKUP($B274,Q,14,FALSE)=0,"",(VLOOKUP($B274,Q,15,FALSE)))</f>
        <v/>
      </c>
      <c r="J274" s="2" t="str">
        <f>IF(VLOOKUP($B274,Q,14,FALSE)=0,"",(VLOOKUP($B274,Q,16,FALSE)))</f>
        <v/>
      </c>
      <c r="K274" s="2" t="str">
        <f>IF(VLOOKUP($B274,Q,14,FALSE)=0,"",(VLOOKUP($B274,Q,17,FALSE)))</f>
        <v/>
      </c>
    </row>
    <row r="275" spans="2:11" x14ac:dyDescent="0.6">
      <c r="B275" s="1">
        <v>278</v>
      </c>
      <c r="C275" s="2" t="str">
        <f>IF(VLOOKUP($B275,Q,2,FALSE)=0,"",(VLOOKUP($B275,Q,2,FALSE)))</f>
        <v/>
      </c>
      <c r="D275" s="2" t="str">
        <f>IF(VLOOKUP($B275,Q,3,FALSE)=0,"",(VLOOKUP($B275,Q,3,FALSE)))</f>
        <v/>
      </c>
      <c r="E275" s="2" t="str">
        <f>IF(VLOOKUP($B275,Q,8,FALSE)=0,"",(VLOOKUP($B275,Q,8,FALSE)))</f>
        <v/>
      </c>
      <c r="F275" s="19" t="str">
        <f>IF(VLOOKUP($B275,Q,9,FALSE)=0,"",(VLOOKUP($B275,Q,9,FALSE)))</f>
        <v/>
      </c>
      <c r="G275" s="2" t="str">
        <f>IF(VLOOKUP($B275,Q,10,FALSE)=0,"",(VLOOKUP($B275,Q,10,FALSE)))</f>
        <v/>
      </c>
      <c r="H275" s="2" t="str">
        <f>IF(VLOOKUP($B275,Q,14,FALSE)=0,"",(VLOOKUP($B275,Q,14,FALSE)))</f>
        <v/>
      </c>
      <c r="I275" s="2" t="str">
        <f>IF(VLOOKUP($B275,Q,14,FALSE)=0,"",(VLOOKUP($B275,Q,15,FALSE)))</f>
        <v/>
      </c>
      <c r="J275" s="2" t="str">
        <f>IF(VLOOKUP($B275,Q,14,FALSE)=0,"",(VLOOKUP($B275,Q,16,FALSE)))</f>
        <v/>
      </c>
      <c r="K275" s="2" t="str">
        <f>IF(VLOOKUP($B275,Q,14,FALSE)=0,"",(VLOOKUP($B275,Q,17,FALSE)))</f>
        <v/>
      </c>
    </row>
    <row r="276" spans="2:11" x14ac:dyDescent="0.6">
      <c r="B276" s="1">
        <v>279</v>
      </c>
      <c r="C276" s="2" t="str">
        <f>IF(VLOOKUP($B276,Q,2,FALSE)=0,"",(VLOOKUP($B276,Q,2,FALSE)))</f>
        <v/>
      </c>
      <c r="D276" s="2" t="str">
        <f>IF(VLOOKUP($B276,Q,3,FALSE)=0,"",(VLOOKUP($B276,Q,3,FALSE)))</f>
        <v/>
      </c>
      <c r="E276" s="2" t="str">
        <f>IF(VLOOKUP($B276,Q,8,FALSE)=0,"",(VLOOKUP($B276,Q,8,FALSE)))</f>
        <v/>
      </c>
      <c r="F276" s="19" t="str">
        <f>IF(VLOOKUP($B276,Q,9,FALSE)=0,"",(VLOOKUP($B276,Q,9,FALSE)))</f>
        <v/>
      </c>
      <c r="G276" s="2" t="str">
        <f>IF(VLOOKUP($B276,Q,10,FALSE)=0,"",(VLOOKUP($B276,Q,10,FALSE)))</f>
        <v/>
      </c>
      <c r="H276" s="2" t="str">
        <f>IF(VLOOKUP($B276,Q,14,FALSE)=0,"",(VLOOKUP($B276,Q,14,FALSE)))</f>
        <v/>
      </c>
      <c r="I276" s="2" t="str">
        <f>IF(VLOOKUP($B276,Q,14,FALSE)=0,"",(VLOOKUP($B276,Q,15,FALSE)))</f>
        <v/>
      </c>
      <c r="J276" s="2" t="str">
        <f>IF(VLOOKUP($B276,Q,14,FALSE)=0,"",(VLOOKUP($B276,Q,16,FALSE)))</f>
        <v/>
      </c>
      <c r="K276" s="2" t="str">
        <f>IF(VLOOKUP($B276,Q,14,FALSE)=0,"",(VLOOKUP($B276,Q,17,FALSE)))</f>
        <v/>
      </c>
    </row>
    <row r="277" spans="2:11" x14ac:dyDescent="0.6">
      <c r="B277" s="1">
        <v>280</v>
      </c>
      <c r="C277" s="2" t="str">
        <f>IF(VLOOKUP($B277,Q,2,FALSE)=0,"",(VLOOKUP($B277,Q,2,FALSE)))</f>
        <v/>
      </c>
      <c r="D277" s="2" t="str">
        <f>IF(VLOOKUP($B277,Q,3,FALSE)=0,"",(VLOOKUP($B277,Q,3,FALSE)))</f>
        <v/>
      </c>
      <c r="E277" s="2" t="str">
        <f>IF(VLOOKUP($B277,Q,8,FALSE)=0,"",(VLOOKUP($B277,Q,8,FALSE)))</f>
        <v/>
      </c>
      <c r="F277" s="19" t="str">
        <f>IF(VLOOKUP($B277,Q,9,FALSE)=0,"",(VLOOKUP($B277,Q,9,FALSE)))</f>
        <v/>
      </c>
      <c r="G277" s="2" t="str">
        <f>IF(VLOOKUP($B277,Q,10,FALSE)=0,"",(VLOOKUP($B277,Q,10,FALSE)))</f>
        <v/>
      </c>
      <c r="H277" s="2" t="str">
        <f>IF(VLOOKUP($B277,Q,14,FALSE)=0,"",(VLOOKUP($B277,Q,14,FALSE)))</f>
        <v/>
      </c>
      <c r="I277" s="2" t="str">
        <f>IF(VLOOKUP($B277,Q,14,FALSE)=0,"",(VLOOKUP($B277,Q,15,FALSE)))</f>
        <v/>
      </c>
      <c r="J277" s="2" t="str">
        <f>IF(VLOOKUP($B277,Q,14,FALSE)=0,"",(VLOOKUP($B277,Q,16,FALSE)))</f>
        <v/>
      </c>
      <c r="K277" s="2" t="str">
        <f>IF(VLOOKUP($B277,Q,14,FALSE)=0,"",(VLOOKUP($B277,Q,17,FALSE)))</f>
        <v/>
      </c>
    </row>
    <row r="278" spans="2:11" x14ac:dyDescent="0.6">
      <c r="B278" s="1">
        <v>281</v>
      </c>
      <c r="C278" s="2" t="str">
        <f>IF(VLOOKUP($B278,Q,2,FALSE)=0,"",(VLOOKUP($B278,Q,2,FALSE)))</f>
        <v/>
      </c>
      <c r="D278" s="2" t="str">
        <f>IF(VLOOKUP($B278,Q,3,FALSE)=0,"",(VLOOKUP($B278,Q,3,FALSE)))</f>
        <v/>
      </c>
      <c r="E278" s="2" t="str">
        <f>IF(VLOOKUP($B278,Q,8,FALSE)=0,"",(VLOOKUP($B278,Q,8,FALSE)))</f>
        <v/>
      </c>
      <c r="F278" s="19" t="str">
        <f>IF(VLOOKUP($B278,Q,9,FALSE)=0,"",(VLOOKUP($B278,Q,9,FALSE)))</f>
        <v/>
      </c>
      <c r="G278" s="2" t="str">
        <f>IF(VLOOKUP($B278,Q,10,FALSE)=0,"",(VLOOKUP($B278,Q,10,FALSE)))</f>
        <v/>
      </c>
      <c r="H278" s="2" t="str">
        <f>IF(VLOOKUP($B278,Q,14,FALSE)=0,"",(VLOOKUP($B278,Q,14,FALSE)))</f>
        <v/>
      </c>
      <c r="I278" s="2" t="str">
        <f>IF(VLOOKUP($B278,Q,14,FALSE)=0,"",(VLOOKUP($B278,Q,15,FALSE)))</f>
        <v/>
      </c>
      <c r="J278" s="2" t="str">
        <f>IF(VLOOKUP($B278,Q,14,FALSE)=0,"",(VLOOKUP($B278,Q,16,FALSE)))</f>
        <v/>
      </c>
      <c r="K278" s="2" t="str">
        <f>IF(VLOOKUP($B278,Q,14,FALSE)=0,"",(VLOOKUP($B278,Q,17,FALSE)))</f>
        <v/>
      </c>
    </row>
    <row r="279" spans="2:11" x14ac:dyDescent="0.6">
      <c r="B279" s="1">
        <v>282</v>
      </c>
      <c r="C279" s="2" t="str">
        <f>IF(VLOOKUP($B279,Q,2,FALSE)=0,"",(VLOOKUP($B279,Q,2,FALSE)))</f>
        <v/>
      </c>
      <c r="D279" s="2" t="str">
        <f>IF(VLOOKUP($B279,Q,3,FALSE)=0,"",(VLOOKUP($B279,Q,3,FALSE)))</f>
        <v/>
      </c>
      <c r="E279" s="2" t="str">
        <f>IF(VLOOKUP($B279,Q,8,FALSE)=0,"",(VLOOKUP($B279,Q,8,FALSE)))</f>
        <v/>
      </c>
      <c r="F279" s="19" t="str">
        <f>IF(VLOOKUP($B279,Q,9,FALSE)=0,"",(VLOOKUP($B279,Q,9,FALSE)))</f>
        <v/>
      </c>
      <c r="G279" s="2" t="str">
        <f>IF(VLOOKUP($B279,Q,10,FALSE)=0,"",(VLOOKUP($B279,Q,10,FALSE)))</f>
        <v/>
      </c>
      <c r="H279" s="2" t="str">
        <f>IF(VLOOKUP($B279,Q,14,FALSE)=0,"",(VLOOKUP($B279,Q,14,FALSE)))</f>
        <v/>
      </c>
      <c r="I279" s="2" t="str">
        <f>IF(VLOOKUP($B279,Q,14,FALSE)=0,"",(VLOOKUP($B279,Q,15,FALSE)))</f>
        <v/>
      </c>
      <c r="J279" s="2" t="str">
        <f>IF(VLOOKUP($B279,Q,14,FALSE)=0,"",(VLOOKUP($B279,Q,16,FALSE)))</f>
        <v/>
      </c>
      <c r="K279" s="2" t="str">
        <f>IF(VLOOKUP($B279,Q,14,FALSE)=0,"",(VLOOKUP($B279,Q,17,FALSE)))</f>
        <v/>
      </c>
    </row>
    <row r="280" spans="2:11" x14ac:dyDescent="0.6">
      <c r="B280" s="1">
        <v>283</v>
      </c>
      <c r="C280" s="2" t="str">
        <f>IF(VLOOKUP($B280,Q,2,FALSE)=0,"",(VLOOKUP($B280,Q,2,FALSE)))</f>
        <v/>
      </c>
      <c r="D280" s="2" t="str">
        <f>IF(VLOOKUP($B280,Q,3,FALSE)=0,"",(VLOOKUP($B280,Q,3,FALSE)))</f>
        <v/>
      </c>
      <c r="E280" s="2" t="str">
        <f>IF(VLOOKUP($B280,Q,8,FALSE)=0,"",(VLOOKUP($B280,Q,8,FALSE)))</f>
        <v/>
      </c>
      <c r="F280" s="19" t="str">
        <f>IF(VLOOKUP($B280,Q,9,FALSE)=0,"",(VLOOKUP($B280,Q,9,FALSE)))</f>
        <v/>
      </c>
      <c r="G280" s="2" t="str">
        <f>IF(VLOOKUP($B280,Q,10,FALSE)=0,"",(VLOOKUP($B280,Q,10,FALSE)))</f>
        <v/>
      </c>
      <c r="H280" s="2" t="str">
        <f>IF(VLOOKUP($B280,Q,14,FALSE)=0,"",(VLOOKUP($B280,Q,14,FALSE)))</f>
        <v/>
      </c>
      <c r="I280" s="2" t="str">
        <f>IF(VLOOKUP($B280,Q,14,FALSE)=0,"",(VLOOKUP($B280,Q,15,FALSE)))</f>
        <v/>
      </c>
      <c r="J280" s="2" t="str">
        <f>IF(VLOOKUP($B280,Q,14,FALSE)=0,"",(VLOOKUP($B280,Q,16,FALSE)))</f>
        <v/>
      </c>
      <c r="K280" s="2" t="str">
        <f>IF(VLOOKUP($B280,Q,14,FALSE)=0,"",(VLOOKUP($B280,Q,17,FALSE)))</f>
        <v/>
      </c>
    </row>
    <row r="281" spans="2:11" x14ac:dyDescent="0.6">
      <c r="B281" s="1">
        <v>284</v>
      </c>
      <c r="C281" s="2" t="str">
        <f>IF(VLOOKUP($B281,Q,2,FALSE)=0,"",(VLOOKUP($B281,Q,2,FALSE)))</f>
        <v/>
      </c>
      <c r="D281" s="2" t="str">
        <f>IF(VLOOKUP($B281,Q,3,FALSE)=0,"",(VLOOKUP($B281,Q,3,FALSE)))</f>
        <v/>
      </c>
      <c r="E281" s="2" t="str">
        <f>IF(VLOOKUP($B281,Q,8,FALSE)=0,"",(VLOOKUP($B281,Q,8,FALSE)))</f>
        <v/>
      </c>
      <c r="F281" s="19" t="str">
        <f>IF(VLOOKUP($B281,Q,9,FALSE)=0,"",(VLOOKUP($B281,Q,9,FALSE)))</f>
        <v/>
      </c>
      <c r="G281" s="2" t="str">
        <f>IF(VLOOKUP($B281,Q,10,FALSE)=0,"",(VLOOKUP($B281,Q,10,FALSE)))</f>
        <v/>
      </c>
      <c r="H281" s="2" t="str">
        <f>IF(VLOOKUP($B281,Q,14,FALSE)=0,"",(VLOOKUP($B281,Q,14,FALSE)))</f>
        <v/>
      </c>
      <c r="I281" s="2" t="str">
        <f>IF(VLOOKUP($B281,Q,14,FALSE)=0,"",(VLOOKUP($B281,Q,15,FALSE)))</f>
        <v/>
      </c>
      <c r="J281" s="2" t="str">
        <f>IF(VLOOKUP($B281,Q,14,FALSE)=0,"",(VLOOKUP($B281,Q,16,FALSE)))</f>
        <v/>
      </c>
      <c r="K281" s="2" t="str">
        <f>IF(VLOOKUP($B281,Q,14,FALSE)=0,"",(VLOOKUP($B281,Q,17,FALSE)))</f>
        <v/>
      </c>
    </row>
    <row r="282" spans="2:11" x14ac:dyDescent="0.6">
      <c r="B282" s="1">
        <v>285</v>
      </c>
      <c r="C282" s="2" t="str">
        <f>IF(VLOOKUP($B282,Q,2,FALSE)=0,"",(VLOOKUP($B282,Q,2,FALSE)))</f>
        <v/>
      </c>
      <c r="D282" s="2" t="str">
        <f>IF(VLOOKUP($B282,Q,3,FALSE)=0,"",(VLOOKUP($B282,Q,3,FALSE)))</f>
        <v/>
      </c>
      <c r="E282" s="2" t="str">
        <f>IF(VLOOKUP($B282,Q,8,FALSE)=0,"",(VLOOKUP($B282,Q,8,FALSE)))</f>
        <v/>
      </c>
      <c r="F282" s="19" t="str">
        <f>IF(VLOOKUP($B282,Q,9,FALSE)=0,"",(VLOOKUP($B282,Q,9,FALSE)))</f>
        <v/>
      </c>
      <c r="G282" s="2" t="str">
        <f>IF(VLOOKUP($B282,Q,10,FALSE)=0,"",(VLOOKUP($B282,Q,10,FALSE)))</f>
        <v/>
      </c>
      <c r="H282" s="2" t="str">
        <f>IF(VLOOKUP($B282,Q,14,FALSE)=0,"",(VLOOKUP($B282,Q,14,FALSE)))</f>
        <v/>
      </c>
      <c r="I282" s="2" t="str">
        <f>IF(VLOOKUP($B282,Q,14,FALSE)=0,"",(VLOOKUP($B282,Q,15,FALSE)))</f>
        <v/>
      </c>
      <c r="J282" s="2" t="str">
        <f>IF(VLOOKUP($B282,Q,14,FALSE)=0,"",(VLOOKUP($B282,Q,16,FALSE)))</f>
        <v/>
      </c>
      <c r="K282" s="2" t="str">
        <f>IF(VLOOKUP($B282,Q,14,FALSE)=0,"",(VLOOKUP($B282,Q,17,FALSE)))</f>
        <v/>
      </c>
    </row>
    <row r="283" spans="2:11" x14ac:dyDescent="0.6">
      <c r="B283" s="1">
        <v>286</v>
      </c>
      <c r="C283" s="2" t="str">
        <f>IF(VLOOKUP($B283,Q,2,FALSE)=0,"",(VLOOKUP($B283,Q,2,FALSE)))</f>
        <v/>
      </c>
      <c r="D283" s="2" t="str">
        <f>IF(VLOOKUP($B283,Q,3,FALSE)=0,"",(VLOOKUP($B283,Q,3,FALSE)))</f>
        <v/>
      </c>
      <c r="E283" s="2" t="str">
        <f>IF(VLOOKUP($B283,Q,8,FALSE)=0,"",(VLOOKUP($B283,Q,8,FALSE)))</f>
        <v/>
      </c>
      <c r="F283" s="19" t="str">
        <f>IF(VLOOKUP($B283,Q,9,FALSE)=0,"",(VLOOKUP($B283,Q,9,FALSE)))</f>
        <v/>
      </c>
      <c r="G283" s="2" t="str">
        <f>IF(VLOOKUP($B283,Q,10,FALSE)=0,"",(VLOOKUP($B283,Q,10,FALSE)))</f>
        <v/>
      </c>
      <c r="H283" s="2" t="str">
        <f>IF(VLOOKUP($B283,Q,14,FALSE)=0,"",(VLOOKUP($B283,Q,14,FALSE)))</f>
        <v/>
      </c>
      <c r="I283" s="2" t="str">
        <f>IF(VLOOKUP($B283,Q,14,FALSE)=0,"",(VLOOKUP($B283,Q,15,FALSE)))</f>
        <v/>
      </c>
      <c r="J283" s="2" t="str">
        <f>IF(VLOOKUP($B283,Q,14,FALSE)=0,"",(VLOOKUP($B283,Q,16,FALSE)))</f>
        <v/>
      </c>
      <c r="K283" s="2" t="str">
        <f>IF(VLOOKUP($B283,Q,14,FALSE)=0,"",(VLOOKUP($B283,Q,17,FALSE)))</f>
        <v/>
      </c>
    </row>
    <row r="284" spans="2:11" x14ac:dyDescent="0.6">
      <c r="B284" s="1">
        <v>287</v>
      </c>
      <c r="C284" s="2" t="str">
        <f>IF(VLOOKUP($B284,Q,2,FALSE)=0,"",(VLOOKUP($B284,Q,2,FALSE)))</f>
        <v/>
      </c>
      <c r="D284" s="2" t="str">
        <f>IF(VLOOKUP($B284,Q,3,FALSE)=0,"",(VLOOKUP($B284,Q,3,FALSE)))</f>
        <v/>
      </c>
      <c r="E284" s="2" t="str">
        <f>IF(VLOOKUP($B284,Q,8,FALSE)=0,"",(VLOOKUP($B284,Q,8,FALSE)))</f>
        <v/>
      </c>
      <c r="F284" s="19" t="str">
        <f>IF(VLOOKUP($B284,Q,9,FALSE)=0,"",(VLOOKUP($B284,Q,9,FALSE)))</f>
        <v/>
      </c>
      <c r="G284" s="2" t="str">
        <f>IF(VLOOKUP($B284,Q,10,FALSE)=0,"",(VLOOKUP($B284,Q,10,FALSE)))</f>
        <v/>
      </c>
      <c r="H284" s="2" t="str">
        <f>IF(VLOOKUP($B284,Q,14,FALSE)=0,"",(VLOOKUP($B284,Q,14,FALSE)))</f>
        <v/>
      </c>
      <c r="I284" s="2" t="str">
        <f>IF(VLOOKUP($B284,Q,14,FALSE)=0,"",(VLOOKUP($B284,Q,15,FALSE)))</f>
        <v/>
      </c>
      <c r="J284" s="2" t="str">
        <f>IF(VLOOKUP($B284,Q,14,FALSE)=0,"",(VLOOKUP($B284,Q,16,FALSE)))</f>
        <v/>
      </c>
      <c r="K284" s="2" t="str">
        <f>IF(VLOOKUP($B284,Q,14,FALSE)=0,"",(VLOOKUP($B284,Q,17,FALSE)))</f>
        <v/>
      </c>
    </row>
    <row r="285" spans="2:11" x14ac:dyDescent="0.6">
      <c r="B285" s="1">
        <v>288</v>
      </c>
      <c r="C285" s="2" t="str">
        <f>IF(VLOOKUP($B285,Q,2,FALSE)=0,"",(VLOOKUP($B285,Q,2,FALSE)))</f>
        <v/>
      </c>
      <c r="D285" s="2" t="str">
        <f>IF(VLOOKUP($B285,Q,3,FALSE)=0,"",(VLOOKUP($B285,Q,3,FALSE)))</f>
        <v/>
      </c>
      <c r="E285" s="2" t="str">
        <f>IF(VLOOKUP($B285,Q,8,FALSE)=0,"",(VLOOKUP($B285,Q,8,FALSE)))</f>
        <v/>
      </c>
      <c r="F285" s="19" t="str">
        <f>IF(VLOOKUP($B285,Q,9,FALSE)=0,"",(VLOOKUP($B285,Q,9,FALSE)))</f>
        <v/>
      </c>
      <c r="G285" s="2" t="str">
        <f>IF(VLOOKUP($B285,Q,10,FALSE)=0,"",(VLOOKUP($B285,Q,10,FALSE)))</f>
        <v/>
      </c>
      <c r="H285" s="2" t="str">
        <f>IF(VLOOKUP($B285,Q,14,FALSE)=0,"",(VLOOKUP($B285,Q,14,FALSE)))</f>
        <v/>
      </c>
      <c r="I285" s="2" t="str">
        <f>IF(VLOOKUP($B285,Q,14,FALSE)=0,"",(VLOOKUP($B285,Q,15,FALSE)))</f>
        <v/>
      </c>
      <c r="J285" s="2" t="str">
        <f>IF(VLOOKUP($B285,Q,14,FALSE)=0,"",(VLOOKUP($B285,Q,16,FALSE)))</f>
        <v/>
      </c>
      <c r="K285" s="2" t="str">
        <f>IF(VLOOKUP($B285,Q,14,FALSE)=0,"",(VLOOKUP($B285,Q,17,FALSE)))</f>
        <v/>
      </c>
    </row>
    <row r="286" spans="2:11" x14ac:dyDescent="0.6">
      <c r="B286" s="1">
        <v>289</v>
      </c>
      <c r="C286" s="2" t="str">
        <f>IF(VLOOKUP($B286,Q,2,FALSE)=0,"",(VLOOKUP($B286,Q,2,FALSE)))</f>
        <v/>
      </c>
      <c r="D286" s="2" t="str">
        <f>IF(VLOOKUP($B286,Q,3,FALSE)=0,"",(VLOOKUP($B286,Q,3,FALSE)))</f>
        <v/>
      </c>
      <c r="E286" s="2" t="str">
        <f>IF(VLOOKUP($B286,Q,8,FALSE)=0,"",(VLOOKUP($B286,Q,8,FALSE)))</f>
        <v/>
      </c>
      <c r="F286" s="19" t="str">
        <f>IF(VLOOKUP($B286,Q,9,FALSE)=0,"",(VLOOKUP($B286,Q,9,FALSE)))</f>
        <v/>
      </c>
      <c r="G286" s="2" t="str">
        <f>IF(VLOOKUP($B286,Q,10,FALSE)=0,"",(VLOOKUP($B286,Q,10,FALSE)))</f>
        <v/>
      </c>
      <c r="H286" s="2" t="str">
        <f>IF(VLOOKUP($B286,Q,14,FALSE)=0,"",(VLOOKUP($B286,Q,14,FALSE)))</f>
        <v/>
      </c>
      <c r="I286" s="2" t="str">
        <f>IF(VLOOKUP($B286,Q,14,FALSE)=0,"",(VLOOKUP($B286,Q,15,FALSE)))</f>
        <v/>
      </c>
      <c r="J286" s="2" t="str">
        <f>IF(VLOOKUP($B286,Q,14,FALSE)=0,"",(VLOOKUP($B286,Q,16,FALSE)))</f>
        <v/>
      </c>
      <c r="K286" s="2" t="str">
        <f>IF(VLOOKUP($B286,Q,14,FALSE)=0,"",(VLOOKUP($B286,Q,17,FALSE)))</f>
        <v/>
      </c>
    </row>
    <row r="287" spans="2:11" x14ac:dyDescent="0.6">
      <c r="B287" s="1">
        <v>290</v>
      </c>
      <c r="C287" s="2" t="str">
        <f>IF(VLOOKUP($B287,Q,2,FALSE)=0,"",(VLOOKUP($B287,Q,2,FALSE)))</f>
        <v/>
      </c>
      <c r="D287" s="2" t="str">
        <f>IF(VLOOKUP($B287,Q,3,FALSE)=0,"",(VLOOKUP($B287,Q,3,FALSE)))</f>
        <v/>
      </c>
      <c r="E287" s="2" t="str">
        <f>IF(VLOOKUP($B287,Q,8,FALSE)=0,"",(VLOOKUP($B287,Q,8,FALSE)))</f>
        <v/>
      </c>
      <c r="F287" s="19" t="str">
        <f>IF(VLOOKUP($B287,Q,9,FALSE)=0,"",(VLOOKUP($B287,Q,9,FALSE)))</f>
        <v/>
      </c>
      <c r="G287" s="2" t="str">
        <f>IF(VLOOKUP($B287,Q,10,FALSE)=0,"",(VLOOKUP($B287,Q,10,FALSE)))</f>
        <v/>
      </c>
      <c r="H287" s="2" t="str">
        <f>IF(VLOOKUP($B287,Q,14,FALSE)=0,"",(VLOOKUP($B287,Q,14,FALSE)))</f>
        <v/>
      </c>
      <c r="I287" s="2" t="str">
        <f>IF(VLOOKUP($B287,Q,14,FALSE)=0,"",(VLOOKUP($B287,Q,15,FALSE)))</f>
        <v/>
      </c>
      <c r="J287" s="2" t="str">
        <f>IF(VLOOKUP($B287,Q,14,FALSE)=0,"",(VLOOKUP($B287,Q,16,FALSE)))</f>
        <v/>
      </c>
      <c r="K287" s="2" t="str">
        <f>IF(VLOOKUP($B287,Q,14,FALSE)=0,"",(VLOOKUP($B287,Q,17,FALSE)))</f>
        <v/>
      </c>
    </row>
    <row r="288" spans="2:11" x14ac:dyDescent="0.6">
      <c r="B288" s="1">
        <v>291</v>
      </c>
      <c r="C288" s="2" t="str">
        <f>IF(VLOOKUP($B288,Q,2,FALSE)=0,"",(VLOOKUP($B288,Q,2,FALSE)))</f>
        <v/>
      </c>
      <c r="D288" s="2" t="str">
        <f>IF(VLOOKUP($B288,Q,3,FALSE)=0,"",(VLOOKUP($B288,Q,3,FALSE)))</f>
        <v/>
      </c>
      <c r="E288" s="2" t="str">
        <f>IF(VLOOKUP($B288,Q,8,FALSE)=0,"",(VLOOKUP($B288,Q,8,FALSE)))</f>
        <v/>
      </c>
      <c r="F288" s="19" t="str">
        <f>IF(VLOOKUP($B288,Q,9,FALSE)=0,"",(VLOOKUP($B288,Q,9,FALSE)))</f>
        <v/>
      </c>
      <c r="G288" s="2" t="str">
        <f>IF(VLOOKUP($B288,Q,10,FALSE)=0,"",(VLOOKUP($B288,Q,10,FALSE)))</f>
        <v/>
      </c>
      <c r="H288" s="2" t="str">
        <f>IF(VLOOKUP($B288,Q,14,FALSE)=0,"",(VLOOKUP($B288,Q,14,FALSE)))</f>
        <v/>
      </c>
      <c r="I288" s="2" t="str">
        <f>IF(VLOOKUP($B288,Q,14,FALSE)=0,"",(VLOOKUP($B288,Q,15,FALSE)))</f>
        <v/>
      </c>
      <c r="J288" s="2" t="str">
        <f>IF(VLOOKUP($B288,Q,14,FALSE)=0,"",(VLOOKUP($B288,Q,16,FALSE)))</f>
        <v/>
      </c>
      <c r="K288" s="2" t="str">
        <f>IF(VLOOKUP($B288,Q,14,FALSE)=0,"",(VLOOKUP($B288,Q,17,FALSE)))</f>
        <v/>
      </c>
    </row>
    <row r="289" spans="2:11" x14ac:dyDescent="0.6">
      <c r="B289" s="1">
        <v>292</v>
      </c>
      <c r="C289" s="2" t="str">
        <f>IF(VLOOKUP($B289,Q,2,FALSE)=0,"",(VLOOKUP($B289,Q,2,FALSE)))</f>
        <v/>
      </c>
      <c r="D289" s="2" t="str">
        <f>IF(VLOOKUP($B289,Q,3,FALSE)=0,"",(VLOOKUP($B289,Q,3,FALSE)))</f>
        <v/>
      </c>
      <c r="E289" s="2" t="str">
        <f>IF(VLOOKUP($B289,Q,8,FALSE)=0,"",(VLOOKUP($B289,Q,8,FALSE)))</f>
        <v/>
      </c>
      <c r="F289" s="19" t="str">
        <f>IF(VLOOKUP($B289,Q,9,FALSE)=0,"",(VLOOKUP($B289,Q,9,FALSE)))</f>
        <v/>
      </c>
      <c r="G289" s="2" t="str">
        <f>IF(VLOOKUP($B289,Q,10,FALSE)=0,"",(VLOOKUP($B289,Q,10,FALSE)))</f>
        <v/>
      </c>
      <c r="H289" s="2" t="str">
        <f>IF(VLOOKUP($B289,Q,14,FALSE)=0,"",(VLOOKUP($B289,Q,14,FALSE)))</f>
        <v/>
      </c>
      <c r="I289" s="2" t="str">
        <f>IF(VLOOKUP($B289,Q,14,FALSE)=0,"",(VLOOKUP($B289,Q,15,FALSE)))</f>
        <v/>
      </c>
      <c r="J289" s="2" t="str">
        <f>IF(VLOOKUP($B289,Q,14,FALSE)=0,"",(VLOOKUP($B289,Q,16,FALSE)))</f>
        <v/>
      </c>
      <c r="K289" s="2" t="str">
        <f>IF(VLOOKUP($B289,Q,14,FALSE)=0,"",(VLOOKUP($B289,Q,17,FALSE)))</f>
        <v/>
      </c>
    </row>
    <row r="290" spans="2:11" x14ac:dyDescent="0.6">
      <c r="B290" s="1">
        <v>293</v>
      </c>
      <c r="C290" s="2" t="str">
        <f>IF(VLOOKUP($B290,Q,2,FALSE)=0,"",(VLOOKUP($B290,Q,2,FALSE)))</f>
        <v/>
      </c>
      <c r="D290" s="2" t="str">
        <f>IF(VLOOKUP($B290,Q,3,FALSE)=0,"",(VLOOKUP($B290,Q,3,FALSE)))</f>
        <v/>
      </c>
      <c r="E290" s="2" t="str">
        <f>IF(VLOOKUP($B290,Q,8,FALSE)=0,"",(VLOOKUP($B290,Q,8,FALSE)))</f>
        <v/>
      </c>
      <c r="F290" s="19" t="str">
        <f>IF(VLOOKUP($B290,Q,9,FALSE)=0,"",(VLOOKUP($B290,Q,9,FALSE)))</f>
        <v/>
      </c>
      <c r="G290" s="2" t="str">
        <f>IF(VLOOKUP($B290,Q,10,FALSE)=0,"",(VLOOKUP($B290,Q,10,FALSE)))</f>
        <v/>
      </c>
      <c r="H290" s="2" t="str">
        <f>IF(VLOOKUP($B290,Q,14,FALSE)=0,"",(VLOOKUP($B290,Q,14,FALSE)))</f>
        <v/>
      </c>
      <c r="I290" s="2" t="str">
        <f>IF(VLOOKUP($B290,Q,14,FALSE)=0,"",(VLOOKUP($B290,Q,15,FALSE)))</f>
        <v/>
      </c>
      <c r="J290" s="2" t="str">
        <f>IF(VLOOKUP($B290,Q,14,FALSE)=0,"",(VLOOKUP($B290,Q,16,FALSE)))</f>
        <v/>
      </c>
      <c r="K290" s="2" t="str">
        <f>IF(VLOOKUP($B290,Q,14,FALSE)=0,"",(VLOOKUP($B290,Q,17,FALSE)))</f>
        <v/>
      </c>
    </row>
    <row r="291" spans="2:11" x14ac:dyDescent="0.6">
      <c r="B291" s="1">
        <v>294</v>
      </c>
      <c r="C291" s="2" t="str">
        <f>IF(VLOOKUP($B291,Q,2,FALSE)=0,"",(VLOOKUP($B291,Q,2,FALSE)))</f>
        <v/>
      </c>
      <c r="D291" s="2" t="str">
        <f>IF(VLOOKUP($B291,Q,3,FALSE)=0,"",(VLOOKUP($B291,Q,3,FALSE)))</f>
        <v/>
      </c>
      <c r="E291" s="2" t="str">
        <f>IF(VLOOKUP($B291,Q,8,FALSE)=0,"",(VLOOKUP($B291,Q,8,FALSE)))</f>
        <v/>
      </c>
      <c r="F291" s="19" t="str">
        <f>IF(VLOOKUP($B291,Q,9,FALSE)=0,"",(VLOOKUP($B291,Q,9,FALSE)))</f>
        <v/>
      </c>
      <c r="G291" s="2" t="str">
        <f>IF(VLOOKUP($B291,Q,10,FALSE)=0,"",(VLOOKUP($B291,Q,10,FALSE)))</f>
        <v/>
      </c>
      <c r="H291" s="2" t="str">
        <f>IF(VLOOKUP($B291,Q,14,FALSE)=0,"",(VLOOKUP($B291,Q,14,FALSE)))</f>
        <v/>
      </c>
      <c r="I291" s="2" t="str">
        <f>IF(VLOOKUP($B291,Q,14,FALSE)=0,"",(VLOOKUP($B291,Q,15,FALSE)))</f>
        <v/>
      </c>
      <c r="J291" s="2" t="str">
        <f>IF(VLOOKUP($B291,Q,14,FALSE)=0,"",(VLOOKUP($B291,Q,16,FALSE)))</f>
        <v/>
      </c>
      <c r="K291" s="2" t="str">
        <f>IF(VLOOKUP($B291,Q,14,FALSE)=0,"",(VLOOKUP($B291,Q,17,FALSE)))</f>
        <v/>
      </c>
    </row>
    <row r="292" spans="2:11" x14ac:dyDescent="0.6">
      <c r="B292" s="1">
        <v>295</v>
      </c>
      <c r="C292" s="2" t="str">
        <f>IF(VLOOKUP($B292,Q,2,FALSE)=0,"",(VLOOKUP($B292,Q,2,FALSE)))</f>
        <v/>
      </c>
      <c r="D292" s="2" t="str">
        <f>IF(VLOOKUP($B292,Q,3,FALSE)=0,"",(VLOOKUP($B292,Q,3,FALSE)))</f>
        <v/>
      </c>
      <c r="E292" s="2" t="str">
        <f>IF(VLOOKUP($B292,Q,8,FALSE)=0,"",(VLOOKUP($B292,Q,8,FALSE)))</f>
        <v/>
      </c>
      <c r="F292" s="19" t="str">
        <f>IF(VLOOKUP($B292,Q,9,FALSE)=0,"",(VLOOKUP($B292,Q,9,FALSE)))</f>
        <v/>
      </c>
      <c r="G292" s="2" t="str">
        <f>IF(VLOOKUP($B292,Q,10,FALSE)=0,"",(VLOOKUP($B292,Q,10,FALSE)))</f>
        <v/>
      </c>
      <c r="H292" s="2" t="str">
        <f>IF(VLOOKUP($B292,Q,14,FALSE)=0,"",(VLOOKUP($B292,Q,14,FALSE)))</f>
        <v/>
      </c>
      <c r="I292" s="2" t="str">
        <f>IF(VLOOKUP($B292,Q,14,FALSE)=0,"",(VLOOKUP($B292,Q,15,FALSE)))</f>
        <v/>
      </c>
      <c r="J292" s="2" t="str">
        <f>IF(VLOOKUP($B292,Q,14,FALSE)=0,"",(VLOOKUP($B292,Q,16,FALSE)))</f>
        <v/>
      </c>
      <c r="K292" s="2" t="str">
        <f>IF(VLOOKUP($B292,Q,14,FALSE)=0,"",(VLOOKUP($B292,Q,17,FALSE)))</f>
        <v/>
      </c>
    </row>
    <row r="293" spans="2:11" x14ac:dyDescent="0.6">
      <c r="B293" s="1">
        <v>296</v>
      </c>
      <c r="C293" s="2" t="str">
        <f>IF(VLOOKUP($B293,Q,2,FALSE)=0,"",(VLOOKUP($B293,Q,2,FALSE)))</f>
        <v/>
      </c>
      <c r="D293" s="2" t="str">
        <f>IF(VLOOKUP($B293,Q,3,FALSE)=0,"",(VLOOKUP($B293,Q,3,FALSE)))</f>
        <v/>
      </c>
      <c r="E293" s="2" t="str">
        <f>IF(VLOOKUP($B293,Q,8,FALSE)=0,"",(VLOOKUP($B293,Q,8,FALSE)))</f>
        <v/>
      </c>
      <c r="F293" s="19" t="str">
        <f>IF(VLOOKUP($B293,Q,9,FALSE)=0,"",(VLOOKUP($B293,Q,9,FALSE)))</f>
        <v/>
      </c>
      <c r="G293" s="2" t="str">
        <f>IF(VLOOKUP($B293,Q,10,FALSE)=0,"",(VLOOKUP($B293,Q,10,FALSE)))</f>
        <v/>
      </c>
      <c r="H293" s="2" t="str">
        <f>IF(VLOOKUP($B293,Q,14,FALSE)=0,"",(VLOOKUP($B293,Q,14,FALSE)))</f>
        <v/>
      </c>
      <c r="I293" s="2" t="str">
        <f>IF(VLOOKUP($B293,Q,14,FALSE)=0,"",(VLOOKUP($B293,Q,15,FALSE)))</f>
        <v/>
      </c>
      <c r="J293" s="2" t="str">
        <f>IF(VLOOKUP($B293,Q,14,FALSE)=0,"",(VLOOKUP($B293,Q,16,FALSE)))</f>
        <v/>
      </c>
      <c r="K293" s="2" t="str">
        <f>IF(VLOOKUP($B293,Q,14,FALSE)=0,"",(VLOOKUP($B293,Q,17,FALSE)))</f>
        <v/>
      </c>
    </row>
    <row r="294" spans="2:11" x14ac:dyDescent="0.6">
      <c r="B294" s="1">
        <v>297</v>
      </c>
      <c r="C294" s="2" t="str">
        <f>IF(VLOOKUP($B294,Q,2,FALSE)=0,"",(VLOOKUP($B294,Q,2,FALSE)))</f>
        <v/>
      </c>
      <c r="D294" s="2" t="str">
        <f>IF(VLOOKUP($B294,Q,3,FALSE)=0,"",(VLOOKUP($B294,Q,3,FALSE)))</f>
        <v/>
      </c>
      <c r="E294" s="2" t="str">
        <f>IF(VLOOKUP($B294,Q,8,FALSE)=0,"",(VLOOKUP($B294,Q,8,FALSE)))</f>
        <v/>
      </c>
      <c r="F294" s="19" t="str">
        <f>IF(VLOOKUP($B294,Q,9,FALSE)=0,"",(VLOOKUP($B294,Q,9,FALSE)))</f>
        <v/>
      </c>
      <c r="G294" s="2" t="str">
        <f>IF(VLOOKUP($B294,Q,10,FALSE)=0,"",(VLOOKUP($B294,Q,10,FALSE)))</f>
        <v/>
      </c>
      <c r="H294" s="2" t="str">
        <f>IF(VLOOKUP($B294,Q,14,FALSE)=0,"",(VLOOKUP($B294,Q,14,FALSE)))</f>
        <v/>
      </c>
      <c r="I294" s="2" t="str">
        <f>IF(VLOOKUP($B294,Q,14,FALSE)=0,"",(VLOOKUP($B294,Q,15,FALSE)))</f>
        <v/>
      </c>
      <c r="J294" s="2" t="str">
        <f>IF(VLOOKUP($B294,Q,14,FALSE)=0,"",(VLOOKUP($B294,Q,16,FALSE)))</f>
        <v/>
      </c>
      <c r="K294" s="2" t="str">
        <f>IF(VLOOKUP($B294,Q,14,FALSE)=0,"",(VLOOKUP($B294,Q,17,FALSE)))</f>
        <v/>
      </c>
    </row>
    <row r="295" spans="2:11" x14ac:dyDescent="0.6">
      <c r="B295" s="1">
        <v>298</v>
      </c>
      <c r="C295" s="2" t="str">
        <f>IF(VLOOKUP($B295,Q,2,FALSE)=0,"",(VLOOKUP($B295,Q,2,FALSE)))</f>
        <v/>
      </c>
      <c r="D295" s="2" t="str">
        <f>IF(VLOOKUP($B295,Q,3,FALSE)=0,"",(VLOOKUP($B295,Q,3,FALSE)))</f>
        <v/>
      </c>
      <c r="E295" s="2" t="str">
        <f>IF(VLOOKUP($B295,Q,8,FALSE)=0,"",(VLOOKUP($B295,Q,8,FALSE)))</f>
        <v/>
      </c>
      <c r="F295" s="19" t="str">
        <f>IF(VLOOKUP($B295,Q,9,FALSE)=0,"",(VLOOKUP($B295,Q,9,FALSE)))</f>
        <v/>
      </c>
      <c r="G295" s="2" t="str">
        <f>IF(VLOOKUP($B295,Q,10,FALSE)=0,"",(VLOOKUP($B295,Q,10,FALSE)))</f>
        <v/>
      </c>
      <c r="H295" s="2" t="str">
        <f>IF(VLOOKUP($B295,Q,14,FALSE)=0,"",(VLOOKUP($B295,Q,14,FALSE)))</f>
        <v/>
      </c>
      <c r="I295" s="2" t="str">
        <f>IF(VLOOKUP($B295,Q,14,FALSE)=0,"",(VLOOKUP($B295,Q,15,FALSE)))</f>
        <v/>
      </c>
      <c r="J295" s="2" t="str">
        <f>IF(VLOOKUP($B295,Q,14,FALSE)=0,"",(VLOOKUP($B295,Q,16,FALSE)))</f>
        <v/>
      </c>
      <c r="K295" s="2" t="str">
        <f>IF(VLOOKUP($B295,Q,14,FALSE)=0,"",(VLOOKUP($B295,Q,17,FALSE)))</f>
        <v/>
      </c>
    </row>
    <row r="296" spans="2:11" x14ac:dyDescent="0.6">
      <c r="B296" s="1">
        <v>299</v>
      </c>
      <c r="C296" s="2" t="str">
        <f>IF(VLOOKUP($B296,Q,2,FALSE)=0,"",(VLOOKUP($B296,Q,2,FALSE)))</f>
        <v/>
      </c>
      <c r="D296" s="2" t="str">
        <f>IF(VLOOKUP($B296,Q,3,FALSE)=0,"",(VLOOKUP($B296,Q,3,FALSE)))</f>
        <v/>
      </c>
      <c r="E296" s="2" t="str">
        <f>IF(VLOOKUP($B296,Q,8,FALSE)=0,"",(VLOOKUP($B296,Q,8,FALSE)))</f>
        <v/>
      </c>
      <c r="F296" s="19" t="str">
        <f>IF(VLOOKUP($B296,Q,9,FALSE)=0,"",(VLOOKUP($B296,Q,9,FALSE)))</f>
        <v/>
      </c>
      <c r="G296" s="2" t="str">
        <f>IF(VLOOKUP($B296,Q,10,FALSE)=0,"",(VLOOKUP($B296,Q,10,FALSE)))</f>
        <v/>
      </c>
      <c r="H296" s="2" t="str">
        <f>IF(VLOOKUP($B296,Q,14,FALSE)=0,"",(VLOOKUP($B296,Q,14,FALSE)))</f>
        <v/>
      </c>
      <c r="I296" s="2" t="str">
        <f>IF(VLOOKUP($B296,Q,14,FALSE)=0,"",(VLOOKUP($B296,Q,15,FALSE)))</f>
        <v/>
      </c>
      <c r="J296" s="2" t="str">
        <f>IF(VLOOKUP($B296,Q,14,FALSE)=0,"",(VLOOKUP($B296,Q,16,FALSE)))</f>
        <v/>
      </c>
      <c r="K296" s="2" t="str">
        <f>IF(VLOOKUP($B296,Q,14,FALSE)=0,"",(VLOOKUP($B296,Q,17,FALSE)))</f>
        <v/>
      </c>
    </row>
    <row r="297" spans="2:11" x14ac:dyDescent="0.6">
      <c r="B297" s="1">
        <v>300</v>
      </c>
      <c r="C297" s="2" t="str">
        <f>IF(VLOOKUP($B297,Q,2,FALSE)=0,"",(VLOOKUP($B297,Q,2,FALSE)))</f>
        <v/>
      </c>
      <c r="D297" s="2" t="str">
        <f>IF(VLOOKUP($B297,Q,3,FALSE)=0,"",(VLOOKUP($B297,Q,3,FALSE)))</f>
        <v/>
      </c>
      <c r="E297" s="2" t="str">
        <f>IF(VLOOKUP($B297,Q,8,FALSE)=0,"",(VLOOKUP($B297,Q,8,FALSE)))</f>
        <v/>
      </c>
      <c r="F297" s="19" t="str">
        <f>IF(VLOOKUP($B297,Q,9,FALSE)=0,"",(VLOOKUP($B297,Q,9,FALSE)))</f>
        <v/>
      </c>
      <c r="G297" s="2" t="str">
        <f>IF(VLOOKUP($B297,Q,10,FALSE)=0,"",(VLOOKUP($B297,Q,10,FALSE)))</f>
        <v/>
      </c>
      <c r="H297" s="2" t="str">
        <f>IF(VLOOKUP($B297,Q,14,FALSE)=0,"",(VLOOKUP($B297,Q,14,FALSE)))</f>
        <v/>
      </c>
      <c r="I297" s="2" t="str">
        <f>IF(VLOOKUP($B297,Q,14,FALSE)=0,"",(VLOOKUP($B297,Q,15,FALSE)))</f>
        <v/>
      </c>
      <c r="J297" s="2" t="str">
        <f>IF(VLOOKUP($B297,Q,14,FALSE)=0,"",(VLOOKUP($B297,Q,16,FALSE)))</f>
        <v/>
      </c>
      <c r="K297" s="2" t="str">
        <f>IF(VLOOKUP($B297,Q,14,FALSE)=0,"",(VLOOKUP($B297,Q,17,FALSE)))</f>
        <v/>
      </c>
    </row>
    <row r="298" spans="2:11" x14ac:dyDescent="0.6">
      <c r="B298" s="1">
        <v>301</v>
      </c>
      <c r="C298" s="2" t="str">
        <f>IF(VLOOKUP($B298,Q,2,FALSE)=0,"",(VLOOKUP($B298,Q,2,FALSE)))</f>
        <v/>
      </c>
      <c r="D298" s="2" t="str">
        <f>IF(VLOOKUP($B298,Q,3,FALSE)=0,"",(VLOOKUP($B298,Q,3,FALSE)))</f>
        <v/>
      </c>
      <c r="E298" s="2" t="str">
        <f>IF(VLOOKUP($B298,Q,8,FALSE)=0,"",(VLOOKUP($B298,Q,8,FALSE)))</f>
        <v/>
      </c>
      <c r="F298" s="19" t="str">
        <f>IF(VLOOKUP($B298,Q,9,FALSE)=0,"",(VLOOKUP($B298,Q,9,FALSE)))</f>
        <v/>
      </c>
      <c r="G298" s="2" t="str">
        <f>IF(VLOOKUP($B298,Q,10,FALSE)=0,"",(VLOOKUP($B298,Q,10,FALSE)))</f>
        <v/>
      </c>
      <c r="H298" s="2" t="str">
        <f>IF(VLOOKUP($B298,Q,14,FALSE)=0,"",(VLOOKUP($B298,Q,14,FALSE)))</f>
        <v/>
      </c>
      <c r="I298" s="2" t="str">
        <f>IF(VLOOKUP($B298,Q,14,FALSE)=0,"",(VLOOKUP($B298,Q,15,FALSE)))</f>
        <v/>
      </c>
      <c r="J298" s="2" t="str">
        <f>IF(VLOOKUP($B298,Q,14,FALSE)=0,"",(VLOOKUP($B298,Q,16,FALSE)))</f>
        <v/>
      </c>
      <c r="K298" s="2" t="str">
        <f>IF(VLOOKUP($B298,Q,14,FALSE)=0,"",(VLOOKUP($B298,Q,17,FALSE)))</f>
        <v/>
      </c>
    </row>
    <row r="299" spans="2:11" x14ac:dyDescent="0.6">
      <c r="B299" s="1">
        <v>302</v>
      </c>
      <c r="C299" s="2" t="str">
        <f>IF(VLOOKUP($B299,Q,2,FALSE)=0,"",(VLOOKUP($B299,Q,2,FALSE)))</f>
        <v/>
      </c>
      <c r="D299" s="2" t="str">
        <f>IF(VLOOKUP($B299,Q,3,FALSE)=0,"",(VLOOKUP($B299,Q,3,FALSE)))</f>
        <v/>
      </c>
      <c r="E299" s="2" t="str">
        <f>IF(VLOOKUP($B299,Q,8,FALSE)=0,"",(VLOOKUP($B299,Q,8,FALSE)))</f>
        <v/>
      </c>
      <c r="F299" s="19" t="str">
        <f>IF(VLOOKUP($B299,Q,9,FALSE)=0,"",(VLOOKUP($B299,Q,9,FALSE)))</f>
        <v/>
      </c>
      <c r="G299" s="2" t="str">
        <f>IF(VLOOKUP($B299,Q,10,FALSE)=0,"",(VLOOKUP($B299,Q,10,FALSE)))</f>
        <v/>
      </c>
      <c r="H299" s="2" t="str">
        <f>IF(VLOOKUP($B299,Q,14,FALSE)=0,"",(VLOOKUP($B299,Q,14,FALSE)))</f>
        <v/>
      </c>
      <c r="I299" s="2" t="str">
        <f>IF(VLOOKUP($B299,Q,14,FALSE)=0,"",(VLOOKUP($B299,Q,15,FALSE)))</f>
        <v/>
      </c>
      <c r="J299" s="2" t="str">
        <f>IF(VLOOKUP($B299,Q,14,FALSE)=0,"",(VLOOKUP($B299,Q,16,FALSE)))</f>
        <v/>
      </c>
      <c r="K299" s="2" t="str">
        <f>IF(VLOOKUP($B299,Q,14,FALSE)=0,"",(VLOOKUP($B299,Q,17,FALSE)))</f>
        <v/>
      </c>
    </row>
    <row r="300" spans="2:11" x14ac:dyDescent="0.6">
      <c r="B300" s="1">
        <v>303</v>
      </c>
      <c r="C300" s="2" t="str">
        <f>IF(VLOOKUP($B300,Q,2,FALSE)=0,"",(VLOOKUP($B300,Q,2,FALSE)))</f>
        <v/>
      </c>
      <c r="D300" s="2" t="str">
        <f>IF(VLOOKUP($B300,Q,3,FALSE)=0,"",(VLOOKUP($B300,Q,3,FALSE)))</f>
        <v/>
      </c>
      <c r="E300" s="2" t="str">
        <f>IF(VLOOKUP($B300,Q,8,FALSE)=0,"",(VLOOKUP($B300,Q,8,FALSE)))</f>
        <v/>
      </c>
      <c r="F300" s="19" t="str">
        <f>IF(VLOOKUP($B300,Q,9,FALSE)=0,"",(VLOOKUP($B300,Q,9,FALSE)))</f>
        <v/>
      </c>
      <c r="G300" s="2" t="str">
        <f>IF(VLOOKUP($B300,Q,10,FALSE)=0,"",(VLOOKUP($B300,Q,10,FALSE)))</f>
        <v/>
      </c>
      <c r="H300" s="2" t="str">
        <f>IF(VLOOKUP($B300,Q,14,FALSE)=0,"",(VLOOKUP($B300,Q,14,FALSE)))</f>
        <v/>
      </c>
      <c r="I300" s="2" t="str">
        <f>IF(VLOOKUP($B300,Q,14,FALSE)=0,"",(VLOOKUP($B300,Q,15,FALSE)))</f>
        <v/>
      </c>
      <c r="J300" s="2" t="str">
        <f>IF(VLOOKUP($B300,Q,14,FALSE)=0,"",(VLOOKUP($B300,Q,16,FALSE)))</f>
        <v/>
      </c>
      <c r="K300" s="2" t="str">
        <f>IF(VLOOKUP($B300,Q,14,FALSE)=0,"",(VLOOKUP($B300,Q,17,FALSE)))</f>
        <v/>
      </c>
    </row>
    <row r="301" spans="2:11" x14ac:dyDescent="0.6">
      <c r="B301" s="1">
        <v>304</v>
      </c>
      <c r="C301" s="2" t="str">
        <f>IF(VLOOKUP($B301,Q,2,FALSE)=0,"",(VLOOKUP($B301,Q,2,FALSE)))</f>
        <v/>
      </c>
      <c r="D301" s="2" t="str">
        <f>IF(VLOOKUP($B301,Q,3,FALSE)=0,"",(VLOOKUP($B301,Q,3,FALSE)))</f>
        <v/>
      </c>
      <c r="E301" s="2" t="str">
        <f>IF(VLOOKUP($B301,Q,8,FALSE)=0,"",(VLOOKUP($B301,Q,8,FALSE)))</f>
        <v/>
      </c>
      <c r="F301" s="19" t="str">
        <f>IF(VLOOKUP($B301,Q,9,FALSE)=0,"",(VLOOKUP($B301,Q,9,FALSE)))</f>
        <v/>
      </c>
      <c r="G301" s="2" t="str">
        <f>IF(VLOOKUP($B301,Q,10,FALSE)=0,"",(VLOOKUP($B301,Q,10,FALSE)))</f>
        <v/>
      </c>
      <c r="H301" s="2" t="str">
        <f>IF(VLOOKUP($B301,Q,14,FALSE)=0,"",(VLOOKUP($B301,Q,14,FALSE)))</f>
        <v/>
      </c>
      <c r="I301" s="2" t="str">
        <f>IF(VLOOKUP($B301,Q,14,FALSE)=0,"",(VLOOKUP($B301,Q,15,FALSE)))</f>
        <v/>
      </c>
      <c r="J301" s="2" t="str">
        <f>IF(VLOOKUP($B301,Q,14,FALSE)=0,"",(VLOOKUP($B301,Q,16,FALSE)))</f>
        <v/>
      </c>
      <c r="K301" s="2" t="str">
        <f>IF(VLOOKUP($B301,Q,14,FALSE)=0,"",(VLOOKUP($B301,Q,17,FALSE)))</f>
        <v/>
      </c>
    </row>
    <row r="302" spans="2:11" x14ac:dyDescent="0.6">
      <c r="B302" s="1">
        <v>305</v>
      </c>
      <c r="C302" s="2" t="str">
        <f>IF(VLOOKUP($B302,Q,2,FALSE)=0,"",(VLOOKUP($B302,Q,2,FALSE)))</f>
        <v/>
      </c>
      <c r="D302" s="2" t="str">
        <f>IF(VLOOKUP($B302,Q,3,FALSE)=0,"",(VLOOKUP($B302,Q,3,FALSE)))</f>
        <v/>
      </c>
      <c r="E302" s="2" t="str">
        <f>IF(VLOOKUP($B302,Q,8,FALSE)=0,"",(VLOOKUP($B302,Q,8,FALSE)))</f>
        <v/>
      </c>
      <c r="F302" s="19" t="str">
        <f>IF(VLOOKUP($B302,Q,9,FALSE)=0,"",(VLOOKUP($B302,Q,9,FALSE)))</f>
        <v/>
      </c>
      <c r="G302" s="2" t="str">
        <f>IF(VLOOKUP($B302,Q,10,FALSE)=0,"",(VLOOKUP($B302,Q,10,FALSE)))</f>
        <v/>
      </c>
      <c r="H302" s="2" t="str">
        <f>IF(VLOOKUP($B302,Q,14,FALSE)=0,"",(VLOOKUP($B302,Q,14,FALSE)))</f>
        <v/>
      </c>
      <c r="I302" s="2" t="str">
        <f>IF(VLOOKUP($B302,Q,14,FALSE)=0,"",(VLOOKUP($B302,Q,15,FALSE)))</f>
        <v/>
      </c>
      <c r="J302" s="2" t="str">
        <f>IF(VLOOKUP($B302,Q,14,FALSE)=0,"",(VLOOKUP($B302,Q,16,FALSE)))</f>
        <v/>
      </c>
      <c r="K302" s="2" t="str">
        <f>IF(VLOOKUP($B302,Q,14,FALSE)=0,"",(VLOOKUP($B302,Q,17,FALSE)))</f>
        <v/>
      </c>
    </row>
    <row r="303" spans="2:11" x14ac:dyDescent="0.6">
      <c r="B303" s="1">
        <v>306</v>
      </c>
      <c r="C303" s="2" t="str">
        <f>IF(VLOOKUP($B303,Q,2,FALSE)=0,"",(VLOOKUP($B303,Q,2,FALSE)))</f>
        <v/>
      </c>
      <c r="D303" s="2" t="str">
        <f>IF(VLOOKUP($B303,Q,3,FALSE)=0,"",(VLOOKUP($B303,Q,3,FALSE)))</f>
        <v/>
      </c>
      <c r="E303" s="2" t="str">
        <f>IF(VLOOKUP($B303,Q,8,FALSE)=0,"",(VLOOKUP($B303,Q,8,FALSE)))</f>
        <v/>
      </c>
      <c r="F303" s="19" t="str">
        <f>IF(VLOOKUP($B303,Q,9,FALSE)=0,"",(VLOOKUP($B303,Q,9,FALSE)))</f>
        <v/>
      </c>
      <c r="G303" s="2" t="str">
        <f>IF(VLOOKUP($B303,Q,10,FALSE)=0,"",(VLOOKUP($B303,Q,10,FALSE)))</f>
        <v/>
      </c>
      <c r="H303" s="2" t="str">
        <f>IF(VLOOKUP($B303,Q,14,FALSE)=0,"",(VLOOKUP($B303,Q,14,FALSE)))</f>
        <v/>
      </c>
      <c r="I303" s="2" t="str">
        <f>IF(VLOOKUP($B303,Q,14,FALSE)=0,"",(VLOOKUP($B303,Q,15,FALSE)))</f>
        <v/>
      </c>
      <c r="J303" s="2" t="str">
        <f>IF(VLOOKUP($B303,Q,14,FALSE)=0,"",(VLOOKUP($B303,Q,16,FALSE)))</f>
        <v/>
      </c>
      <c r="K303" s="2" t="str">
        <f>IF(VLOOKUP($B303,Q,14,FALSE)=0,"",(VLOOKUP($B303,Q,17,FALSE)))</f>
        <v/>
      </c>
    </row>
    <row r="304" spans="2:11" x14ac:dyDescent="0.6">
      <c r="B304" s="1">
        <v>307</v>
      </c>
      <c r="C304" s="2" t="str">
        <f>IF(VLOOKUP($B304,Q,2,FALSE)=0,"",(VLOOKUP($B304,Q,2,FALSE)))</f>
        <v/>
      </c>
      <c r="D304" s="2" t="str">
        <f>IF(VLOOKUP($B304,Q,3,FALSE)=0,"",(VLOOKUP($B304,Q,3,FALSE)))</f>
        <v/>
      </c>
      <c r="E304" s="2" t="str">
        <f>IF(VLOOKUP($B304,Q,8,FALSE)=0,"",(VLOOKUP($B304,Q,8,FALSE)))</f>
        <v/>
      </c>
      <c r="F304" s="19" t="str">
        <f>IF(VLOOKUP($B304,Q,9,FALSE)=0,"",(VLOOKUP($B304,Q,9,FALSE)))</f>
        <v/>
      </c>
      <c r="G304" s="2" t="str">
        <f>IF(VLOOKUP($B304,Q,10,FALSE)=0,"",(VLOOKUP($B304,Q,10,FALSE)))</f>
        <v/>
      </c>
      <c r="H304" s="2" t="str">
        <f>IF(VLOOKUP($B304,Q,14,FALSE)=0,"",(VLOOKUP($B304,Q,14,FALSE)))</f>
        <v/>
      </c>
      <c r="I304" s="2" t="str">
        <f>IF(VLOOKUP($B304,Q,14,FALSE)=0,"",(VLOOKUP($B304,Q,15,FALSE)))</f>
        <v/>
      </c>
      <c r="J304" s="2" t="str">
        <f>IF(VLOOKUP($B304,Q,14,FALSE)=0,"",(VLOOKUP($B304,Q,16,FALSE)))</f>
        <v/>
      </c>
      <c r="K304" s="2" t="str">
        <f>IF(VLOOKUP($B304,Q,14,FALSE)=0,"",(VLOOKUP($B304,Q,17,FALSE)))</f>
        <v/>
      </c>
    </row>
    <row r="305" spans="2:11" x14ac:dyDescent="0.6">
      <c r="B305" s="1">
        <v>308</v>
      </c>
      <c r="C305" s="2" t="str">
        <f>IF(VLOOKUP($B305,Q,2,FALSE)=0,"",(VLOOKUP($B305,Q,2,FALSE)))</f>
        <v/>
      </c>
      <c r="D305" s="2" t="str">
        <f>IF(VLOOKUP($B305,Q,3,FALSE)=0,"",(VLOOKUP($B305,Q,3,FALSE)))</f>
        <v/>
      </c>
      <c r="E305" s="2" t="str">
        <f>IF(VLOOKUP($B305,Q,8,FALSE)=0,"",(VLOOKUP($B305,Q,8,FALSE)))</f>
        <v/>
      </c>
      <c r="F305" s="19" t="str">
        <f>IF(VLOOKUP($B305,Q,9,FALSE)=0,"",(VLOOKUP($B305,Q,9,FALSE)))</f>
        <v/>
      </c>
      <c r="G305" s="2" t="str">
        <f>IF(VLOOKUP($B305,Q,10,FALSE)=0,"",(VLOOKUP($B305,Q,10,FALSE)))</f>
        <v/>
      </c>
      <c r="H305" s="2" t="str">
        <f>IF(VLOOKUP($B305,Q,14,FALSE)=0,"",(VLOOKUP($B305,Q,14,FALSE)))</f>
        <v/>
      </c>
      <c r="I305" s="2" t="str">
        <f>IF(VLOOKUP($B305,Q,14,FALSE)=0,"",(VLOOKUP($B305,Q,15,FALSE)))</f>
        <v/>
      </c>
      <c r="J305" s="2" t="str">
        <f>IF(VLOOKUP($B305,Q,14,FALSE)=0,"",(VLOOKUP($B305,Q,16,FALSE)))</f>
        <v/>
      </c>
      <c r="K305" s="2" t="str">
        <f>IF(VLOOKUP($B305,Q,14,FALSE)=0,"",(VLOOKUP($B305,Q,17,FALSE)))</f>
        <v/>
      </c>
    </row>
    <row r="306" spans="2:11" x14ac:dyDescent="0.6">
      <c r="B306" s="1">
        <v>309</v>
      </c>
      <c r="C306" s="2" t="str">
        <f>IF(VLOOKUP($B306,Q,2,FALSE)=0,"",(VLOOKUP($B306,Q,2,FALSE)))</f>
        <v/>
      </c>
      <c r="D306" s="2" t="str">
        <f>IF(VLOOKUP($B306,Q,3,FALSE)=0,"",(VLOOKUP($B306,Q,3,FALSE)))</f>
        <v/>
      </c>
      <c r="E306" s="2" t="str">
        <f>IF(VLOOKUP($B306,Q,8,FALSE)=0,"",(VLOOKUP($B306,Q,8,FALSE)))</f>
        <v/>
      </c>
      <c r="F306" s="19" t="str">
        <f>IF(VLOOKUP($B306,Q,9,FALSE)=0,"",(VLOOKUP($B306,Q,9,FALSE)))</f>
        <v/>
      </c>
      <c r="G306" s="2" t="str">
        <f>IF(VLOOKUP($B306,Q,10,FALSE)=0,"",(VLOOKUP($B306,Q,10,FALSE)))</f>
        <v/>
      </c>
      <c r="H306" s="2" t="str">
        <f>IF(VLOOKUP($B306,Q,14,FALSE)=0,"",(VLOOKUP($B306,Q,14,FALSE)))</f>
        <v/>
      </c>
      <c r="I306" s="2" t="str">
        <f>IF(VLOOKUP($B306,Q,14,FALSE)=0,"",(VLOOKUP($B306,Q,15,FALSE)))</f>
        <v/>
      </c>
      <c r="J306" s="2" t="str">
        <f>IF(VLOOKUP($B306,Q,14,FALSE)=0,"",(VLOOKUP($B306,Q,16,FALSE)))</f>
        <v/>
      </c>
      <c r="K306" s="2" t="str">
        <f>IF(VLOOKUP($B306,Q,14,FALSE)=0,"",(VLOOKUP($B306,Q,17,FALSE)))</f>
        <v/>
      </c>
    </row>
    <row r="307" spans="2:11" x14ac:dyDescent="0.6">
      <c r="B307" s="1">
        <v>310</v>
      </c>
      <c r="C307" s="2" t="str">
        <f>IF(VLOOKUP($B307,Q,2,FALSE)=0,"",(VLOOKUP($B307,Q,2,FALSE)))</f>
        <v/>
      </c>
      <c r="D307" s="2" t="str">
        <f>IF(VLOOKUP($B307,Q,3,FALSE)=0,"",(VLOOKUP($B307,Q,3,FALSE)))</f>
        <v/>
      </c>
      <c r="E307" s="2" t="str">
        <f>IF(VLOOKUP($B307,Q,8,FALSE)=0,"",(VLOOKUP($B307,Q,8,FALSE)))</f>
        <v/>
      </c>
      <c r="F307" s="19" t="str">
        <f>IF(VLOOKUP($B307,Q,9,FALSE)=0,"",(VLOOKUP($B307,Q,9,FALSE)))</f>
        <v/>
      </c>
      <c r="G307" s="2" t="str">
        <f>IF(VLOOKUP($B307,Q,10,FALSE)=0,"",(VLOOKUP($B307,Q,10,FALSE)))</f>
        <v/>
      </c>
      <c r="H307" s="2" t="str">
        <f>IF(VLOOKUP($B307,Q,14,FALSE)=0,"",(VLOOKUP($B307,Q,14,FALSE)))</f>
        <v/>
      </c>
      <c r="I307" s="2" t="str">
        <f>IF(VLOOKUP($B307,Q,14,FALSE)=0,"",(VLOOKUP($B307,Q,15,FALSE)))</f>
        <v/>
      </c>
      <c r="J307" s="2" t="str">
        <f>IF(VLOOKUP($B307,Q,14,FALSE)=0,"",(VLOOKUP($B307,Q,16,FALSE)))</f>
        <v/>
      </c>
      <c r="K307" s="2" t="str">
        <f>IF(VLOOKUP($B307,Q,14,FALSE)=0,"",(VLOOKUP($B307,Q,17,FALSE)))</f>
        <v/>
      </c>
    </row>
    <row r="308" spans="2:11" x14ac:dyDescent="0.6">
      <c r="B308" s="1">
        <v>311</v>
      </c>
      <c r="C308" s="2" t="str">
        <f>IF(VLOOKUP($B308,Q,2,FALSE)=0,"",(VLOOKUP($B308,Q,2,FALSE)))</f>
        <v/>
      </c>
      <c r="D308" s="2" t="str">
        <f>IF(VLOOKUP($B308,Q,3,FALSE)=0,"",(VLOOKUP($B308,Q,3,FALSE)))</f>
        <v/>
      </c>
      <c r="E308" s="2" t="str">
        <f>IF(VLOOKUP($B308,Q,8,FALSE)=0,"",(VLOOKUP($B308,Q,8,FALSE)))</f>
        <v/>
      </c>
      <c r="F308" s="19" t="str">
        <f>IF(VLOOKUP($B308,Q,9,FALSE)=0,"",(VLOOKUP($B308,Q,9,FALSE)))</f>
        <v/>
      </c>
      <c r="G308" s="2" t="str">
        <f>IF(VLOOKUP($B308,Q,10,FALSE)=0,"",(VLOOKUP($B308,Q,10,FALSE)))</f>
        <v/>
      </c>
      <c r="H308" s="2" t="str">
        <f>IF(VLOOKUP($B308,Q,14,FALSE)=0,"",(VLOOKUP($B308,Q,14,FALSE)))</f>
        <v/>
      </c>
      <c r="I308" s="2" t="str">
        <f>IF(VLOOKUP($B308,Q,14,FALSE)=0,"",(VLOOKUP($B308,Q,15,FALSE)))</f>
        <v/>
      </c>
      <c r="J308" s="2" t="str">
        <f>IF(VLOOKUP($B308,Q,14,FALSE)=0,"",(VLOOKUP($B308,Q,16,FALSE)))</f>
        <v/>
      </c>
      <c r="K308" s="2" t="str">
        <f>IF(VLOOKUP($B308,Q,14,FALSE)=0,"",(VLOOKUP($B308,Q,17,FALSE)))</f>
        <v/>
      </c>
    </row>
    <row r="309" spans="2:11" x14ac:dyDescent="0.6">
      <c r="B309" s="1">
        <v>312</v>
      </c>
      <c r="C309" s="2" t="str">
        <f>IF(VLOOKUP($B309,Q,2,FALSE)=0,"",(VLOOKUP($B309,Q,2,FALSE)))</f>
        <v/>
      </c>
      <c r="D309" s="2" t="str">
        <f>IF(VLOOKUP($B309,Q,3,FALSE)=0,"",(VLOOKUP($B309,Q,3,FALSE)))</f>
        <v/>
      </c>
      <c r="E309" s="2" t="str">
        <f>IF(VLOOKUP($B309,Q,8,FALSE)=0,"",(VLOOKUP($B309,Q,8,FALSE)))</f>
        <v/>
      </c>
      <c r="F309" s="19" t="str">
        <f>IF(VLOOKUP($B309,Q,9,FALSE)=0,"",(VLOOKUP($B309,Q,9,FALSE)))</f>
        <v/>
      </c>
      <c r="G309" s="2" t="str">
        <f>IF(VLOOKUP($B309,Q,10,FALSE)=0,"",(VLOOKUP($B309,Q,10,FALSE)))</f>
        <v/>
      </c>
      <c r="H309" s="2" t="str">
        <f>IF(VLOOKUP($B309,Q,14,FALSE)=0,"",(VLOOKUP($B309,Q,14,FALSE)))</f>
        <v/>
      </c>
      <c r="I309" s="2" t="str">
        <f>IF(VLOOKUP($B309,Q,14,FALSE)=0,"",(VLOOKUP($B309,Q,15,FALSE)))</f>
        <v/>
      </c>
      <c r="J309" s="2" t="str">
        <f>IF(VLOOKUP($B309,Q,14,FALSE)=0,"",(VLOOKUP($B309,Q,16,FALSE)))</f>
        <v/>
      </c>
      <c r="K309" s="2" t="str">
        <f>IF(VLOOKUP($B309,Q,14,FALSE)=0,"",(VLOOKUP($B309,Q,17,FALSE)))</f>
        <v/>
      </c>
    </row>
    <row r="310" spans="2:11" x14ac:dyDescent="0.6">
      <c r="B310" s="1">
        <v>313</v>
      </c>
      <c r="C310" s="2" t="str">
        <f>IF(VLOOKUP($B310,Q,2,FALSE)=0,"",(VLOOKUP($B310,Q,2,FALSE)))</f>
        <v/>
      </c>
      <c r="D310" s="2" t="str">
        <f>IF(VLOOKUP($B310,Q,3,FALSE)=0,"",(VLOOKUP($B310,Q,3,FALSE)))</f>
        <v/>
      </c>
      <c r="E310" s="2" t="str">
        <f>IF(VLOOKUP($B310,Q,8,FALSE)=0,"",(VLOOKUP($B310,Q,8,FALSE)))</f>
        <v/>
      </c>
      <c r="F310" s="19" t="str">
        <f>IF(VLOOKUP($B310,Q,9,FALSE)=0,"",(VLOOKUP($B310,Q,9,FALSE)))</f>
        <v/>
      </c>
      <c r="G310" s="2" t="str">
        <f>IF(VLOOKUP($B310,Q,10,FALSE)=0,"",(VLOOKUP($B310,Q,10,FALSE)))</f>
        <v/>
      </c>
      <c r="H310" s="2" t="str">
        <f>IF(VLOOKUP($B310,Q,14,FALSE)=0,"",(VLOOKUP($B310,Q,14,FALSE)))</f>
        <v/>
      </c>
      <c r="I310" s="2" t="str">
        <f>IF(VLOOKUP($B310,Q,14,FALSE)=0,"",(VLOOKUP($B310,Q,15,FALSE)))</f>
        <v/>
      </c>
      <c r="J310" s="2" t="str">
        <f>IF(VLOOKUP($B310,Q,14,FALSE)=0,"",(VLOOKUP($B310,Q,16,FALSE)))</f>
        <v/>
      </c>
      <c r="K310" s="2" t="str">
        <f>IF(VLOOKUP($B310,Q,14,FALSE)=0,"",(VLOOKUP($B310,Q,17,FALSE)))</f>
        <v/>
      </c>
    </row>
    <row r="311" spans="2:11" x14ac:dyDescent="0.6">
      <c r="B311" s="1">
        <v>314</v>
      </c>
      <c r="C311" s="2" t="str">
        <f>IF(VLOOKUP($B311,Q,2,FALSE)=0,"",(VLOOKUP($B311,Q,2,FALSE)))</f>
        <v/>
      </c>
      <c r="D311" s="2" t="str">
        <f>IF(VLOOKUP($B311,Q,3,FALSE)=0,"",(VLOOKUP($B311,Q,3,FALSE)))</f>
        <v/>
      </c>
      <c r="E311" s="2" t="str">
        <f>IF(VLOOKUP($B311,Q,8,FALSE)=0,"",(VLOOKUP($B311,Q,8,FALSE)))</f>
        <v/>
      </c>
      <c r="F311" s="19" t="str">
        <f>IF(VLOOKUP($B311,Q,9,FALSE)=0,"",(VLOOKUP($B311,Q,9,FALSE)))</f>
        <v/>
      </c>
      <c r="G311" s="2" t="str">
        <f>IF(VLOOKUP($B311,Q,10,FALSE)=0,"",(VLOOKUP($B311,Q,10,FALSE)))</f>
        <v/>
      </c>
      <c r="H311" s="2" t="str">
        <f>IF(VLOOKUP($B311,Q,14,FALSE)=0,"",(VLOOKUP($B311,Q,14,FALSE)))</f>
        <v/>
      </c>
      <c r="I311" s="2" t="str">
        <f>IF(VLOOKUP($B311,Q,14,FALSE)=0,"",(VLOOKUP($B311,Q,15,FALSE)))</f>
        <v/>
      </c>
      <c r="J311" s="2" t="str">
        <f>IF(VLOOKUP($B311,Q,14,FALSE)=0,"",(VLOOKUP($B311,Q,16,FALSE)))</f>
        <v/>
      </c>
      <c r="K311" s="2" t="str">
        <f>IF(VLOOKUP($B311,Q,14,FALSE)=0,"",(VLOOKUP($B311,Q,17,FALSE)))</f>
        <v/>
      </c>
    </row>
    <row r="312" spans="2:11" x14ac:dyDescent="0.6">
      <c r="B312" s="1">
        <v>315</v>
      </c>
      <c r="C312" s="2" t="str">
        <f>IF(VLOOKUP($B312,Q,2,FALSE)=0,"",(VLOOKUP($B312,Q,2,FALSE)))</f>
        <v/>
      </c>
      <c r="D312" s="2" t="str">
        <f>IF(VLOOKUP($B312,Q,3,FALSE)=0,"",(VLOOKUP($B312,Q,3,FALSE)))</f>
        <v/>
      </c>
      <c r="E312" s="2" t="str">
        <f>IF(VLOOKUP($B312,Q,8,FALSE)=0,"",(VLOOKUP($B312,Q,8,FALSE)))</f>
        <v/>
      </c>
      <c r="F312" s="19" t="str">
        <f>IF(VLOOKUP($B312,Q,9,FALSE)=0,"",(VLOOKUP($B312,Q,9,FALSE)))</f>
        <v/>
      </c>
      <c r="G312" s="2" t="str">
        <f>IF(VLOOKUP($B312,Q,10,FALSE)=0,"",(VLOOKUP($B312,Q,10,FALSE)))</f>
        <v/>
      </c>
      <c r="H312" s="2" t="str">
        <f>IF(VLOOKUP($B312,Q,14,FALSE)=0,"",(VLOOKUP($B312,Q,14,FALSE)))</f>
        <v/>
      </c>
      <c r="I312" s="2" t="str">
        <f>IF(VLOOKUP($B312,Q,14,FALSE)=0,"",(VLOOKUP($B312,Q,15,FALSE)))</f>
        <v/>
      </c>
      <c r="J312" s="2" t="str">
        <f>IF(VLOOKUP($B312,Q,14,FALSE)=0,"",(VLOOKUP($B312,Q,16,FALSE)))</f>
        <v/>
      </c>
      <c r="K312" s="2" t="str">
        <f>IF(VLOOKUP($B312,Q,14,FALSE)=0,"",(VLOOKUP($B312,Q,17,FALSE)))</f>
        <v/>
      </c>
    </row>
    <row r="313" spans="2:11" x14ac:dyDescent="0.6">
      <c r="B313" s="1">
        <v>316</v>
      </c>
      <c r="C313" s="2" t="str">
        <f>IF(VLOOKUP($B313,Q,2,FALSE)=0,"",(VLOOKUP($B313,Q,2,FALSE)))</f>
        <v/>
      </c>
      <c r="D313" s="2" t="str">
        <f>IF(VLOOKUP($B313,Q,3,FALSE)=0,"",(VLOOKUP($B313,Q,3,FALSE)))</f>
        <v/>
      </c>
      <c r="E313" s="2" t="str">
        <f>IF(VLOOKUP($B313,Q,8,FALSE)=0,"",(VLOOKUP($B313,Q,8,FALSE)))</f>
        <v/>
      </c>
      <c r="F313" s="19" t="str">
        <f>IF(VLOOKUP($B313,Q,9,FALSE)=0,"",(VLOOKUP($B313,Q,9,FALSE)))</f>
        <v/>
      </c>
      <c r="G313" s="2" t="str">
        <f>IF(VLOOKUP($B313,Q,10,FALSE)=0,"",(VLOOKUP($B313,Q,10,FALSE)))</f>
        <v/>
      </c>
      <c r="H313" s="2" t="str">
        <f>IF(VLOOKUP($B313,Q,14,FALSE)=0,"",(VLOOKUP($B313,Q,14,FALSE)))</f>
        <v/>
      </c>
      <c r="I313" s="2" t="str">
        <f>IF(VLOOKUP($B313,Q,14,FALSE)=0,"",(VLOOKUP($B313,Q,15,FALSE)))</f>
        <v/>
      </c>
      <c r="J313" s="2" t="str">
        <f>IF(VLOOKUP($B313,Q,14,FALSE)=0,"",(VLOOKUP($B313,Q,16,FALSE)))</f>
        <v/>
      </c>
      <c r="K313" s="2" t="str">
        <f>IF(VLOOKUP($B313,Q,14,FALSE)=0,"",(VLOOKUP($B313,Q,17,FALSE)))</f>
        <v/>
      </c>
    </row>
    <row r="314" spans="2:11" x14ac:dyDescent="0.6">
      <c r="B314" s="1">
        <v>317</v>
      </c>
      <c r="C314" s="2" t="str">
        <f>IF(VLOOKUP($B314,Q,2,FALSE)=0,"",(VLOOKUP($B314,Q,2,FALSE)))</f>
        <v/>
      </c>
      <c r="D314" s="2" t="str">
        <f>IF(VLOOKUP($B314,Q,3,FALSE)=0,"",(VLOOKUP($B314,Q,3,FALSE)))</f>
        <v/>
      </c>
      <c r="E314" s="2" t="str">
        <f>IF(VLOOKUP($B314,Q,8,FALSE)=0,"",(VLOOKUP($B314,Q,8,FALSE)))</f>
        <v/>
      </c>
      <c r="F314" s="19" t="str">
        <f>IF(VLOOKUP($B314,Q,9,FALSE)=0,"",(VLOOKUP($B314,Q,9,FALSE)))</f>
        <v/>
      </c>
      <c r="G314" s="2" t="str">
        <f>IF(VLOOKUP($B314,Q,10,FALSE)=0,"",(VLOOKUP($B314,Q,10,FALSE)))</f>
        <v/>
      </c>
      <c r="H314" s="2" t="str">
        <f>IF(VLOOKUP($B314,Q,14,FALSE)=0,"",(VLOOKUP($B314,Q,14,FALSE)))</f>
        <v/>
      </c>
      <c r="I314" s="2" t="str">
        <f>IF(VLOOKUP($B314,Q,14,FALSE)=0,"",(VLOOKUP($B314,Q,15,FALSE)))</f>
        <v/>
      </c>
      <c r="J314" s="2" t="str">
        <f>IF(VLOOKUP($B314,Q,14,FALSE)=0,"",(VLOOKUP($B314,Q,16,FALSE)))</f>
        <v/>
      </c>
      <c r="K314" s="2" t="str">
        <f>IF(VLOOKUP($B314,Q,14,FALSE)=0,"",(VLOOKUP($B314,Q,17,FALSE)))</f>
        <v/>
      </c>
    </row>
    <row r="315" spans="2:11" x14ac:dyDescent="0.6">
      <c r="B315" s="1">
        <v>318</v>
      </c>
      <c r="C315" s="2" t="str">
        <f>IF(VLOOKUP($B315,Q,2,FALSE)=0,"",(VLOOKUP($B315,Q,2,FALSE)))</f>
        <v/>
      </c>
      <c r="D315" s="2" t="str">
        <f>IF(VLOOKUP($B315,Q,3,FALSE)=0,"",(VLOOKUP($B315,Q,3,FALSE)))</f>
        <v/>
      </c>
      <c r="E315" s="2" t="str">
        <f>IF(VLOOKUP($B315,Q,8,FALSE)=0,"",(VLOOKUP($B315,Q,8,FALSE)))</f>
        <v/>
      </c>
      <c r="F315" s="19" t="str">
        <f>IF(VLOOKUP($B315,Q,9,FALSE)=0,"",(VLOOKUP($B315,Q,9,FALSE)))</f>
        <v/>
      </c>
      <c r="G315" s="2" t="str">
        <f>IF(VLOOKUP($B315,Q,10,FALSE)=0,"",(VLOOKUP($B315,Q,10,FALSE)))</f>
        <v/>
      </c>
      <c r="H315" s="2" t="str">
        <f>IF(VLOOKUP($B315,Q,14,FALSE)=0,"",(VLOOKUP($B315,Q,14,FALSE)))</f>
        <v/>
      </c>
      <c r="I315" s="2" t="str">
        <f>IF(VLOOKUP($B315,Q,14,FALSE)=0,"",(VLOOKUP($B315,Q,15,FALSE)))</f>
        <v/>
      </c>
      <c r="J315" s="2" t="str">
        <f>IF(VLOOKUP($B315,Q,14,FALSE)=0,"",(VLOOKUP($B315,Q,16,FALSE)))</f>
        <v/>
      </c>
      <c r="K315" s="2" t="str">
        <f>IF(VLOOKUP($B315,Q,14,FALSE)=0,"",(VLOOKUP($B315,Q,17,FALSE)))</f>
        <v/>
      </c>
    </row>
    <row r="316" spans="2:11" x14ac:dyDescent="0.6">
      <c r="B316" s="1">
        <v>319</v>
      </c>
      <c r="C316" s="2" t="str">
        <f>IF(VLOOKUP($B316,Q,2,FALSE)=0,"",(VLOOKUP($B316,Q,2,FALSE)))</f>
        <v/>
      </c>
      <c r="D316" s="2" t="str">
        <f>IF(VLOOKUP($B316,Q,3,FALSE)=0,"",(VLOOKUP($B316,Q,3,FALSE)))</f>
        <v/>
      </c>
      <c r="E316" s="2" t="str">
        <f>IF(VLOOKUP($B316,Q,8,FALSE)=0,"",(VLOOKUP($B316,Q,8,FALSE)))</f>
        <v/>
      </c>
      <c r="F316" s="19" t="str">
        <f>IF(VLOOKUP($B316,Q,9,FALSE)=0,"",(VLOOKUP($B316,Q,9,FALSE)))</f>
        <v/>
      </c>
      <c r="G316" s="2" t="str">
        <f>IF(VLOOKUP($B316,Q,10,FALSE)=0,"",(VLOOKUP($B316,Q,10,FALSE)))</f>
        <v/>
      </c>
      <c r="H316" s="2" t="str">
        <f>IF(VLOOKUP($B316,Q,14,FALSE)=0,"",(VLOOKUP($B316,Q,14,FALSE)))</f>
        <v/>
      </c>
      <c r="I316" s="2" t="str">
        <f>IF(VLOOKUP($B316,Q,14,FALSE)=0,"",(VLOOKUP($B316,Q,15,FALSE)))</f>
        <v/>
      </c>
      <c r="J316" s="2" t="str">
        <f>IF(VLOOKUP($B316,Q,14,FALSE)=0,"",(VLOOKUP($B316,Q,16,FALSE)))</f>
        <v/>
      </c>
      <c r="K316" s="2" t="str">
        <f>IF(VLOOKUP($B316,Q,14,FALSE)=0,"",(VLOOKUP($B316,Q,17,FALSE)))</f>
        <v/>
      </c>
    </row>
    <row r="317" spans="2:11" x14ac:dyDescent="0.6">
      <c r="B317" s="1">
        <v>320</v>
      </c>
      <c r="C317" s="2" t="str">
        <f>IF(VLOOKUP($B317,Q,2,FALSE)=0,"",(VLOOKUP($B317,Q,2,FALSE)))</f>
        <v/>
      </c>
      <c r="D317" s="2" t="str">
        <f>IF(VLOOKUP($B317,Q,3,FALSE)=0,"",(VLOOKUP($B317,Q,3,FALSE)))</f>
        <v/>
      </c>
      <c r="E317" s="2" t="str">
        <f>IF(VLOOKUP($B317,Q,8,FALSE)=0,"",(VLOOKUP($B317,Q,8,FALSE)))</f>
        <v/>
      </c>
      <c r="F317" s="19" t="str">
        <f>IF(VLOOKUP($B317,Q,9,FALSE)=0,"",(VLOOKUP($B317,Q,9,FALSE)))</f>
        <v/>
      </c>
      <c r="G317" s="2" t="str">
        <f>IF(VLOOKUP($B317,Q,10,FALSE)=0,"",(VLOOKUP($B317,Q,10,FALSE)))</f>
        <v/>
      </c>
      <c r="H317" s="2" t="str">
        <f>IF(VLOOKUP($B317,Q,14,FALSE)=0,"",(VLOOKUP($B317,Q,14,FALSE)))</f>
        <v/>
      </c>
      <c r="I317" s="2" t="str">
        <f>IF(VLOOKUP($B317,Q,14,FALSE)=0,"",(VLOOKUP($B317,Q,15,FALSE)))</f>
        <v/>
      </c>
      <c r="J317" s="2" t="str">
        <f>IF(VLOOKUP($B317,Q,14,FALSE)=0,"",(VLOOKUP($B317,Q,16,FALSE)))</f>
        <v/>
      </c>
      <c r="K317" s="2" t="str">
        <f>IF(VLOOKUP($B317,Q,14,FALSE)=0,"",(VLOOKUP($B317,Q,17,FALSE)))</f>
        <v/>
      </c>
    </row>
    <row r="318" spans="2:11" x14ac:dyDescent="0.6">
      <c r="B318" s="1">
        <v>321</v>
      </c>
      <c r="C318" s="2" t="str">
        <f>IF(VLOOKUP($B318,Q,2,FALSE)=0,"",(VLOOKUP($B318,Q,2,FALSE)))</f>
        <v/>
      </c>
      <c r="D318" s="2" t="str">
        <f>IF(VLOOKUP($B318,Q,3,FALSE)=0,"",(VLOOKUP($B318,Q,3,FALSE)))</f>
        <v/>
      </c>
      <c r="E318" s="2" t="str">
        <f>IF(VLOOKUP($B318,Q,8,FALSE)=0,"",(VLOOKUP($B318,Q,8,FALSE)))</f>
        <v/>
      </c>
      <c r="F318" s="19" t="str">
        <f>IF(VLOOKUP($B318,Q,9,FALSE)=0,"",(VLOOKUP($B318,Q,9,FALSE)))</f>
        <v/>
      </c>
      <c r="G318" s="2" t="str">
        <f>IF(VLOOKUP($B318,Q,10,FALSE)=0,"",(VLOOKUP($B318,Q,10,FALSE)))</f>
        <v/>
      </c>
      <c r="H318" s="2" t="str">
        <f>IF(VLOOKUP($B318,Q,14,FALSE)=0,"",(VLOOKUP($B318,Q,14,FALSE)))</f>
        <v/>
      </c>
      <c r="I318" s="2" t="str">
        <f>IF(VLOOKUP($B318,Q,14,FALSE)=0,"",(VLOOKUP($B318,Q,15,FALSE)))</f>
        <v/>
      </c>
      <c r="J318" s="2" t="str">
        <f>IF(VLOOKUP($B318,Q,14,FALSE)=0,"",(VLOOKUP($B318,Q,16,FALSE)))</f>
        <v/>
      </c>
      <c r="K318" s="2" t="str">
        <f>IF(VLOOKUP($B318,Q,14,FALSE)=0,"",(VLOOKUP($B318,Q,17,FALSE)))</f>
        <v/>
      </c>
    </row>
    <row r="319" spans="2:11" x14ac:dyDescent="0.6">
      <c r="B319" s="1">
        <v>322</v>
      </c>
      <c r="C319" s="2" t="str">
        <f>IF(VLOOKUP($B319,Q,2,FALSE)=0,"",(VLOOKUP($B319,Q,2,FALSE)))</f>
        <v/>
      </c>
      <c r="D319" s="2" t="str">
        <f>IF(VLOOKUP($B319,Q,3,FALSE)=0,"",(VLOOKUP($B319,Q,3,FALSE)))</f>
        <v/>
      </c>
      <c r="E319" s="2" t="str">
        <f>IF(VLOOKUP($B319,Q,8,FALSE)=0,"",(VLOOKUP($B319,Q,8,FALSE)))</f>
        <v/>
      </c>
      <c r="F319" s="19" t="str">
        <f>IF(VLOOKUP($B319,Q,9,FALSE)=0,"",(VLOOKUP($B319,Q,9,FALSE)))</f>
        <v/>
      </c>
      <c r="G319" s="2" t="str">
        <f>IF(VLOOKUP($B319,Q,10,FALSE)=0,"",(VLOOKUP($B319,Q,10,FALSE)))</f>
        <v/>
      </c>
      <c r="H319" s="2" t="str">
        <f>IF(VLOOKUP($B319,Q,14,FALSE)=0,"",(VLOOKUP($B319,Q,14,FALSE)))</f>
        <v/>
      </c>
      <c r="I319" s="2" t="str">
        <f>IF(VLOOKUP($B319,Q,14,FALSE)=0,"",(VLOOKUP($B319,Q,15,FALSE)))</f>
        <v/>
      </c>
      <c r="J319" s="2" t="str">
        <f>IF(VLOOKUP($B319,Q,14,FALSE)=0,"",(VLOOKUP($B319,Q,16,FALSE)))</f>
        <v/>
      </c>
      <c r="K319" s="2" t="str">
        <f>IF(VLOOKUP($B319,Q,14,FALSE)=0,"",(VLOOKUP($B319,Q,17,FALSE)))</f>
        <v/>
      </c>
    </row>
    <row r="320" spans="2:11" x14ac:dyDescent="0.6">
      <c r="B320" s="1">
        <v>323</v>
      </c>
      <c r="C320" s="2" t="str">
        <f>IF(VLOOKUP($B320,Q,2,FALSE)=0,"",(VLOOKUP($B320,Q,2,FALSE)))</f>
        <v/>
      </c>
      <c r="D320" s="2" t="str">
        <f>IF(VLOOKUP($B320,Q,3,FALSE)=0,"",(VLOOKUP($B320,Q,3,FALSE)))</f>
        <v/>
      </c>
      <c r="E320" s="2" t="str">
        <f>IF(VLOOKUP($B320,Q,8,FALSE)=0,"",(VLOOKUP($B320,Q,8,FALSE)))</f>
        <v/>
      </c>
      <c r="F320" s="19" t="str">
        <f>IF(VLOOKUP($B320,Q,9,FALSE)=0,"",(VLOOKUP($B320,Q,9,FALSE)))</f>
        <v/>
      </c>
      <c r="G320" s="2" t="str">
        <f>IF(VLOOKUP($B320,Q,10,FALSE)=0,"",(VLOOKUP($B320,Q,10,FALSE)))</f>
        <v/>
      </c>
      <c r="H320" s="2" t="str">
        <f>IF(VLOOKUP($B320,Q,14,FALSE)=0,"",(VLOOKUP($B320,Q,14,FALSE)))</f>
        <v/>
      </c>
      <c r="I320" s="2" t="str">
        <f>IF(VLOOKUP($B320,Q,14,FALSE)=0,"",(VLOOKUP($B320,Q,15,FALSE)))</f>
        <v/>
      </c>
      <c r="J320" s="2" t="str">
        <f>IF(VLOOKUP($B320,Q,14,FALSE)=0,"",(VLOOKUP($B320,Q,16,FALSE)))</f>
        <v/>
      </c>
      <c r="K320" s="2" t="str">
        <f>IF(VLOOKUP($B320,Q,14,FALSE)=0,"",(VLOOKUP($B320,Q,17,FALSE)))</f>
        <v/>
      </c>
    </row>
    <row r="321" spans="2:11" x14ac:dyDescent="0.6">
      <c r="B321" s="1">
        <v>324</v>
      </c>
      <c r="C321" s="2" t="str">
        <f>IF(VLOOKUP($B321,Q,2,FALSE)=0,"",(VLOOKUP($B321,Q,2,FALSE)))</f>
        <v/>
      </c>
      <c r="D321" s="2" t="str">
        <f>IF(VLOOKUP($B321,Q,3,FALSE)=0,"",(VLOOKUP($B321,Q,3,FALSE)))</f>
        <v/>
      </c>
      <c r="E321" s="2" t="str">
        <f>IF(VLOOKUP($B321,Q,8,FALSE)=0,"",(VLOOKUP($B321,Q,8,FALSE)))</f>
        <v/>
      </c>
      <c r="F321" s="19" t="str">
        <f>IF(VLOOKUP($B321,Q,9,FALSE)=0,"",(VLOOKUP($B321,Q,9,FALSE)))</f>
        <v/>
      </c>
      <c r="G321" s="2" t="str">
        <f>IF(VLOOKUP($B321,Q,10,FALSE)=0,"",(VLOOKUP($B321,Q,10,FALSE)))</f>
        <v/>
      </c>
      <c r="H321" s="2" t="str">
        <f>IF(VLOOKUP($B321,Q,14,FALSE)=0,"",(VLOOKUP($B321,Q,14,FALSE)))</f>
        <v/>
      </c>
      <c r="I321" s="2" t="str">
        <f>IF(VLOOKUP($B321,Q,14,FALSE)=0,"",(VLOOKUP($B321,Q,15,FALSE)))</f>
        <v/>
      </c>
      <c r="J321" s="2" t="str">
        <f>IF(VLOOKUP($B321,Q,14,FALSE)=0,"",(VLOOKUP($B321,Q,16,FALSE)))</f>
        <v/>
      </c>
      <c r="K321" s="2" t="str">
        <f>IF(VLOOKUP($B321,Q,14,FALSE)=0,"",(VLOOKUP($B321,Q,17,FALSE)))</f>
        <v/>
      </c>
    </row>
    <row r="322" spans="2:11" x14ac:dyDescent="0.6">
      <c r="B322" s="1">
        <v>325</v>
      </c>
      <c r="C322" s="2" t="str">
        <f>IF(VLOOKUP($B322,Q,2,FALSE)=0,"",(VLOOKUP($B322,Q,2,FALSE)))</f>
        <v/>
      </c>
      <c r="D322" s="2" t="str">
        <f>IF(VLOOKUP($B322,Q,3,FALSE)=0,"",(VLOOKUP($B322,Q,3,FALSE)))</f>
        <v/>
      </c>
      <c r="E322" s="2" t="str">
        <f>IF(VLOOKUP($B322,Q,8,FALSE)=0,"",(VLOOKUP($B322,Q,8,FALSE)))</f>
        <v/>
      </c>
      <c r="F322" s="19" t="str">
        <f>IF(VLOOKUP($B322,Q,9,FALSE)=0,"",(VLOOKUP($B322,Q,9,FALSE)))</f>
        <v/>
      </c>
      <c r="G322" s="2" t="str">
        <f>IF(VLOOKUP($B322,Q,10,FALSE)=0,"",(VLOOKUP($B322,Q,10,FALSE)))</f>
        <v/>
      </c>
      <c r="H322" s="2" t="str">
        <f>IF(VLOOKUP($B322,Q,14,FALSE)=0,"",(VLOOKUP($B322,Q,14,FALSE)))</f>
        <v/>
      </c>
      <c r="I322" s="2" t="str">
        <f>IF(VLOOKUP($B322,Q,14,FALSE)=0,"",(VLOOKUP($B322,Q,15,FALSE)))</f>
        <v/>
      </c>
      <c r="J322" s="2" t="str">
        <f>IF(VLOOKUP($B322,Q,14,FALSE)=0,"",(VLOOKUP($B322,Q,16,FALSE)))</f>
        <v/>
      </c>
      <c r="K322" s="2" t="str">
        <f>IF(VLOOKUP($B322,Q,14,FALSE)=0,"",(VLOOKUP($B322,Q,17,FALSE)))</f>
        <v/>
      </c>
    </row>
    <row r="323" spans="2:11" x14ac:dyDescent="0.6">
      <c r="B323" s="1">
        <v>326</v>
      </c>
      <c r="C323" s="2" t="str">
        <f>IF(VLOOKUP($B323,Q,2,FALSE)=0,"",(VLOOKUP($B323,Q,2,FALSE)))</f>
        <v/>
      </c>
      <c r="D323" s="2" t="str">
        <f>IF(VLOOKUP($B323,Q,3,FALSE)=0,"",(VLOOKUP($B323,Q,3,FALSE)))</f>
        <v/>
      </c>
      <c r="E323" s="2" t="str">
        <f>IF(VLOOKUP($B323,Q,8,FALSE)=0,"",(VLOOKUP($B323,Q,8,FALSE)))</f>
        <v/>
      </c>
      <c r="F323" s="19" t="str">
        <f>IF(VLOOKUP($B323,Q,9,FALSE)=0,"",(VLOOKUP($B323,Q,9,FALSE)))</f>
        <v/>
      </c>
      <c r="G323" s="2" t="str">
        <f>IF(VLOOKUP($B323,Q,10,FALSE)=0,"",(VLOOKUP($B323,Q,10,FALSE)))</f>
        <v/>
      </c>
      <c r="H323" s="2" t="str">
        <f>IF(VLOOKUP($B323,Q,14,FALSE)=0,"",(VLOOKUP($B323,Q,14,FALSE)))</f>
        <v/>
      </c>
      <c r="I323" s="2" t="str">
        <f>IF(VLOOKUP($B323,Q,14,FALSE)=0,"",(VLOOKUP($B323,Q,15,FALSE)))</f>
        <v/>
      </c>
      <c r="J323" s="2" t="str">
        <f>IF(VLOOKUP($B323,Q,14,FALSE)=0,"",(VLOOKUP($B323,Q,16,FALSE)))</f>
        <v/>
      </c>
      <c r="K323" s="2" t="str">
        <f>IF(VLOOKUP($B323,Q,14,FALSE)=0,"",(VLOOKUP($B323,Q,17,FALSE)))</f>
        <v/>
      </c>
    </row>
    <row r="324" spans="2:11" x14ac:dyDescent="0.6">
      <c r="B324" s="1">
        <v>327</v>
      </c>
      <c r="C324" s="2" t="str">
        <f>IF(VLOOKUP($B324,Q,2,FALSE)=0,"",(VLOOKUP($B324,Q,2,FALSE)))</f>
        <v/>
      </c>
      <c r="D324" s="2" t="str">
        <f>IF(VLOOKUP($B324,Q,3,FALSE)=0,"",(VLOOKUP($B324,Q,3,FALSE)))</f>
        <v/>
      </c>
      <c r="E324" s="2" t="str">
        <f>IF(VLOOKUP($B324,Q,8,FALSE)=0,"",(VLOOKUP($B324,Q,8,FALSE)))</f>
        <v/>
      </c>
      <c r="F324" s="19" t="str">
        <f>IF(VLOOKUP($B324,Q,9,FALSE)=0,"",(VLOOKUP($B324,Q,9,FALSE)))</f>
        <v/>
      </c>
      <c r="G324" s="2" t="str">
        <f>IF(VLOOKUP($B324,Q,10,FALSE)=0,"",(VLOOKUP($B324,Q,10,FALSE)))</f>
        <v/>
      </c>
      <c r="H324" s="2" t="str">
        <f>IF(VLOOKUP($B324,Q,14,FALSE)=0,"",(VLOOKUP($B324,Q,14,FALSE)))</f>
        <v/>
      </c>
      <c r="I324" s="2" t="str">
        <f>IF(VLOOKUP($B324,Q,14,FALSE)=0,"",(VLOOKUP($B324,Q,15,FALSE)))</f>
        <v/>
      </c>
      <c r="J324" s="2" t="str">
        <f>IF(VLOOKUP($B324,Q,14,FALSE)=0,"",(VLOOKUP($B324,Q,16,FALSE)))</f>
        <v/>
      </c>
      <c r="K324" s="2" t="str">
        <f>IF(VLOOKUP($B324,Q,14,FALSE)=0,"",(VLOOKUP($B324,Q,17,FALSE)))</f>
        <v/>
      </c>
    </row>
    <row r="325" spans="2:11" x14ac:dyDescent="0.6">
      <c r="B325" s="1">
        <v>328</v>
      </c>
      <c r="C325" s="2" t="str">
        <f>IF(VLOOKUP($B325,Q,2,FALSE)=0,"",(VLOOKUP($B325,Q,2,FALSE)))</f>
        <v/>
      </c>
      <c r="D325" s="2" t="str">
        <f>IF(VLOOKUP($B325,Q,3,FALSE)=0,"",(VLOOKUP($B325,Q,3,FALSE)))</f>
        <v/>
      </c>
      <c r="E325" s="2" t="str">
        <f>IF(VLOOKUP($B325,Q,8,FALSE)=0,"",(VLOOKUP($B325,Q,8,FALSE)))</f>
        <v/>
      </c>
      <c r="F325" s="19" t="str">
        <f>IF(VLOOKUP($B325,Q,9,FALSE)=0,"",(VLOOKUP($B325,Q,9,FALSE)))</f>
        <v/>
      </c>
      <c r="G325" s="2" t="str">
        <f>IF(VLOOKUP($B325,Q,10,FALSE)=0,"",(VLOOKUP($B325,Q,10,FALSE)))</f>
        <v/>
      </c>
      <c r="H325" s="2" t="str">
        <f>IF(VLOOKUP($B325,Q,14,FALSE)=0,"",(VLOOKUP($B325,Q,14,FALSE)))</f>
        <v/>
      </c>
      <c r="I325" s="2" t="str">
        <f>IF(VLOOKUP($B325,Q,14,FALSE)=0,"",(VLOOKUP($B325,Q,15,FALSE)))</f>
        <v/>
      </c>
      <c r="J325" s="2" t="str">
        <f>IF(VLOOKUP($B325,Q,14,FALSE)=0,"",(VLOOKUP($B325,Q,16,FALSE)))</f>
        <v/>
      </c>
      <c r="K325" s="2" t="str">
        <f>IF(VLOOKUP($B325,Q,14,FALSE)=0,"",(VLOOKUP($B325,Q,17,FALSE)))</f>
        <v/>
      </c>
    </row>
    <row r="326" spans="2:11" x14ac:dyDescent="0.6">
      <c r="B326" s="1">
        <v>329</v>
      </c>
      <c r="C326" s="2" t="str">
        <f>IF(VLOOKUP($B326,Q,2,FALSE)=0,"",(VLOOKUP($B326,Q,2,FALSE)))</f>
        <v/>
      </c>
      <c r="D326" s="2" t="str">
        <f>IF(VLOOKUP($B326,Q,3,FALSE)=0,"",(VLOOKUP($B326,Q,3,FALSE)))</f>
        <v/>
      </c>
      <c r="E326" s="2" t="str">
        <f>IF(VLOOKUP($B326,Q,8,FALSE)=0,"",(VLOOKUP($B326,Q,8,FALSE)))</f>
        <v/>
      </c>
      <c r="F326" s="19" t="str">
        <f>IF(VLOOKUP($B326,Q,9,FALSE)=0,"",(VLOOKUP($B326,Q,9,FALSE)))</f>
        <v/>
      </c>
      <c r="G326" s="2" t="str">
        <f>IF(VLOOKUP($B326,Q,10,FALSE)=0,"",(VLOOKUP($B326,Q,10,FALSE)))</f>
        <v/>
      </c>
      <c r="H326" s="2" t="str">
        <f>IF(VLOOKUP($B326,Q,14,FALSE)=0,"",(VLOOKUP($B326,Q,14,FALSE)))</f>
        <v/>
      </c>
      <c r="I326" s="2" t="str">
        <f>IF(VLOOKUP($B326,Q,14,FALSE)=0,"",(VLOOKUP($B326,Q,15,FALSE)))</f>
        <v/>
      </c>
      <c r="J326" s="2" t="str">
        <f>IF(VLOOKUP($B326,Q,14,FALSE)=0,"",(VLOOKUP($B326,Q,16,FALSE)))</f>
        <v/>
      </c>
      <c r="K326" s="2" t="str">
        <f>IF(VLOOKUP($B326,Q,14,FALSE)=0,"",(VLOOKUP($B326,Q,17,FALSE)))</f>
        <v/>
      </c>
    </row>
    <row r="327" spans="2:11" x14ac:dyDescent="0.6">
      <c r="B327" s="1">
        <v>330</v>
      </c>
      <c r="C327" s="2" t="str">
        <f>IF(VLOOKUP($B327,Q,2,FALSE)=0,"",(VLOOKUP($B327,Q,2,FALSE)))</f>
        <v/>
      </c>
      <c r="D327" s="2" t="str">
        <f>IF(VLOOKUP($B327,Q,3,FALSE)=0,"",(VLOOKUP($B327,Q,3,FALSE)))</f>
        <v/>
      </c>
      <c r="E327" s="2" t="str">
        <f>IF(VLOOKUP($B327,Q,8,FALSE)=0,"",(VLOOKUP($B327,Q,8,FALSE)))</f>
        <v/>
      </c>
      <c r="F327" s="19" t="str">
        <f>IF(VLOOKUP($B327,Q,9,FALSE)=0,"",(VLOOKUP($B327,Q,9,FALSE)))</f>
        <v/>
      </c>
      <c r="G327" s="2" t="str">
        <f>IF(VLOOKUP($B327,Q,10,FALSE)=0,"",(VLOOKUP($B327,Q,10,FALSE)))</f>
        <v/>
      </c>
      <c r="H327" s="2" t="str">
        <f>IF(VLOOKUP($B327,Q,14,FALSE)=0,"",(VLOOKUP($B327,Q,14,FALSE)))</f>
        <v/>
      </c>
      <c r="I327" s="2" t="str">
        <f>IF(VLOOKUP($B327,Q,14,FALSE)=0,"",(VLOOKUP($B327,Q,15,FALSE)))</f>
        <v/>
      </c>
      <c r="J327" s="2" t="str">
        <f>IF(VLOOKUP($B327,Q,14,FALSE)=0,"",(VLOOKUP($B327,Q,16,FALSE)))</f>
        <v/>
      </c>
      <c r="K327" s="2" t="str">
        <f>IF(VLOOKUP($B327,Q,14,FALSE)=0,"",(VLOOKUP($B327,Q,17,FALSE)))</f>
        <v/>
      </c>
    </row>
    <row r="328" spans="2:11" x14ac:dyDescent="0.6">
      <c r="B328" s="1">
        <v>331</v>
      </c>
      <c r="C328" s="2" t="str">
        <f>IF(VLOOKUP($B328,Q,2,FALSE)=0,"",(VLOOKUP($B328,Q,2,FALSE)))</f>
        <v/>
      </c>
      <c r="D328" s="2" t="str">
        <f>IF(VLOOKUP($B328,Q,3,FALSE)=0,"",(VLOOKUP($B328,Q,3,FALSE)))</f>
        <v/>
      </c>
      <c r="E328" s="2" t="str">
        <f>IF(VLOOKUP($B328,Q,8,FALSE)=0,"",(VLOOKUP($B328,Q,8,FALSE)))</f>
        <v/>
      </c>
      <c r="F328" s="19" t="str">
        <f>IF(VLOOKUP($B328,Q,9,FALSE)=0,"",(VLOOKUP($B328,Q,9,FALSE)))</f>
        <v/>
      </c>
      <c r="G328" s="2" t="str">
        <f>IF(VLOOKUP($B328,Q,10,FALSE)=0,"",(VLOOKUP($B328,Q,10,FALSE)))</f>
        <v/>
      </c>
      <c r="H328" s="2" t="str">
        <f>IF(VLOOKUP($B328,Q,14,FALSE)=0,"",(VLOOKUP($B328,Q,14,FALSE)))</f>
        <v/>
      </c>
      <c r="I328" s="2" t="str">
        <f>IF(VLOOKUP($B328,Q,14,FALSE)=0,"",(VLOOKUP($B328,Q,15,FALSE)))</f>
        <v/>
      </c>
      <c r="J328" s="2" t="str">
        <f>IF(VLOOKUP($B328,Q,14,FALSE)=0,"",(VLOOKUP($B328,Q,16,FALSE)))</f>
        <v/>
      </c>
      <c r="K328" s="2" t="str">
        <f>IF(VLOOKUP($B328,Q,14,FALSE)=0,"",(VLOOKUP($B328,Q,17,FALSE)))</f>
        <v/>
      </c>
    </row>
    <row r="329" spans="2:11" x14ac:dyDescent="0.6">
      <c r="B329" s="1">
        <v>332</v>
      </c>
      <c r="C329" s="2" t="str">
        <f>IF(VLOOKUP($B329,Q,2,FALSE)=0,"",(VLOOKUP($B329,Q,2,FALSE)))</f>
        <v/>
      </c>
      <c r="D329" s="2" t="str">
        <f>IF(VLOOKUP($B329,Q,3,FALSE)=0,"",(VLOOKUP($B329,Q,3,FALSE)))</f>
        <v/>
      </c>
      <c r="E329" s="2" t="str">
        <f>IF(VLOOKUP($B329,Q,8,FALSE)=0,"",(VLOOKUP($B329,Q,8,FALSE)))</f>
        <v/>
      </c>
      <c r="F329" s="19" t="str">
        <f>IF(VLOOKUP($B329,Q,9,FALSE)=0,"",(VLOOKUP($B329,Q,9,FALSE)))</f>
        <v/>
      </c>
      <c r="G329" s="2" t="str">
        <f>IF(VLOOKUP($B329,Q,10,FALSE)=0,"",(VLOOKUP($B329,Q,10,FALSE)))</f>
        <v/>
      </c>
      <c r="H329" s="2" t="str">
        <f>IF(VLOOKUP($B329,Q,14,FALSE)=0,"",(VLOOKUP($B329,Q,14,FALSE)))</f>
        <v/>
      </c>
      <c r="I329" s="2" t="str">
        <f>IF(VLOOKUP($B329,Q,14,FALSE)=0,"",(VLOOKUP($B329,Q,15,FALSE)))</f>
        <v/>
      </c>
      <c r="J329" s="2" t="str">
        <f>IF(VLOOKUP($B329,Q,14,FALSE)=0,"",(VLOOKUP($B329,Q,16,FALSE)))</f>
        <v/>
      </c>
      <c r="K329" s="2" t="str">
        <f>IF(VLOOKUP($B329,Q,14,FALSE)=0,"",(VLOOKUP($B329,Q,17,FALSE)))</f>
        <v/>
      </c>
    </row>
    <row r="330" spans="2:11" x14ac:dyDescent="0.6">
      <c r="B330" s="1">
        <v>333</v>
      </c>
      <c r="C330" s="2" t="str">
        <f>IF(VLOOKUP($B330,Q,2,FALSE)=0,"",(VLOOKUP($B330,Q,2,FALSE)))</f>
        <v/>
      </c>
      <c r="D330" s="2" t="str">
        <f>IF(VLOOKUP($B330,Q,3,FALSE)=0,"",(VLOOKUP($B330,Q,3,FALSE)))</f>
        <v/>
      </c>
      <c r="E330" s="2" t="str">
        <f>IF(VLOOKUP($B330,Q,8,FALSE)=0,"",(VLOOKUP($B330,Q,8,FALSE)))</f>
        <v/>
      </c>
      <c r="F330" s="19" t="str">
        <f>IF(VLOOKUP($B330,Q,9,FALSE)=0,"",(VLOOKUP($B330,Q,9,FALSE)))</f>
        <v/>
      </c>
      <c r="G330" s="2" t="str">
        <f>IF(VLOOKUP($B330,Q,10,FALSE)=0,"",(VLOOKUP($B330,Q,10,FALSE)))</f>
        <v/>
      </c>
      <c r="H330" s="2" t="str">
        <f>IF(VLOOKUP($B330,Q,14,FALSE)=0,"",(VLOOKUP($B330,Q,14,FALSE)))</f>
        <v/>
      </c>
      <c r="I330" s="2" t="str">
        <f>IF(VLOOKUP($B330,Q,14,FALSE)=0,"",(VLOOKUP($B330,Q,15,FALSE)))</f>
        <v/>
      </c>
      <c r="J330" s="2" t="str">
        <f>IF(VLOOKUP($B330,Q,14,FALSE)=0,"",(VLOOKUP($B330,Q,16,FALSE)))</f>
        <v/>
      </c>
      <c r="K330" s="2" t="str">
        <f>IF(VLOOKUP($B330,Q,14,FALSE)=0,"",(VLOOKUP($B330,Q,17,FALSE)))</f>
        <v/>
      </c>
    </row>
    <row r="331" spans="2:11" x14ac:dyDescent="0.6">
      <c r="B331" s="1">
        <v>334</v>
      </c>
      <c r="C331" s="2" t="str">
        <f>IF(VLOOKUP($B331,Q,2,FALSE)=0,"",(VLOOKUP($B331,Q,2,FALSE)))</f>
        <v/>
      </c>
      <c r="D331" s="2" t="str">
        <f>IF(VLOOKUP($B331,Q,3,FALSE)=0,"",(VLOOKUP($B331,Q,3,FALSE)))</f>
        <v/>
      </c>
      <c r="E331" s="2" t="str">
        <f>IF(VLOOKUP($B331,Q,8,FALSE)=0,"",(VLOOKUP($B331,Q,8,FALSE)))</f>
        <v/>
      </c>
      <c r="F331" s="19" t="str">
        <f>IF(VLOOKUP($B331,Q,9,FALSE)=0,"",(VLOOKUP($B331,Q,9,FALSE)))</f>
        <v/>
      </c>
      <c r="G331" s="2" t="str">
        <f>IF(VLOOKUP($B331,Q,10,FALSE)=0,"",(VLOOKUP($B331,Q,10,FALSE)))</f>
        <v/>
      </c>
      <c r="H331" s="2" t="str">
        <f>IF(VLOOKUP($B331,Q,14,FALSE)=0,"",(VLOOKUP($B331,Q,14,FALSE)))</f>
        <v/>
      </c>
      <c r="I331" s="2" t="str">
        <f>IF(VLOOKUP($B331,Q,14,FALSE)=0,"",(VLOOKUP($B331,Q,15,FALSE)))</f>
        <v/>
      </c>
      <c r="J331" s="2" t="str">
        <f>IF(VLOOKUP($B331,Q,14,FALSE)=0,"",(VLOOKUP($B331,Q,16,FALSE)))</f>
        <v/>
      </c>
      <c r="K331" s="2" t="str">
        <f>IF(VLOOKUP($B331,Q,14,FALSE)=0,"",(VLOOKUP($B331,Q,17,FALSE)))</f>
        <v/>
      </c>
    </row>
    <row r="332" spans="2:11" x14ac:dyDescent="0.6">
      <c r="B332" s="1">
        <v>335</v>
      </c>
      <c r="C332" s="2" t="str">
        <f>IF(VLOOKUP($B332,Q,2,FALSE)=0,"",(VLOOKUP($B332,Q,2,FALSE)))</f>
        <v/>
      </c>
      <c r="D332" s="2" t="str">
        <f>IF(VLOOKUP($B332,Q,3,FALSE)=0,"",(VLOOKUP($B332,Q,3,FALSE)))</f>
        <v/>
      </c>
      <c r="E332" s="2" t="str">
        <f>IF(VLOOKUP($B332,Q,8,FALSE)=0,"",(VLOOKUP($B332,Q,8,FALSE)))</f>
        <v/>
      </c>
      <c r="F332" s="19" t="str">
        <f>IF(VLOOKUP($B332,Q,9,FALSE)=0,"",(VLOOKUP($B332,Q,9,FALSE)))</f>
        <v/>
      </c>
      <c r="G332" s="2" t="str">
        <f>IF(VLOOKUP($B332,Q,10,FALSE)=0,"",(VLOOKUP($B332,Q,10,FALSE)))</f>
        <v/>
      </c>
      <c r="H332" s="2" t="str">
        <f>IF(VLOOKUP($B332,Q,14,FALSE)=0,"",(VLOOKUP($B332,Q,14,FALSE)))</f>
        <v/>
      </c>
      <c r="I332" s="2" t="str">
        <f>IF(VLOOKUP($B332,Q,14,FALSE)=0,"",(VLOOKUP($B332,Q,15,FALSE)))</f>
        <v/>
      </c>
      <c r="J332" s="2" t="str">
        <f>IF(VLOOKUP($B332,Q,14,FALSE)=0,"",(VLOOKUP($B332,Q,16,FALSE)))</f>
        <v/>
      </c>
      <c r="K332" s="2" t="str">
        <f>IF(VLOOKUP($B332,Q,14,FALSE)=0,"",(VLOOKUP($B332,Q,17,FALSE)))</f>
        <v/>
      </c>
    </row>
    <row r="333" spans="2:11" x14ac:dyDescent="0.6">
      <c r="B333" s="1">
        <v>336</v>
      </c>
      <c r="C333" s="2" t="str">
        <f>IF(VLOOKUP($B333,Q,2,FALSE)=0,"",(VLOOKUP($B333,Q,2,FALSE)))</f>
        <v/>
      </c>
      <c r="D333" s="2" t="str">
        <f>IF(VLOOKUP($B333,Q,3,FALSE)=0,"",(VLOOKUP($B333,Q,3,FALSE)))</f>
        <v/>
      </c>
      <c r="E333" s="2" t="str">
        <f>IF(VLOOKUP($B333,Q,8,FALSE)=0,"",(VLOOKUP($B333,Q,8,FALSE)))</f>
        <v/>
      </c>
      <c r="F333" s="19" t="str">
        <f>IF(VLOOKUP($B333,Q,9,FALSE)=0,"",(VLOOKUP($B333,Q,9,FALSE)))</f>
        <v/>
      </c>
      <c r="G333" s="2" t="str">
        <f>IF(VLOOKUP($B333,Q,10,FALSE)=0,"",(VLOOKUP($B333,Q,10,FALSE)))</f>
        <v/>
      </c>
      <c r="H333" s="2" t="str">
        <f>IF(VLOOKUP($B333,Q,14,FALSE)=0,"",(VLOOKUP($B333,Q,14,FALSE)))</f>
        <v/>
      </c>
      <c r="I333" s="2" t="str">
        <f>IF(VLOOKUP($B333,Q,14,FALSE)=0,"",(VLOOKUP($B333,Q,15,FALSE)))</f>
        <v/>
      </c>
      <c r="J333" s="2" t="str">
        <f>IF(VLOOKUP($B333,Q,14,FALSE)=0,"",(VLOOKUP($B333,Q,16,FALSE)))</f>
        <v/>
      </c>
      <c r="K333" s="2" t="str">
        <f>IF(VLOOKUP($B333,Q,14,FALSE)=0,"",(VLOOKUP($B333,Q,17,FALSE)))</f>
        <v/>
      </c>
    </row>
    <row r="334" spans="2:11" x14ac:dyDescent="0.6">
      <c r="B334" s="1">
        <v>337</v>
      </c>
      <c r="C334" s="2" t="str">
        <f>IF(VLOOKUP($B334,Q,2,FALSE)=0,"",(VLOOKUP($B334,Q,2,FALSE)))</f>
        <v/>
      </c>
      <c r="D334" s="2" t="str">
        <f>IF(VLOOKUP($B334,Q,3,FALSE)=0,"",(VLOOKUP($B334,Q,3,FALSE)))</f>
        <v/>
      </c>
      <c r="E334" s="2" t="str">
        <f>IF(VLOOKUP($B334,Q,8,FALSE)=0,"",(VLOOKUP($B334,Q,8,FALSE)))</f>
        <v/>
      </c>
      <c r="F334" s="19" t="str">
        <f>IF(VLOOKUP($B334,Q,9,FALSE)=0,"",(VLOOKUP($B334,Q,9,FALSE)))</f>
        <v/>
      </c>
      <c r="G334" s="2" t="str">
        <f>IF(VLOOKUP($B334,Q,10,FALSE)=0,"",(VLOOKUP($B334,Q,10,FALSE)))</f>
        <v/>
      </c>
      <c r="H334" s="2" t="str">
        <f>IF(VLOOKUP($B334,Q,14,FALSE)=0,"",(VLOOKUP($B334,Q,14,FALSE)))</f>
        <v/>
      </c>
      <c r="I334" s="2" t="str">
        <f>IF(VLOOKUP($B334,Q,14,FALSE)=0,"",(VLOOKUP($B334,Q,15,FALSE)))</f>
        <v/>
      </c>
      <c r="J334" s="2" t="str">
        <f>IF(VLOOKUP($B334,Q,14,FALSE)=0,"",(VLOOKUP($B334,Q,16,FALSE)))</f>
        <v/>
      </c>
      <c r="K334" s="2" t="str">
        <f>IF(VLOOKUP($B334,Q,14,FALSE)=0,"",(VLOOKUP($B334,Q,17,FALSE)))</f>
        <v/>
      </c>
    </row>
    <row r="335" spans="2:11" x14ac:dyDescent="0.6">
      <c r="B335" s="1">
        <v>338</v>
      </c>
      <c r="C335" s="2" t="str">
        <f>IF(VLOOKUP($B335,Q,2,FALSE)=0,"",(VLOOKUP($B335,Q,2,FALSE)))</f>
        <v/>
      </c>
      <c r="D335" s="2" t="str">
        <f>IF(VLOOKUP($B335,Q,3,FALSE)=0,"",(VLOOKUP($B335,Q,3,FALSE)))</f>
        <v/>
      </c>
      <c r="E335" s="2" t="str">
        <f>IF(VLOOKUP($B335,Q,8,FALSE)=0,"",(VLOOKUP($B335,Q,8,FALSE)))</f>
        <v/>
      </c>
      <c r="F335" s="19" t="str">
        <f>IF(VLOOKUP($B335,Q,9,FALSE)=0,"",(VLOOKUP($B335,Q,9,FALSE)))</f>
        <v/>
      </c>
      <c r="G335" s="2" t="str">
        <f>IF(VLOOKUP($B335,Q,10,FALSE)=0,"",(VLOOKUP($B335,Q,10,FALSE)))</f>
        <v/>
      </c>
      <c r="H335" s="2" t="str">
        <f>IF(VLOOKUP($B335,Q,14,FALSE)=0,"",(VLOOKUP($B335,Q,14,FALSE)))</f>
        <v/>
      </c>
      <c r="I335" s="2" t="str">
        <f>IF(VLOOKUP($B335,Q,14,FALSE)=0,"",(VLOOKUP($B335,Q,15,FALSE)))</f>
        <v/>
      </c>
      <c r="J335" s="2" t="str">
        <f>IF(VLOOKUP($B335,Q,14,FALSE)=0,"",(VLOOKUP($B335,Q,16,FALSE)))</f>
        <v/>
      </c>
      <c r="K335" s="2" t="str">
        <f>IF(VLOOKUP($B335,Q,14,FALSE)=0,"",(VLOOKUP($B335,Q,17,FALSE)))</f>
        <v/>
      </c>
    </row>
    <row r="336" spans="2:11" x14ac:dyDescent="0.6">
      <c r="B336" s="1">
        <v>339</v>
      </c>
      <c r="C336" s="2" t="str">
        <f>IF(VLOOKUP($B336,Q,2,FALSE)=0,"",(VLOOKUP($B336,Q,2,FALSE)))</f>
        <v/>
      </c>
      <c r="D336" s="2" t="str">
        <f>IF(VLOOKUP($B336,Q,3,FALSE)=0,"",(VLOOKUP($B336,Q,3,FALSE)))</f>
        <v/>
      </c>
      <c r="E336" s="2" t="str">
        <f>IF(VLOOKUP($B336,Q,8,FALSE)=0,"",(VLOOKUP($B336,Q,8,FALSE)))</f>
        <v/>
      </c>
      <c r="F336" s="19" t="str">
        <f>IF(VLOOKUP($B336,Q,9,FALSE)=0,"",(VLOOKUP($B336,Q,9,FALSE)))</f>
        <v/>
      </c>
      <c r="G336" s="2" t="str">
        <f>IF(VLOOKUP($B336,Q,10,FALSE)=0,"",(VLOOKUP($B336,Q,10,FALSE)))</f>
        <v/>
      </c>
      <c r="H336" s="2" t="str">
        <f>IF(VLOOKUP($B336,Q,14,FALSE)=0,"",(VLOOKUP($B336,Q,14,FALSE)))</f>
        <v/>
      </c>
      <c r="I336" s="2" t="str">
        <f>IF(VLOOKUP($B336,Q,14,FALSE)=0,"",(VLOOKUP($B336,Q,15,FALSE)))</f>
        <v/>
      </c>
      <c r="J336" s="2" t="str">
        <f>IF(VLOOKUP($B336,Q,14,FALSE)=0,"",(VLOOKUP($B336,Q,16,FALSE)))</f>
        <v/>
      </c>
      <c r="K336" s="2" t="str">
        <f>IF(VLOOKUP($B336,Q,14,FALSE)=0,"",(VLOOKUP($B336,Q,17,FALSE)))</f>
        <v/>
      </c>
    </row>
    <row r="337" spans="2:11" x14ac:dyDescent="0.6">
      <c r="B337" s="1">
        <v>340</v>
      </c>
      <c r="C337" s="2" t="str">
        <f>IF(VLOOKUP($B337,Q,2,FALSE)=0,"",(VLOOKUP($B337,Q,2,FALSE)))</f>
        <v/>
      </c>
      <c r="D337" s="2" t="str">
        <f>IF(VLOOKUP($B337,Q,3,FALSE)=0,"",(VLOOKUP($B337,Q,3,FALSE)))</f>
        <v/>
      </c>
      <c r="E337" s="2" t="str">
        <f>IF(VLOOKUP($B337,Q,8,FALSE)=0,"",(VLOOKUP($B337,Q,8,FALSE)))</f>
        <v/>
      </c>
      <c r="F337" s="19" t="str">
        <f>IF(VLOOKUP($B337,Q,9,FALSE)=0,"",(VLOOKUP($B337,Q,9,FALSE)))</f>
        <v/>
      </c>
      <c r="G337" s="2" t="str">
        <f>IF(VLOOKUP($B337,Q,10,FALSE)=0,"",(VLOOKUP($B337,Q,10,FALSE)))</f>
        <v/>
      </c>
      <c r="H337" s="2" t="str">
        <f>IF(VLOOKUP($B337,Q,14,FALSE)=0,"",(VLOOKUP($B337,Q,14,FALSE)))</f>
        <v/>
      </c>
      <c r="I337" s="2" t="str">
        <f>IF(VLOOKUP($B337,Q,14,FALSE)=0,"",(VLOOKUP($B337,Q,15,FALSE)))</f>
        <v/>
      </c>
      <c r="J337" s="2" t="str">
        <f>IF(VLOOKUP($B337,Q,14,FALSE)=0,"",(VLOOKUP($B337,Q,16,FALSE)))</f>
        <v/>
      </c>
      <c r="K337" s="2" t="str">
        <f>IF(VLOOKUP($B337,Q,14,FALSE)=0,"",(VLOOKUP($B337,Q,17,FALSE)))</f>
        <v/>
      </c>
    </row>
    <row r="338" spans="2:11" x14ac:dyDescent="0.6">
      <c r="B338" s="1">
        <v>341</v>
      </c>
      <c r="C338" s="2" t="str">
        <f>IF(VLOOKUP($B338,Q,2,FALSE)=0,"",(VLOOKUP($B338,Q,2,FALSE)))</f>
        <v/>
      </c>
      <c r="D338" s="2" t="str">
        <f>IF(VLOOKUP($B338,Q,3,FALSE)=0,"",(VLOOKUP($B338,Q,3,FALSE)))</f>
        <v/>
      </c>
      <c r="E338" s="2" t="str">
        <f>IF(VLOOKUP($B338,Q,8,FALSE)=0,"",(VLOOKUP($B338,Q,8,FALSE)))</f>
        <v/>
      </c>
      <c r="F338" s="19" t="str">
        <f>IF(VLOOKUP($B338,Q,9,FALSE)=0,"",(VLOOKUP($B338,Q,9,FALSE)))</f>
        <v/>
      </c>
      <c r="G338" s="2" t="str">
        <f>IF(VLOOKUP($B338,Q,10,FALSE)=0,"",(VLOOKUP($B338,Q,10,FALSE)))</f>
        <v/>
      </c>
      <c r="H338" s="2" t="str">
        <f>IF(VLOOKUP($B338,Q,14,FALSE)=0,"",(VLOOKUP($B338,Q,14,FALSE)))</f>
        <v/>
      </c>
      <c r="I338" s="2" t="str">
        <f>IF(VLOOKUP($B338,Q,14,FALSE)=0,"",(VLOOKUP($B338,Q,15,FALSE)))</f>
        <v/>
      </c>
      <c r="J338" s="2" t="str">
        <f>IF(VLOOKUP($B338,Q,14,FALSE)=0,"",(VLOOKUP($B338,Q,16,FALSE)))</f>
        <v/>
      </c>
      <c r="K338" s="2" t="str">
        <f>IF(VLOOKUP($B338,Q,14,FALSE)=0,"",(VLOOKUP($B338,Q,17,FALSE)))</f>
        <v/>
      </c>
    </row>
    <row r="339" spans="2:11" x14ac:dyDescent="0.6">
      <c r="B339" s="1">
        <v>342</v>
      </c>
      <c r="C339" s="2" t="str">
        <f>IF(VLOOKUP($B339,Q,2,FALSE)=0,"",(VLOOKUP($B339,Q,2,FALSE)))</f>
        <v/>
      </c>
      <c r="D339" s="2" t="str">
        <f>IF(VLOOKUP($B339,Q,3,FALSE)=0,"",(VLOOKUP($B339,Q,3,FALSE)))</f>
        <v/>
      </c>
      <c r="E339" s="2" t="str">
        <f>IF(VLOOKUP($B339,Q,8,FALSE)=0,"",(VLOOKUP($B339,Q,8,FALSE)))</f>
        <v/>
      </c>
      <c r="F339" s="19" t="str">
        <f>IF(VLOOKUP($B339,Q,9,FALSE)=0,"",(VLOOKUP($B339,Q,9,FALSE)))</f>
        <v/>
      </c>
      <c r="G339" s="2" t="str">
        <f>IF(VLOOKUP($B339,Q,10,FALSE)=0,"",(VLOOKUP($B339,Q,10,FALSE)))</f>
        <v/>
      </c>
      <c r="H339" s="2" t="str">
        <f>IF(VLOOKUP($B339,Q,14,FALSE)=0,"",(VLOOKUP($B339,Q,14,FALSE)))</f>
        <v/>
      </c>
      <c r="I339" s="2" t="str">
        <f>IF(VLOOKUP($B339,Q,14,FALSE)=0,"",(VLOOKUP($B339,Q,15,FALSE)))</f>
        <v/>
      </c>
      <c r="J339" s="2" t="str">
        <f>IF(VLOOKUP($B339,Q,14,FALSE)=0,"",(VLOOKUP($B339,Q,16,FALSE)))</f>
        <v/>
      </c>
      <c r="K339" s="2" t="str">
        <f>IF(VLOOKUP($B339,Q,14,FALSE)=0,"",(VLOOKUP($B339,Q,17,FALSE)))</f>
        <v/>
      </c>
    </row>
    <row r="340" spans="2:11" x14ac:dyDescent="0.6">
      <c r="B340" s="1">
        <v>343</v>
      </c>
      <c r="C340" s="2" t="str">
        <f>IF(VLOOKUP($B340,Q,2,FALSE)=0,"",(VLOOKUP($B340,Q,2,FALSE)))</f>
        <v/>
      </c>
      <c r="D340" s="2" t="str">
        <f>IF(VLOOKUP($B340,Q,3,FALSE)=0,"",(VLOOKUP($B340,Q,3,FALSE)))</f>
        <v/>
      </c>
      <c r="E340" s="2" t="str">
        <f>IF(VLOOKUP($B340,Q,8,FALSE)=0,"",(VLOOKUP($B340,Q,8,FALSE)))</f>
        <v/>
      </c>
      <c r="F340" s="19" t="str">
        <f>IF(VLOOKUP($B340,Q,9,FALSE)=0,"",(VLOOKUP($B340,Q,9,FALSE)))</f>
        <v/>
      </c>
      <c r="G340" s="2" t="str">
        <f>IF(VLOOKUP($B340,Q,10,FALSE)=0,"",(VLOOKUP($B340,Q,10,FALSE)))</f>
        <v/>
      </c>
      <c r="H340" s="2" t="str">
        <f>IF(VLOOKUP($B340,Q,14,FALSE)=0,"",(VLOOKUP($B340,Q,14,FALSE)))</f>
        <v/>
      </c>
      <c r="I340" s="2" t="str">
        <f>IF(VLOOKUP($B340,Q,14,FALSE)=0,"",(VLOOKUP($B340,Q,15,FALSE)))</f>
        <v/>
      </c>
      <c r="J340" s="2" t="str">
        <f>IF(VLOOKUP($B340,Q,14,FALSE)=0,"",(VLOOKUP($B340,Q,16,FALSE)))</f>
        <v/>
      </c>
      <c r="K340" s="2" t="str">
        <f>IF(VLOOKUP($B340,Q,14,FALSE)=0,"",(VLOOKUP($B340,Q,17,FALSE)))</f>
        <v/>
      </c>
    </row>
    <row r="341" spans="2:11" x14ac:dyDescent="0.6">
      <c r="B341" s="1">
        <v>344</v>
      </c>
      <c r="C341" s="2" t="str">
        <f>IF(VLOOKUP($B341,Q,2,FALSE)=0,"",(VLOOKUP($B341,Q,2,FALSE)))</f>
        <v/>
      </c>
      <c r="D341" s="2" t="str">
        <f>IF(VLOOKUP($B341,Q,3,FALSE)=0,"",(VLOOKUP($B341,Q,3,FALSE)))</f>
        <v/>
      </c>
      <c r="E341" s="2" t="str">
        <f>IF(VLOOKUP($B341,Q,8,FALSE)=0,"",(VLOOKUP($B341,Q,8,FALSE)))</f>
        <v/>
      </c>
      <c r="F341" s="19" t="str">
        <f>IF(VLOOKUP($B341,Q,9,FALSE)=0,"",(VLOOKUP($B341,Q,9,FALSE)))</f>
        <v/>
      </c>
      <c r="G341" s="2" t="str">
        <f>IF(VLOOKUP($B341,Q,10,FALSE)=0,"",(VLOOKUP($B341,Q,10,FALSE)))</f>
        <v/>
      </c>
      <c r="H341" s="2" t="str">
        <f>IF(VLOOKUP($B341,Q,14,FALSE)=0,"",(VLOOKUP($B341,Q,14,FALSE)))</f>
        <v/>
      </c>
      <c r="I341" s="2" t="str">
        <f>IF(VLOOKUP($B341,Q,14,FALSE)=0,"",(VLOOKUP($B341,Q,15,FALSE)))</f>
        <v/>
      </c>
      <c r="J341" s="2" t="str">
        <f>IF(VLOOKUP($B341,Q,14,FALSE)=0,"",(VLOOKUP($B341,Q,16,FALSE)))</f>
        <v/>
      </c>
      <c r="K341" s="2" t="str">
        <f>IF(VLOOKUP($B341,Q,14,FALSE)=0,"",(VLOOKUP($B341,Q,17,FALSE)))</f>
        <v/>
      </c>
    </row>
    <row r="342" spans="2:11" x14ac:dyDescent="0.6">
      <c r="B342" s="1">
        <v>345</v>
      </c>
      <c r="C342" s="2" t="str">
        <f>IF(VLOOKUP($B342,Q,2,FALSE)=0,"",(VLOOKUP($B342,Q,2,FALSE)))</f>
        <v/>
      </c>
      <c r="D342" s="2" t="str">
        <f>IF(VLOOKUP($B342,Q,3,FALSE)=0,"",(VLOOKUP($B342,Q,3,FALSE)))</f>
        <v/>
      </c>
      <c r="E342" s="2" t="str">
        <f>IF(VLOOKUP($B342,Q,8,FALSE)=0,"",(VLOOKUP($B342,Q,8,FALSE)))</f>
        <v/>
      </c>
      <c r="F342" s="19" t="str">
        <f>IF(VLOOKUP($B342,Q,9,FALSE)=0,"",(VLOOKUP($B342,Q,9,FALSE)))</f>
        <v/>
      </c>
      <c r="G342" s="2" t="str">
        <f>IF(VLOOKUP($B342,Q,10,FALSE)=0,"",(VLOOKUP($B342,Q,10,FALSE)))</f>
        <v/>
      </c>
      <c r="H342" s="2" t="str">
        <f>IF(VLOOKUP($B342,Q,14,FALSE)=0,"",(VLOOKUP($B342,Q,14,FALSE)))</f>
        <v/>
      </c>
      <c r="I342" s="2" t="str">
        <f>IF(VLOOKUP($B342,Q,14,FALSE)=0,"",(VLOOKUP($B342,Q,15,FALSE)))</f>
        <v/>
      </c>
      <c r="J342" s="2" t="str">
        <f>IF(VLOOKUP($B342,Q,14,FALSE)=0,"",(VLOOKUP($B342,Q,16,FALSE)))</f>
        <v/>
      </c>
      <c r="K342" s="2" t="str">
        <f>IF(VLOOKUP($B342,Q,14,FALSE)=0,"",(VLOOKUP($B342,Q,17,FALSE)))</f>
        <v/>
      </c>
    </row>
    <row r="343" spans="2:11" x14ac:dyDescent="0.6">
      <c r="B343" s="1">
        <v>346</v>
      </c>
      <c r="C343" s="2" t="str">
        <f>IF(VLOOKUP($B343,Q,2,FALSE)=0,"",(VLOOKUP($B343,Q,2,FALSE)))</f>
        <v/>
      </c>
      <c r="D343" s="2" t="str">
        <f>IF(VLOOKUP($B343,Q,3,FALSE)=0,"",(VLOOKUP($B343,Q,3,FALSE)))</f>
        <v/>
      </c>
      <c r="E343" s="2" t="str">
        <f>IF(VLOOKUP($B343,Q,8,FALSE)=0,"",(VLOOKUP($B343,Q,8,FALSE)))</f>
        <v/>
      </c>
      <c r="F343" s="19" t="str">
        <f>IF(VLOOKUP($B343,Q,9,FALSE)=0,"",(VLOOKUP($B343,Q,9,FALSE)))</f>
        <v/>
      </c>
      <c r="G343" s="2" t="str">
        <f>IF(VLOOKUP($B343,Q,10,FALSE)=0,"",(VLOOKUP($B343,Q,10,FALSE)))</f>
        <v/>
      </c>
      <c r="H343" s="2" t="str">
        <f>IF(VLOOKUP($B343,Q,14,FALSE)=0,"",(VLOOKUP($B343,Q,14,FALSE)))</f>
        <v/>
      </c>
      <c r="I343" s="2" t="str">
        <f>IF(VLOOKUP($B343,Q,14,FALSE)=0,"",(VLOOKUP($B343,Q,15,FALSE)))</f>
        <v/>
      </c>
      <c r="J343" s="2" t="str">
        <f>IF(VLOOKUP($B343,Q,14,FALSE)=0,"",(VLOOKUP($B343,Q,16,FALSE)))</f>
        <v/>
      </c>
      <c r="K343" s="2" t="str">
        <f>IF(VLOOKUP($B343,Q,14,FALSE)=0,"",(VLOOKUP($B343,Q,17,FALSE)))</f>
        <v/>
      </c>
    </row>
    <row r="344" spans="2:11" x14ac:dyDescent="0.6">
      <c r="B344" s="1">
        <v>347</v>
      </c>
      <c r="C344" s="2" t="str">
        <f>IF(VLOOKUP($B344,Q,2,FALSE)=0,"",(VLOOKUP($B344,Q,2,FALSE)))</f>
        <v/>
      </c>
      <c r="D344" s="2" t="str">
        <f>IF(VLOOKUP($B344,Q,3,FALSE)=0,"",(VLOOKUP($B344,Q,3,FALSE)))</f>
        <v/>
      </c>
      <c r="E344" s="2" t="str">
        <f>IF(VLOOKUP($B344,Q,8,FALSE)=0,"",(VLOOKUP($B344,Q,8,FALSE)))</f>
        <v/>
      </c>
      <c r="F344" s="19" t="str">
        <f>IF(VLOOKUP($B344,Q,9,FALSE)=0,"",(VLOOKUP($B344,Q,9,FALSE)))</f>
        <v/>
      </c>
      <c r="G344" s="2" t="str">
        <f>IF(VLOOKUP($B344,Q,10,FALSE)=0,"",(VLOOKUP($B344,Q,10,FALSE)))</f>
        <v/>
      </c>
      <c r="H344" s="2" t="str">
        <f>IF(VLOOKUP($B344,Q,14,FALSE)=0,"",(VLOOKUP($B344,Q,14,FALSE)))</f>
        <v/>
      </c>
      <c r="I344" s="2" t="str">
        <f>IF(VLOOKUP($B344,Q,14,FALSE)=0,"",(VLOOKUP($B344,Q,15,FALSE)))</f>
        <v/>
      </c>
      <c r="J344" s="2" t="str">
        <f>IF(VLOOKUP($B344,Q,14,FALSE)=0,"",(VLOOKUP($B344,Q,16,FALSE)))</f>
        <v/>
      </c>
      <c r="K344" s="2" t="str">
        <f>IF(VLOOKUP($B344,Q,14,FALSE)=0,"",(VLOOKUP($B344,Q,17,FALSE)))</f>
        <v/>
      </c>
    </row>
    <row r="345" spans="2:11" x14ac:dyDescent="0.6">
      <c r="B345" s="1">
        <v>348</v>
      </c>
      <c r="C345" s="2" t="str">
        <f>IF(VLOOKUP($B345,Q,2,FALSE)=0,"",(VLOOKUP($B345,Q,2,FALSE)))</f>
        <v/>
      </c>
      <c r="D345" s="2" t="str">
        <f>IF(VLOOKUP($B345,Q,3,FALSE)=0,"",(VLOOKUP($B345,Q,3,FALSE)))</f>
        <v/>
      </c>
      <c r="E345" s="2" t="str">
        <f>IF(VLOOKUP($B345,Q,8,FALSE)=0,"",(VLOOKUP($B345,Q,8,FALSE)))</f>
        <v/>
      </c>
      <c r="F345" s="19" t="str">
        <f>IF(VLOOKUP($B345,Q,9,FALSE)=0,"",(VLOOKUP($B345,Q,9,FALSE)))</f>
        <v/>
      </c>
      <c r="G345" s="2" t="str">
        <f>IF(VLOOKUP($B345,Q,10,FALSE)=0,"",(VLOOKUP($B345,Q,10,FALSE)))</f>
        <v/>
      </c>
      <c r="H345" s="2" t="str">
        <f>IF(VLOOKUP($B345,Q,14,FALSE)=0,"",(VLOOKUP($B345,Q,14,FALSE)))</f>
        <v/>
      </c>
      <c r="I345" s="2" t="str">
        <f>IF(VLOOKUP($B345,Q,14,FALSE)=0,"",(VLOOKUP($B345,Q,15,FALSE)))</f>
        <v/>
      </c>
      <c r="J345" s="2" t="str">
        <f>IF(VLOOKUP($B345,Q,14,FALSE)=0,"",(VLOOKUP($B345,Q,16,FALSE)))</f>
        <v/>
      </c>
      <c r="K345" s="2" t="str">
        <f>IF(VLOOKUP($B345,Q,14,FALSE)=0,"",(VLOOKUP($B345,Q,17,FALSE)))</f>
        <v/>
      </c>
    </row>
    <row r="346" spans="2:11" x14ac:dyDescent="0.6">
      <c r="B346" s="1">
        <v>349</v>
      </c>
      <c r="C346" s="2" t="str">
        <f>IF(VLOOKUP($B346,Q,2,FALSE)=0,"",(VLOOKUP($B346,Q,2,FALSE)))</f>
        <v/>
      </c>
      <c r="D346" s="2" t="str">
        <f>IF(VLOOKUP($B346,Q,3,FALSE)=0,"",(VLOOKUP($B346,Q,3,FALSE)))</f>
        <v/>
      </c>
      <c r="E346" s="2" t="str">
        <f>IF(VLOOKUP($B346,Q,8,FALSE)=0,"",(VLOOKUP($B346,Q,8,FALSE)))</f>
        <v/>
      </c>
      <c r="F346" s="19" t="str">
        <f>IF(VLOOKUP($B346,Q,9,FALSE)=0,"",(VLOOKUP($B346,Q,9,FALSE)))</f>
        <v/>
      </c>
      <c r="G346" s="2" t="str">
        <f>IF(VLOOKUP($B346,Q,10,FALSE)=0,"",(VLOOKUP($B346,Q,10,FALSE)))</f>
        <v/>
      </c>
      <c r="H346" s="2" t="str">
        <f>IF(VLOOKUP($B346,Q,14,FALSE)=0,"",(VLOOKUP($B346,Q,14,FALSE)))</f>
        <v/>
      </c>
      <c r="I346" s="2" t="str">
        <f>IF(VLOOKUP($B346,Q,14,FALSE)=0,"",(VLOOKUP($B346,Q,15,FALSE)))</f>
        <v/>
      </c>
      <c r="J346" s="2" t="str">
        <f>IF(VLOOKUP($B346,Q,14,FALSE)=0,"",(VLOOKUP($B346,Q,16,FALSE)))</f>
        <v/>
      </c>
      <c r="K346" s="2" t="str">
        <f>IF(VLOOKUP($B346,Q,14,FALSE)=0,"",(VLOOKUP($B346,Q,17,FALSE)))</f>
        <v/>
      </c>
    </row>
    <row r="347" spans="2:11" x14ac:dyDescent="0.6">
      <c r="B347" s="1">
        <v>350</v>
      </c>
      <c r="C347" s="2" t="str">
        <f>IF(VLOOKUP($B347,Q,2,FALSE)=0,"",(VLOOKUP($B347,Q,2,FALSE)))</f>
        <v/>
      </c>
      <c r="D347" s="2" t="str">
        <f>IF(VLOOKUP($B347,Q,3,FALSE)=0,"",(VLOOKUP($B347,Q,3,FALSE)))</f>
        <v/>
      </c>
      <c r="E347" s="2" t="str">
        <f>IF(VLOOKUP($B347,Q,8,FALSE)=0,"",(VLOOKUP($B347,Q,8,FALSE)))</f>
        <v/>
      </c>
      <c r="F347" s="19" t="str">
        <f>IF(VLOOKUP($B347,Q,9,FALSE)=0,"",(VLOOKUP($B347,Q,9,FALSE)))</f>
        <v/>
      </c>
      <c r="G347" s="2" t="str">
        <f>IF(VLOOKUP($B347,Q,10,FALSE)=0,"",(VLOOKUP($B347,Q,10,FALSE)))</f>
        <v/>
      </c>
      <c r="H347" s="2" t="str">
        <f>IF(VLOOKUP($B347,Q,14,FALSE)=0,"",(VLOOKUP($B347,Q,14,FALSE)))</f>
        <v/>
      </c>
      <c r="I347" s="2" t="str">
        <f>IF(VLOOKUP($B347,Q,14,FALSE)=0,"",(VLOOKUP($B347,Q,15,FALSE)))</f>
        <v/>
      </c>
      <c r="J347" s="2" t="str">
        <f>IF(VLOOKUP($B347,Q,14,FALSE)=0,"",(VLOOKUP($B347,Q,16,FALSE)))</f>
        <v/>
      </c>
      <c r="K347" s="2" t="str">
        <f>IF(VLOOKUP($B347,Q,14,FALSE)=0,"",(VLOOKUP($B347,Q,17,FALSE)))</f>
        <v/>
      </c>
    </row>
    <row r="348" spans="2:11" x14ac:dyDescent="0.6">
      <c r="B348" s="1">
        <v>351</v>
      </c>
      <c r="C348" s="2" t="str">
        <f>IF(VLOOKUP($B348,Q,2,FALSE)=0,"",(VLOOKUP($B348,Q,2,FALSE)))</f>
        <v/>
      </c>
      <c r="D348" s="2" t="str">
        <f>IF(VLOOKUP($B348,Q,3,FALSE)=0,"",(VLOOKUP($B348,Q,3,FALSE)))</f>
        <v/>
      </c>
      <c r="E348" s="2" t="str">
        <f>IF(VLOOKUP($B348,Q,8,FALSE)=0,"",(VLOOKUP($B348,Q,8,FALSE)))</f>
        <v/>
      </c>
      <c r="F348" s="19" t="str">
        <f>IF(VLOOKUP($B348,Q,9,FALSE)=0,"",(VLOOKUP($B348,Q,9,FALSE)))</f>
        <v/>
      </c>
      <c r="G348" s="2" t="str">
        <f>IF(VLOOKUP($B348,Q,10,FALSE)=0,"",(VLOOKUP($B348,Q,10,FALSE)))</f>
        <v/>
      </c>
      <c r="H348" s="2" t="str">
        <f>IF(VLOOKUP($B348,Q,14,FALSE)=0,"",(VLOOKUP($B348,Q,14,FALSE)))</f>
        <v/>
      </c>
      <c r="I348" s="2" t="str">
        <f>IF(VLOOKUP($B348,Q,14,FALSE)=0,"",(VLOOKUP($B348,Q,15,FALSE)))</f>
        <v/>
      </c>
      <c r="J348" s="2" t="str">
        <f>IF(VLOOKUP($B348,Q,14,FALSE)=0,"",(VLOOKUP($B348,Q,16,FALSE)))</f>
        <v/>
      </c>
      <c r="K348" s="2" t="str">
        <f>IF(VLOOKUP($B348,Q,14,FALSE)=0,"",(VLOOKUP($B348,Q,17,FALSE)))</f>
        <v/>
      </c>
    </row>
    <row r="349" spans="2:11" x14ac:dyDescent="0.6">
      <c r="B349" s="1">
        <v>352</v>
      </c>
      <c r="C349" s="2" t="str">
        <f>IF(VLOOKUP($B349,Q,2,FALSE)=0,"",(VLOOKUP($B349,Q,2,FALSE)))</f>
        <v/>
      </c>
      <c r="D349" s="2" t="str">
        <f>IF(VLOOKUP($B349,Q,3,FALSE)=0,"",(VLOOKUP($B349,Q,3,FALSE)))</f>
        <v/>
      </c>
      <c r="E349" s="2" t="str">
        <f>IF(VLOOKUP($B349,Q,8,FALSE)=0,"",(VLOOKUP($B349,Q,8,FALSE)))</f>
        <v/>
      </c>
      <c r="F349" s="19" t="str">
        <f>IF(VLOOKUP($B349,Q,9,FALSE)=0,"",(VLOOKUP($B349,Q,9,FALSE)))</f>
        <v/>
      </c>
      <c r="G349" s="2" t="str">
        <f>IF(VLOOKUP($B349,Q,10,FALSE)=0,"",(VLOOKUP($B349,Q,10,FALSE)))</f>
        <v/>
      </c>
      <c r="H349" s="2" t="str">
        <f>IF(VLOOKUP($B349,Q,14,FALSE)=0,"",(VLOOKUP($B349,Q,14,FALSE)))</f>
        <v/>
      </c>
      <c r="I349" s="2" t="str">
        <f>IF(VLOOKUP($B349,Q,14,FALSE)=0,"",(VLOOKUP($B349,Q,15,FALSE)))</f>
        <v/>
      </c>
      <c r="J349" s="2" t="str">
        <f>IF(VLOOKUP($B349,Q,14,FALSE)=0,"",(VLOOKUP($B349,Q,16,FALSE)))</f>
        <v/>
      </c>
      <c r="K349" s="2" t="str">
        <f>IF(VLOOKUP($B349,Q,14,FALSE)=0,"",(VLOOKUP($B349,Q,17,FALSE)))</f>
        <v/>
      </c>
    </row>
    <row r="350" spans="2:11" x14ac:dyDescent="0.6">
      <c r="B350" s="1">
        <v>353</v>
      </c>
      <c r="C350" s="2" t="str">
        <f>IF(VLOOKUP($B350,Q,2,FALSE)=0,"",(VLOOKUP($B350,Q,2,FALSE)))</f>
        <v/>
      </c>
      <c r="D350" s="2" t="str">
        <f>IF(VLOOKUP($B350,Q,3,FALSE)=0,"",(VLOOKUP($B350,Q,3,FALSE)))</f>
        <v/>
      </c>
      <c r="E350" s="2" t="str">
        <f>IF(VLOOKUP($B350,Q,8,FALSE)=0,"",(VLOOKUP($B350,Q,8,FALSE)))</f>
        <v/>
      </c>
      <c r="F350" s="19" t="str">
        <f>IF(VLOOKUP($B350,Q,9,FALSE)=0,"",(VLOOKUP($B350,Q,9,FALSE)))</f>
        <v/>
      </c>
      <c r="G350" s="2" t="str">
        <f>IF(VLOOKUP($B350,Q,10,FALSE)=0,"",(VLOOKUP($B350,Q,10,FALSE)))</f>
        <v/>
      </c>
      <c r="H350" s="2" t="str">
        <f>IF(VLOOKUP($B350,Q,14,FALSE)=0,"",(VLOOKUP($B350,Q,14,FALSE)))</f>
        <v/>
      </c>
      <c r="I350" s="2" t="str">
        <f>IF(VLOOKUP($B350,Q,14,FALSE)=0,"",(VLOOKUP($B350,Q,15,FALSE)))</f>
        <v/>
      </c>
      <c r="J350" s="2" t="str">
        <f>IF(VLOOKUP($B350,Q,14,FALSE)=0,"",(VLOOKUP($B350,Q,16,FALSE)))</f>
        <v/>
      </c>
      <c r="K350" s="2" t="str">
        <f>IF(VLOOKUP($B350,Q,14,FALSE)=0,"",(VLOOKUP($B350,Q,17,FALSE)))</f>
        <v/>
      </c>
    </row>
    <row r="351" spans="2:11" x14ac:dyDescent="0.6">
      <c r="B351" s="1">
        <v>354</v>
      </c>
      <c r="C351" s="2" t="str">
        <f>IF(VLOOKUP($B351,Q,2,FALSE)=0,"",(VLOOKUP($B351,Q,2,FALSE)))</f>
        <v/>
      </c>
      <c r="D351" s="2" t="str">
        <f>IF(VLOOKUP($B351,Q,3,FALSE)=0,"",(VLOOKUP($B351,Q,3,FALSE)))</f>
        <v/>
      </c>
      <c r="E351" s="2" t="str">
        <f>IF(VLOOKUP($B351,Q,8,FALSE)=0,"",(VLOOKUP($B351,Q,8,FALSE)))</f>
        <v/>
      </c>
      <c r="F351" s="19" t="str">
        <f>IF(VLOOKUP($B351,Q,9,FALSE)=0,"",(VLOOKUP($B351,Q,9,FALSE)))</f>
        <v/>
      </c>
      <c r="G351" s="2" t="str">
        <f>IF(VLOOKUP($B351,Q,10,FALSE)=0,"",(VLOOKUP($B351,Q,10,FALSE)))</f>
        <v/>
      </c>
      <c r="H351" s="2" t="str">
        <f>IF(VLOOKUP($B351,Q,14,FALSE)=0,"",(VLOOKUP($B351,Q,14,FALSE)))</f>
        <v/>
      </c>
      <c r="I351" s="2" t="str">
        <f>IF(VLOOKUP($B351,Q,14,FALSE)=0,"",(VLOOKUP($B351,Q,15,FALSE)))</f>
        <v/>
      </c>
      <c r="J351" s="2" t="str">
        <f>IF(VLOOKUP($B351,Q,14,FALSE)=0,"",(VLOOKUP($B351,Q,16,FALSE)))</f>
        <v/>
      </c>
      <c r="K351" s="2" t="str">
        <f>IF(VLOOKUP($B351,Q,14,FALSE)=0,"",(VLOOKUP($B351,Q,17,FALSE)))</f>
        <v/>
      </c>
    </row>
    <row r="352" spans="2:11" x14ac:dyDescent="0.6">
      <c r="B352" s="1">
        <v>355</v>
      </c>
      <c r="C352" s="2" t="str">
        <f>IF(VLOOKUP($B352,Q,2,FALSE)=0,"",(VLOOKUP($B352,Q,2,FALSE)))</f>
        <v/>
      </c>
      <c r="D352" s="2" t="str">
        <f>IF(VLOOKUP($B352,Q,3,FALSE)=0,"",(VLOOKUP($B352,Q,3,FALSE)))</f>
        <v/>
      </c>
      <c r="E352" s="2" t="str">
        <f>IF(VLOOKUP($B352,Q,8,FALSE)=0,"",(VLOOKUP($B352,Q,8,FALSE)))</f>
        <v/>
      </c>
      <c r="F352" s="19" t="str">
        <f>IF(VLOOKUP($B352,Q,9,FALSE)=0,"",(VLOOKUP($B352,Q,9,FALSE)))</f>
        <v/>
      </c>
      <c r="G352" s="2" t="str">
        <f>IF(VLOOKUP($B352,Q,10,FALSE)=0,"",(VLOOKUP($B352,Q,10,FALSE)))</f>
        <v/>
      </c>
      <c r="H352" s="2" t="str">
        <f>IF(VLOOKUP($B352,Q,14,FALSE)=0,"",(VLOOKUP($B352,Q,14,FALSE)))</f>
        <v/>
      </c>
      <c r="I352" s="2" t="str">
        <f>IF(VLOOKUP($B352,Q,14,FALSE)=0,"",(VLOOKUP($B352,Q,15,FALSE)))</f>
        <v/>
      </c>
      <c r="J352" s="2" t="str">
        <f>IF(VLOOKUP($B352,Q,14,FALSE)=0,"",(VLOOKUP($B352,Q,16,FALSE)))</f>
        <v/>
      </c>
      <c r="K352" s="2" t="str">
        <f>IF(VLOOKUP($B352,Q,14,FALSE)=0,"",(VLOOKUP($B352,Q,17,FALSE)))</f>
        <v/>
      </c>
    </row>
    <row r="353" spans="2:11" x14ac:dyDescent="0.6">
      <c r="B353" s="1">
        <v>356</v>
      </c>
      <c r="C353" s="2" t="str">
        <f>IF(VLOOKUP($B353,Q,2,FALSE)=0,"",(VLOOKUP($B353,Q,2,FALSE)))</f>
        <v/>
      </c>
      <c r="D353" s="2" t="str">
        <f>IF(VLOOKUP($B353,Q,3,FALSE)=0,"",(VLOOKUP($B353,Q,3,FALSE)))</f>
        <v/>
      </c>
      <c r="E353" s="2" t="str">
        <f>IF(VLOOKUP($B353,Q,8,FALSE)=0,"",(VLOOKUP($B353,Q,8,FALSE)))</f>
        <v/>
      </c>
      <c r="F353" s="19" t="str">
        <f>IF(VLOOKUP($B353,Q,9,FALSE)=0,"",(VLOOKUP($B353,Q,9,FALSE)))</f>
        <v/>
      </c>
      <c r="G353" s="2" t="str">
        <f>IF(VLOOKUP($B353,Q,10,FALSE)=0,"",(VLOOKUP($B353,Q,10,FALSE)))</f>
        <v/>
      </c>
      <c r="H353" s="2" t="str">
        <f>IF(VLOOKUP($B353,Q,14,FALSE)=0,"",(VLOOKUP($B353,Q,14,FALSE)))</f>
        <v/>
      </c>
      <c r="I353" s="2" t="str">
        <f>IF(VLOOKUP($B353,Q,14,FALSE)=0,"",(VLOOKUP($B353,Q,15,FALSE)))</f>
        <v/>
      </c>
      <c r="J353" s="2" t="str">
        <f>IF(VLOOKUP($B353,Q,14,FALSE)=0,"",(VLOOKUP($B353,Q,16,FALSE)))</f>
        <v/>
      </c>
      <c r="K353" s="2" t="str">
        <f>IF(VLOOKUP($B353,Q,14,FALSE)=0,"",(VLOOKUP($B353,Q,17,FALSE)))</f>
        <v/>
      </c>
    </row>
    <row r="354" spans="2:11" x14ac:dyDescent="0.6">
      <c r="B354" s="1">
        <v>357</v>
      </c>
      <c r="C354" s="2" t="str">
        <f>IF(VLOOKUP($B354,Q,2,FALSE)=0,"",(VLOOKUP($B354,Q,2,FALSE)))</f>
        <v/>
      </c>
      <c r="D354" s="2" t="str">
        <f>IF(VLOOKUP($B354,Q,3,FALSE)=0,"",(VLOOKUP($B354,Q,3,FALSE)))</f>
        <v/>
      </c>
      <c r="E354" s="2" t="str">
        <f>IF(VLOOKUP($B354,Q,8,FALSE)=0,"",(VLOOKUP($B354,Q,8,FALSE)))</f>
        <v/>
      </c>
      <c r="F354" s="19" t="str">
        <f>IF(VLOOKUP($B354,Q,9,FALSE)=0,"",(VLOOKUP($B354,Q,9,FALSE)))</f>
        <v/>
      </c>
      <c r="G354" s="2" t="str">
        <f>IF(VLOOKUP($B354,Q,10,FALSE)=0,"",(VLOOKUP($B354,Q,10,FALSE)))</f>
        <v/>
      </c>
      <c r="H354" s="2" t="str">
        <f>IF(VLOOKUP($B354,Q,14,FALSE)=0,"",(VLOOKUP($B354,Q,14,FALSE)))</f>
        <v/>
      </c>
      <c r="I354" s="2" t="str">
        <f>IF(VLOOKUP($B354,Q,14,FALSE)=0,"",(VLOOKUP($B354,Q,15,FALSE)))</f>
        <v/>
      </c>
      <c r="J354" s="2" t="str">
        <f>IF(VLOOKUP($B354,Q,14,FALSE)=0,"",(VLOOKUP($B354,Q,16,FALSE)))</f>
        <v/>
      </c>
      <c r="K354" s="2" t="str">
        <f>IF(VLOOKUP($B354,Q,14,FALSE)=0,"",(VLOOKUP($B354,Q,17,FALSE)))</f>
        <v/>
      </c>
    </row>
    <row r="355" spans="2:11" x14ac:dyDescent="0.6">
      <c r="B355" s="1">
        <v>358</v>
      </c>
      <c r="C355" s="2" t="str">
        <f>IF(VLOOKUP($B355,Q,2,FALSE)=0,"",(VLOOKUP($B355,Q,2,FALSE)))</f>
        <v/>
      </c>
      <c r="D355" s="2" t="str">
        <f>IF(VLOOKUP($B355,Q,3,FALSE)=0,"",(VLOOKUP($B355,Q,3,FALSE)))</f>
        <v/>
      </c>
      <c r="E355" s="2" t="str">
        <f>IF(VLOOKUP($B355,Q,8,FALSE)=0,"",(VLOOKUP($B355,Q,8,FALSE)))</f>
        <v/>
      </c>
      <c r="F355" s="19" t="str">
        <f>IF(VLOOKUP($B355,Q,9,FALSE)=0,"",(VLOOKUP($B355,Q,9,FALSE)))</f>
        <v/>
      </c>
      <c r="G355" s="2" t="str">
        <f>IF(VLOOKUP($B355,Q,10,FALSE)=0,"",(VLOOKUP($B355,Q,10,FALSE)))</f>
        <v/>
      </c>
      <c r="H355" s="2" t="str">
        <f>IF(VLOOKUP($B355,Q,14,FALSE)=0,"",(VLOOKUP($B355,Q,14,FALSE)))</f>
        <v/>
      </c>
      <c r="I355" s="2" t="str">
        <f>IF(VLOOKUP($B355,Q,14,FALSE)=0,"",(VLOOKUP($B355,Q,15,FALSE)))</f>
        <v/>
      </c>
      <c r="J355" s="2" t="str">
        <f>IF(VLOOKUP($B355,Q,14,FALSE)=0,"",(VLOOKUP($B355,Q,16,FALSE)))</f>
        <v/>
      </c>
      <c r="K355" s="2" t="str">
        <f>IF(VLOOKUP($B355,Q,14,FALSE)=0,"",(VLOOKUP($B355,Q,17,FALSE)))</f>
        <v/>
      </c>
    </row>
    <row r="356" spans="2:11" x14ac:dyDescent="0.6">
      <c r="B356" s="1">
        <v>359</v>
      </c>
      <c r="C356" s="2" t="str">
        <f>IF(VLOOKUP($B356,Q,2,FALSE)=0,"",(VLOOKUP($B356,Q,2,FALSE)))</f>
        <v/>
      </c>
      <c r="D356" s="2" t="str">
        <f>IF(VLOOKUP($B356,Q,3,FALSE)=0,"",(VLOOKUP($B356,Q,3,FALSE)))</f>
        <v/>
      </c>
      <c r="E356" s="2" t="str">
        <f>IF(VLOOKUP($B356,Q,8,FALSE)=0,"",(VLOOKUP($B356,Q,8,FALSE)))</f>
        <v/>
      </c>
      <c r="F356" s="19" t="str">
        <f>IF(VLOOKUP($B356,Q,9,FALSE)=0,"",(VLOOKUP($B356,Q,9,FALSE)))</f>
        <v/>
      </c>
      <c r="G356" s="2" t="str">
        <f>IF(VLOOKUP($B356,Q,10,FALSE)=0,"",(VLOOKUP($B356,Q,10,FALSE)))</f>
        <v/>
      </c>
      <c r="H356" s="2" t="str">
        <f>IF(VLOOKUP($B356,Q,14,FALSE)=0,"",(VLOOKUP($B356,Q,14,FALSE)))</f>
        <v/>
      </c>
      <c r="I356" s="2" t="str">
        <f>IF(VLOOKUP($B356,Q,14,FALSE)=0,"",(VLOOKUP($B356,Q,15,FALSE)))</f>
        <v/>
      </c>
      <c r="J356" s="2" t="str">
        <f>IF(VLOOKUP($B356,Q,14,FALSE)=0,"",(VLOOKUP($B356,Q,16,FALSE)))</f>
        <v/>
      </c>
      <c r="K356" s="2" t="str">
        <f>IF(VLOOKUP($B356,Q,14,FALSE)=0,"",(VLOOKUP($B356,Q,17,FALSE)))</f>
        <v/>
      </c>
    </row>
    <row r="357" spans="2:11" x14ac:dyDescent="0.6">
      <c r="B357" s="1">
        <v>360</v>
      </c>
      <c r="C357" s="2" t="str">
        <f>IF(VLOOKUP($B357,Q,2,FALSE)=0,"",(VLOOKUP($B357,Q,2,FALSE)))</f>
        <v/>
      </c>
      <c r="D357" s="2" t="str">
        <f>IF(VLOOKUP($B357,Q,3,FALSE)=0,"",(VLOOKUP($B357,Q,3,FALSE)))</f>
        <v/>
      </c>
      <c r="E357" s="2" t="str">
        <f>IF(VLOOKUP($B357,Q,8,FALSE)=0,"",(VLOOKUP($B357,Q,8,FALSE)))</f>
        <v/>
      </c>
      <c r="F357" s="19" t="str">
        <f>IF(VLOOKUP($B357,Q,9,FALSE)=0,"",(VLOOKUP($B357,Q,9,FALSE)))</f>
        <v/>
      </c>
      <c r="G357" s="2" t="str">
        <f>IF(VLOOKUP($B357,Q,10,FALSE)=0,"",(VLOOKUP($B357,Q,10,FALSE)))</f>
        <v/>
      </c>
      <c r="H357" s="2" t="str">
        <f>IF(VLOOKUP($B357,Q,14,FALSE)=0,"",(VLOOKUP($B357,Q,14,FALSE)))</f>
        <v/>
      </c>
      <c r="I357" s="2" t="str">
        <f>IF(VLOOKUP($B357,Q,14,FALSE)=0,"",(VLOOKUP($B357,Q,15,FALSE)))</f>
        <v/>
      </c>
      <c r="J357" s="2" t="str">
        <f>IF(VLOOKUP($B357,Q,14,FALSE)=0,"",(VLOOKUP($B357,Q,16,FALSE)))</f>
        <v/>
      </c>
      <c r="K357" s="2" t="str">
        <f>IF(VLOOKUP($B357,Q,14,FALSE)=0,"",(VLOOKUP($B357,Q,17,FALSE)))</f>
        <v/>
      </c>
    </row>
    <row r="358" spans="2:11" x14ac:dyDescent="0.6">
      <c r="B358" s="1">
        <v>361</v>
      </c>
      <c r="C358" s="2" t="str">
        <f>IF(VLOOKUP($B358,Q,2,FALSE)=0,"",(VLOOKUP($B358,Q,2,FALSE)))</f>
        <v/>
      </c>
      <c r="D358" s="2" t="str">
        <f>IF(VLOOKUP($B358,Q,3,FALSE)=0,"",(VLOOKUP($B358,Q,3,FALSE)))</f>
        <v/>
      </c>
      <c r="E358" s="2" t="str">
        <f>IF(VLOOKUP($B358,Q,8,FALSE)=0,"",(VLOOKUP($B358,Q,8,FALSE)))</f>
        <v/>
      </c>
      <c r="F358" s="19" t="str">
        <f>IF(VLOOKUP($B358,Q,9,FALSE)=0,"",(VLOOKUP($B358,Q,9,FALSE)))</f>
        <v/>
      </c>
      <c r="G358" s="2" t="str">
        <f>IF(VLOOKUP($B358,Q,10,FALSE)=0,"",(VLOOKUP($B358,Q,10,FALSE)))</f>
        <v/>
      </c>
      <c r="H358" s="2" t="str">
        <f>IF(VLOOKUP($B358,Q,14,FALSE)=0,"",(VLOOKUP($B358,Q,14,FALSE)))</f>
        <v/>
      </c>
      <c r="I358" s="2" t="str">
        <f>IF(VLOOKUP($B358,Q,14,FALSE)=0,"",(VLOOKUP($B358,Q,15,FALSE)))</f>
        <v/>
      </c>
      <c r="J358" s="2" t="str">
        <f>IF(VLOOKUP($B358,Q,14,FALSE)=0,"",(VLOOKUP($B358,Q,16,FALSE)))</f>
        <v/>
      </c>
      <c r="K358" s="2" t="str">
        <f>IF(VLOOKUP($B358,Q,14,FALSE)=0,"",(VLOOKUP($B358,Q,17,FALSE)))</f>
        <v/>
      </c>
    </row>
    <row r="359" spans="2:11" x14ac:dyDescent="0.6">
      <c r="B359" s="1">
        <v>362</v>
      </c>
      <c r="C359" s="2" t="str">
        <f>IF(VLOOKUP($B359,Q,2,FALSE)=0,"",(VLOOKUP($B359,Q,2,FALSE)))</f>
        <v/>
      </c>
      <c r="D359" s="2" t="str">
        <f>IF(VLOOKUP($B359,Q,3,FALSE)=0,"",(VLOOKUP($B359,Q,3,FALSE)))</f>
        <v/>
      </c>
      <c r="E359" s="2" t="str">
        <f>IF(VLOOKUP($B359,Q,8,FALSE)=0,"",(VLOOKUP($B359,Q,8,FALSE)))</f>
        <v/>
      </c>
      <c r="F359" s="19" t="str">
        <f>IF(VLOOKUP($B359,Q,9,FALSE)=0,"",(VLOOKUP($B359,Q,9,FALSE)))</f>
        <v/>
      </c>
      <c r="G359" s="2" t="str">
        <f>IF(VLOOKUP($B359,Q,10,FALSE)=0,"",(VLOOKUP($B359,Q,10,FALSE)))</f>
        <v/>
      </c>
      <c r="H359" s="2" t="str">
        <f>IF(VLOOKUP($B359,Q,14,FALSE)=0,"",(VLOOKUP($B359,Q,14,FALSE)))</f>
        <v/>
      </c>
      <c r="I359" s="2" t="str">
        <f>IF(VLOOKUP($B359,Q,14,FALSE)=0,"",(VLOOKUP($B359,Q,15,FALSE)))</f>
        <v/>
      </c>
      <c r="J359" s="2" t="str">
        <f>IF(VLOOKUP($B359,Q,14,FALSE)=0,"",(VLOOKUP($B359,Q,16,FALSE)))</f>
        <v/>
      </c>
      <c r="K359" s="2" t="str">
        <f>IF(VLOOKUP($B359,Q,14,FALSE)=0,"",(VLOOKUP($B359,Q,17,FALSE)))</f>
        <v/>
      </c>
    </row>
    <row r="360" spans="2:11" x14ac:dyDescent="0.6">
      <c r="B360" s="1">
        <v>363</v>
      </c>
      <c r="C360" s="2" t="str">
        <f>IF(VLOOKUP($B360,Q,2,FALSE)=0,"",(VLOOKUP($B360,Q,2,FALSE)))</f>
        <v/>
      </c>
      <c r="D360" s="2" t="str">
        <f>IF(VLOOKUP($B360,Q,3,FALSE)=0,"",(VLOOKUP($B360,Q,3,FALSE)))</f>
        <v/>
      </c>
      <c r="E360" s="2" t="str">
        <f>IF(VLOOKUP($B360,Q,8,FALSE)=0,"",(VLOOKUP($B360,Q,8,FALSE)))</f>
        <v/>
      </c>
      <c r="F360" s="19" t="str">
        <f>IF(VLOOKUP($B360,Q,9,FALSE)=0,"",(VLOOKUP($B360,Q,9,FALSE)))</f>
        <v/>
      </c>
      <c r="G360" s="2" t="str">
        <f>IF(VLOOKUP($B360,Q,10,FALSE)=0,"",(VLOOKUP($B360,Q,10,FALSE)))</f>
        <v/>
      </c>
      <c r="H360" s="2" t="str">
        <f>IF(VLOOKUP($B360,Q,14,FALSE)=0,"",(VLOOKUP($B360,Q,14,FALSE)))</f>
        <v/>
      </c>
      <c r="I360" s="2" t="str">
        <f>IF(VLOOKUP($B360,Q,14,FALSE)=0,"",(VLOOKUP($B360,Q,15,FALSE)))</f>
        <v/>
      </c>
      <c r="J360" s="2" t="str">
        <f>IF(VLOOKUP($B360,Q,14,FALSE)=0,"",(VLOOKUP($B360,Q,16,FALSE)))</f>
        <v/>
      </c>
      <c r="K360" s="2" t="str">
        <f>IF(VLOOKUP($B360,Q,14,FALSE)=0,"",(VLOOKUP($B360,Q,17,FALSE)))</f>
        <v/>
      </c>
    </row>
    <row r="361" spans="2:11" x14ac:dyDescent="0.6">
      <c r="B361" s="1">
        <v>364</v>
      </c>
      <c r="C361" s="2" t="str">
        <f>IF(VLOOKUP($B361,Q,2,FALSE)=0,"",(VLOOKUP($B361,Q,2,FALSE)))</f>
        <v/>
      </c>
      <c r="D361" s="2" t="str">
        <f>IF(VLOOKUP($B361,Q,3,FALSE)=0,"",(VLOOKUP($B361,Q,3,FALSE)))</f>
        <v/>
      </c>
      <c r="E361" s="2" t="str">
        <f>IF(VLOOKUP($B361,Q,8,FALSE)=0,"",(VLOOKUP($B361,Q,8,FALSE)))</f>
        <v/>
      </c>
      <c r="F361" s="19" t="str">
        <f>IF(VLOOKUP($B361,Q,9,FALSE)=0,"",(VLOOKUP($B361,Q,9,FALSE)))</f>
        <v/>
      </c>
      <c r="G361" s="2" t="str">
        <f>IF(VLOOKUP($B361,Q,10,FALSE)=0,"",(VLOOKUP($B361,Q,10,FALSE)))</f>
        <v/>
      </c>
      <c r="H361" s="2" t="str">
        <f>IF(VLOOKUP($B361,Q,14,FALSE)=0,"",(VLOOKUP($B361,Q,14,FALSE)))</f>
        <v/>
      </c>
      <c r="I361" s="2" t="str">
        <f>IF(VLOOKUP($B361,Q,14,FALSE)=0,"",(VLOOKUP($B361,Q,15,FALSE)))</f>
        <v/>
      </c>
      <c r="J361" s="2" t="str">
        <f>IF(VLOOKUP($B361,Q,14,FALSE)=0,"",(VLOOKUP($B361,Q,16,FALSE)))</f>
        <v/>
      </c>
      <c r="K361" s="2" t="str">
        <f>IF(VLOOKUP($B361,Q,14,FALSE)=0,"",(VLOOKUP($B361,Q,17,FALSE)))</f>
        <v/>
      </c>
    </row>
    <row r="362" spans="2:11" x14ac:dyDescent="0.6">
      <c r="B362" s="1">
        <v>365</v>
      </c>
      <c r="C362" s="2" t="str">
        <f>IF(VLOOKUP($B362,Q,2,FALSE)=0,"",(VLOOKUP($B362,Q,2,FALSE)))</f>
        <v/>
      </c>
      <c r="D362" s="2" t="str">
        <f>IF(VLOOKUP($B362,Q,3,FALSE)=0,"",(VLOOKUP($B362,Q,3,FALSE)))</f>
        <v/>
      </c>
      <c r="E362" s="2" t="str">
        <f>IF(VLOOKUP($B362,Q,8,FALSE)=0,"",(VLOOKUP($B362,Q,8,FALSE)))</f>
        <v/>
      </c>
      <c r="F362" s="19" t="str">
        <f>IF(VLOOKUP($B362,Q,9,FALSE)=0,"",(VLOOKUP($B362,Q,9,FALSE)))</f>
        <v/>
      </c>
      <c r="G362" s="2" t="str">
        <f>IF(VLOOKUP($B362,Q,10,FALSE)=0,"",(VLOOKUP($B362,Q,10,FALSE)))</f>
        <v/>
      </c>
      <c r="H362" s="2" t="str">
        <f>IF(VLOOKUP($B362,Q,14,FALSE)=0,"",(VLOOKUP($B362,Q,14,FALSE)))</f>
        <v/>
      </c>
      <c r="I362" s="2" t="str">
        <f>IF(VLOOKUP($B362,Q,14,FALSE)=0,"",(VLOOKUP($B362,Q,15,FALSE)))</f>
        <v/>
      </c>
      <c r="J362" s="2" t="str">
        <f>IF(VLOOKUP($B362,Q,14,FALSE)=0,"",(VLOOKUP($B362,Q,16,FALSE)))</f>
        <v/>
      </c>
      <c r="K362" s="2" t="str">
        <f>IF(VLOOKUP($B362,Q,14,FALSE)=0,"",(VLOOKUP($B362,Q,17,FALSE)))</f>
        <v/>
      </c>
    </row>
    <row r="363" spans="2:11" x14ac:dyDescent="0.6">
      <c r="B363" s="1">
        <v>366</v>
      </c>
      <c r="C363" s="2" t="str">
        <f>IF(VLOOKUP($B363,Q,2,FALSE)=0,"",(VLOOKUP($B363,Q,2,FALSE)))</f>
        <v/>
      </c>
      <c r="D363" s="2" t="str">
        <f>IF(VLOOKUP($B363,Q,3,FALSE)=0,"",(VLOOKUP($B363,Q,3,FALSE)))</f>
        <v/>
      </c>
      <c r="E363" s="2" t="str">
        <f>IF(VLOOKUP($B363,Q,8,FALSE)=0,"",(VLOOKUP($B363,Q,8,FALSE)))</f>
        <v/>
      </c>
      <c r="F363" s="19" t="str">
        <f>IF(VLOOKUP($B363,Q,9,FALSE)=0,"",(VLOOKUP($B363,Q,9,FALSE)))</f>
        <v/>
      </c>
      <c r="G363" s="2" t="str">
        <f>IF(VLOOKUP($B363,Q,10,FALSE)=0,"",(VLOOKUP($B363,Q,10,FALSE)))</f>
        <v/>
      </c>
      <c r="H363" s="2" t="str">
        <f>IF(VLOOKUP($B363,Q,14,FALSE)=0,"",(VLOOKUP($B363,Q,14,FALSE)))</f>
        <v/>
      </c>
      <c r="I363" s="2" t="str">
        <f>IF(VLOOKUP($B363,Q,14,FALSE)=0,"",(VLOOKUP($B363,Q,15,FALSE)))</f>
        <v/>
      </c>
      <c r="J363" s="2" t="str">
        <f>IF(VLOOKUP($B363,Q,14,FALSE)=0,"",(VLOOKUP($B363,Q,16,FALSE)))</f>
        <v/>
      </c>
      <c r="K363" s="2" t="str">
        <f>IF(VLOOKUP($B363,Q,14,FALSE)=0,"",(VLOOKUP($B363,Q,17,FALSE)))</f>
        <v/>
      </c>
    </row>
    <row r="364" spans="2:11" x14ac:dyDescent="0.6">
      <c r="B364" s="1">
        <v>367</v>
      </c>
      <c r="C364" s="2" t="str">
        <f>IF(VLOOKUP($B364,Q,2,FALSE)=0,"",(VLOOKUP($B364,Q,2,FALSE)))</f>
        <v/>
      </c>
      <c r="D364" s="2" t="str">
        <f>IF(VLOOKUP($B364,Q,3,FALSE)=0,"",(VLOOKUP($B364,Q,3,FALSE)))</f>
        <v/>
      </c>
      <c r="E364" s="2" t="str">
        <f>IF(VLOOKUP($B364,Q,8,FALSE)=0,"",(VLOOKUP($B364,Q,8,FALSE)))</f>
        <v/>
      </c>
      <c r="F364" s="19" t="str">
        <f>IF(VLOOKUP($B364,Q,9,FALSE)=0,"",(VLOOKUP($B364,Q,9,FALSE)))</f>
        <v/>
      </c>
      <c r="G364" s="2" t="str">
        <f>IF(VLOOKUP($B364,Q,10,FALSE)=0,"",(VLOOKUP($B364,Q,10,FALSE)))</f>
        <v/>
      </c>
      <c r="H364" s="2" t="str">
        <f>IF(VLOOKUP($B364,Q,14,FALSE)=0,"",(VLOOKUP($B364,Q,14,FALSE)))</f>
        <v/>
      </c>
      <c r="I364" s="2" t="str">
        <f>IF(VLOOKUP($B364,Q,14,FALSE)=0,"",(VLOOKUP($B364,Q,15,FALSE)))</f>
        <v/>
      </c>
      <c r="J364" s="2" t="str">
        <f>IF(VLOOKUP($B364,Q,14,FALSE)=0,"",(VLOOKUP($B364,Q,16,FALSE)))</f>
        <v/>
      </c>
      <c r="K364" s="2" t="str">
        <f>IF(VLOOKUP($B364,Q,14,FALSE)=0,"",(VLOOKUP($B364,Q,17,FALSE)))</f>
        <v/>
      </c>
    </row>
    <row r="365" spans="2:11" x14ac:dyDescent="0.6">
      <c r="B365" s="1">
        <v>368</v>
      </c>
      <c r="C365" s="2" t="str">
        <f>IF(VLOOKUP($B365,Q,2,FALSE)=0,"",(VLOOKUP($B365,Q,2,FALSE)))</f>
        <v/>
      </c>
      <c r="D365" s="2" t="str">
        <f>IF(VLOOKUP($B365,Q,3,FALSE)=0,"",(VLOOKUP($B365,Q,3,FALSE)))</f>
        <v/>
      </c>
      <c r="E365" s="2" t="str">
        <f>IF(VLOOKUP($B365,Q,8,FALSE)=0,"",(VLOOKUP($B365,Q,8,FALSE)))</f>
        <v/>
      </c>
      <c r="F365" s="19" t="str">
        <f>IF(VLOOKUP($B365,Q,9,FALSE)=0,"",(VLOOKUP($B365,Q,9,FALSE)))</f>
        <v/>
      </c>
      <c r="G365" s="2" t="str">
        <f>IF(VLOOKUP($B365,Q,10,FALSE)=0,"",(VLOOKUP($B365,Q,10,FALSE)))</f>
        <v/>
      </c>
      <c r="H365" s="2" t="str">
        <f>IF(VLOOKUP($B365,Q,14,FALSE)=0,"",(VLOOKUP($B365,Q,14,FALSE)))</f>
        <v/>
      </c>
      <c r="I365" s="2" t="str">
        <f>IF(VLOOKUP($B365,Q,14,FALSE)=0,"",(VLOOKUP($B365,Q,15,FALSE)))</f>
        <v/>
      </c>
      <c r="J365" s="2" t="str">
        <f>IF(VLOOKUP($B365,Q,14,FALSE)=0,"",(VLOOKUP($B365,Q,16,FALSE)))</f>
        <v/>
      </c>
      <c r="K365" s="2" t="str">
        <f>IF(VLOOKUP($B365,Q,14,FALSE)=0,"",(VLOOKUP($B365,Q,17,FALSE)))</f>
        <v/>
      </c>
    </row>
    <row r="366" spans="2:11" x14ac:dyDescent="0.6">
      <c r="B366" s="1">
        <v>369</v>
      </c>
      <c r="C366" s="2" t="str">
        <f>IF(VLOOKUP($B366,Q,2,FALSE)=0,"",(VLOOKUP($B366,Q,2,FALSE)))</f>
        <v/>
      </c>
      <c r="D366" s="2" t="str">
        <f>IF(VLOOKUP($B366,Q,3,FALSE)=0,"",(VLOOKUP($B366,Q,3,FALSE)))</f>
        <v/>
      </c>
      <c r="E366" s="2" t="str">
        <f>IF(VLOOKUP($B366,Q,8,FALSE)=0,"",(VLOOKUP($B366,Q,8,FALSE)))</f>
        <v/>
      </c>
      <c r="F366" s="19" t="str">
        <f>IF(VLOOKUP($B366,Q,9,FALSE)=0,"",(VLOOKUP($B366,Q,9,FALSE)))</f>
        <v/>
      </c>
      <c r="G366" s="2" t="str">
        <f>IF(VLOOKUP($B366,Q,10,FALSE)=0,"",(VLOOKUP($B366,Q,10,FALSE)))</f>
        <v/>
      </c>
      <c r="H366" s="2" t="str">
        <f>IF(VLOOKUP($B366,Q,14,FALSE)=0,"",(VLOOKUP($B366,Q,14,FALSE)))</f>
        <v/>
      </c>
      <c r="I366" s="2" t="str">
        <f>IF(VLOOKUP($B366,Q,14,FALSE)=0,"",(VLOOKUP($B366,Q,15,FALSE)))</f>
        <v/>
      </c>
      <c r="J366" s="2" t="str">
        <f>IF(VLOOKUP($B366,Q,14,FALSE)=0,"",(VLOOKUP($B366,Q,16,FALSE)))</f>
        <v/>
      </c>
      <c r="K366" s="2" t="str">
        <f>IF(VLOOKUP($B366,Q,14,FALSE)=0,"",(VLOOKUP($B366,Q,17,FALSE)))</f>
        <v/>
      </c>
    </row>
    <row r="367" spans="2:11" x14ac:dyDescent="0.6">
      <c r="B367" s="1">
        <v>370</v>
      </c>
      <c r="C367" s="2" t="str">
        <f>IF(VLOOKUP($B367,Q,2,FALSE)=0,"",(VLOOKUP($B367,Q,2,FALSE)))</f>
        <v/>
      </c>
      <c r="D367" s="2" t="str">
        <f>IF(VLOOKUP($B367,Q,3,FALSE)=0,"",(VLOOKUP($B367,Q,3,FALSE)))</f>
        <v/>
      </c>
      <c r="E367" s="2" t="str">
        <f>IF(VLOOKUP($B367,Q,8,FALSE)=0,"",(VLOOKUP($B367,Q,8,FALSE)))</f>
        <v/>
      </c>
      <c r="F367" s="19" t="str">
        <f>IF(VLOOKUP($B367,Q,9,FALSE)=0,"",(VLOOKUP($B367,Q,9,FALSE)))</f>
        <v/>
      </c>
      <c r="G367" s="2" t="str">
        <f>IF(VLOOKUP($B367,Q,10,FALSE)=0,"",(VLOOKUP($B367,Q,10,FALSE)))</f>
        <v/>
      </c>
      <c r="H367" s="2" t="str">
        <f>IF(VLOOKUP($B367,Q,14,FALSE)=0,"",(VLOOKUP($B367,Q,14,FALSE)))</f>
        <v/>
      </c>
      <c r="I367" s="2" t="str">
        <f>IF(VLOOKUP($B367,Q,14,FALSE)=0,"",(VLOOKUP($B367,Q,15,FALSE)))</f>
        <v/>
      </c>
      <c r="J367" s="2" t="str">
        <f>IF(VLOOKUP($B367,Q,14,FALSE)=0,"",(VLOOKUP($B367,Q,16,FALSE)))</f>
        <v/>
      </c>
      <c r="K367" s="2" t="str">
        <f>IF(VLOOKUP($B367,Q,14,FALSE)=0,"",(VLOOKUP($B367,Q,17,FALSE)))</f>
        <v/>
      </c>
    </row>
    <row r="368" spans="2:11" x14ac:dyDescent="0.6">
      <c r="B368" s="1">
        <v>371</v>
      </c>
      <c r="C368" s="2" t="str">
        <f>IF(VLOOKUP($B368,Q,2,FALSE)=0,"",(VLOOKUP($B368,Q,2,FALSE)))</f>
        <v/>
      </c>
      <c r="D368" s="2" t="str">
        <f>IF(VLOOKUP($B368,Q,3,FALSE)=0,"",(VLOOKUP($B368,Q,3,FALSE)))</f>
        <v/>
      </c>
      <c r="E368" s="2" t="str">
        <f>IF(VLOOKUP($B368,Q,8,FALSE)=0,"",(VLOOKUP($B368,Q,8,FALSE)))</f>
        <v/>
      </c>
      <c r="F368" s="19" t="str">
        <f>IF(VLOOKUP($B368,Q,9,FALSE)=0,"",(VLOOKUP($B368,Q,9,FALSE)))</f>
        <v/>
      </c>
      <c r="G368" s="2" t="str">
        <f>IF(VLOOKUP($B368,Q,10,FALSE)=0,"",(VLOOKUP($B368,Q,10,FALSE)))</f>
        <v/>
      </c>
      <c r="H368" s="2" t="str">
        <f>IF(VLOOKUP($B368,Q,14,FALSE)=0,"",(VLOOKUP($B368,Q,14,FALSE)))</f>
        <v/>
      </c>
      <c r="I368" s="2" t="str">
        <f>IF(VLOOKUP($B368,Q,14,FALSE)=0,"",(VLOOKUP($B368,Q,15,FALSE)))</f>
        <v/>
      </c>
      <c r="J368" s="2" t="str">
        <f>IF(VLOOKUP($B368,Q,14,FALSE)=0,"",(VLOOKUP($B368,Q,16,FALSE)))</f>
        <v/>
      </c>
      <c r="K368" s="2" t="str">
        <f>IF(VLOOKUP($B368,Q,14,FALSE)=0,"",(VLOOKUP($B368,Q,17,FALSE)))</f>
        <v/>
      </c>
    </row>
    <row r="369" spans="2:11" x14ac:dyDescent="0.6">
      <c r="B369" s="1">
        <v>372</v>
      </c>
      <c r="C369" s="2" t="str">
        <f>IF(VLOOKUP($B369,Q,2,FALSE)=0,"",(VLOOKUP($B369,Q,2,FALSE)))</f>
        <v/>
      </c>
      <c r="D369" s="2" t="str">
        <f>IF(VLOOKUP($B369,Q,3,FALSE)=0,"",(VLOOKUP($B369,Q,3,FALSE)))</f>
        <v/>
      </c>
      <c r="E369" s="2" t="str">
        <f>IF(VLOOKUP($B369,Q,8,FALSE)=0,"",(VLOOKUP($B369,Q,8,FALSE)))</f>
        <v/>
      </c>
      <c r="F369" s="19" t="str">
        <f>IF(VLOOKUP($B369,Q,9,FALSE)=0,"",(VLOOKUP($B369,Q,9,FALSE)))</f>
        <v/>
      </c>
      <c r="G369" s="2" t="str">
        <f>IF(VLOOKUP($B369,Q,10,FALSE)=0,"",(VLOOKUP($B369,Q,10,FALSE)))</f>
        <v/>
      </c>
      <c r="H369" s="2" t="str">
        <f>IF(VLOOKUP($B369,Q,14,FALSE)=0,"",(VLOOKUP($B369,Q,14,FALSE)))</f>
        <v/>
      </c>
      <c r="I369" s="2" t="str">
        <f>IF(VLOOKUP($B369,Q,14,FALSE)=0,"",(VLOOKUP($B369,Q,15,FALSE)))</f>
        <v/>
      </c>
      <c r="J369" s="2" t="str">
        <f>IF(VLOOKUP($B369,Q,14,FALSE)=0,"",(VLOOKUP($B369,Q,16,FALSE)))</f>
        <v/>
      </c>
      <c r="K369" s="2" t="str">
        <f>IF(VLOOKUP($B369,Q,14,FALSE)=0,"",(VLOOKUP($B369,Q,17,FALSE)))</f>
        <v/>
      </c>
    </row>
    <row r="370" spans="2:11" x14ac:dyDescent="0.6">
      <c r="B370" s="1">
        <v>373</v>
      </c>
      <c r="C370" s="2" t="str">
        <f>IF(VLOOKUP($B370,Q,2,FALSE)=0,"",(VLOOKUP($B370,Q,2,FALSE)))</f>
        <v/>
      </c>
      <c r="D370" s="2" t="str">
        <f>IF(VLOOKUP($B370,Q,3,FALSE)=0,"",(VLOOKUP($B370,Q,3,FALSE)))</f>
        <v/>
      </c>
      <c r="E370" s="2" t="str">
        <f>IF(VLOOKUP($B370,Q,8,FALSE)=0,"",(VLOOKUP($B370,Q,8,FALSE)))</f>
        <v/>
      </c>
      <c r="F370" s="19" t="str">
        <f>IF(VLOOKUP($B370,Q,9,FALSE)=0,"",(VLOOKUP($B370,Q,9,FALSE)))</f>
        <v/>
      </c>
      <c r="G370" s="2" t="str">
        <f>IF(VLOOKUP($B370,Q,10,FALSE)=0,"",(VLOOKUP($B370,Q,10,FALSE)))</f>
        <v/>
      </c>
      <c r="H370" s="2" t="str">
        <f>IF(VLOOKUP($B370,Q,14,FALSE)=0,"",(VLOOKUP($B370,Q,14,FALSE)))</f>
        <v/>
      </c>
      <c r="I370" s="2" t="str">
        <f>IF(VLOOKUP($B370,Q,14,FALSE)=0,"",(VLOOKUP($B370,Q,15,FALSE)))</f>
        <v/>
      </c>
      <c r="J370" s="2" t="str">
        <f>IF(VLOOKUP($B370,Q,14,FALSE)=0,"",(VLOOKUP($B370,Q,16,FALSE)))</f>
        <v/>
      </c>
      <c r="K370" s="2" t="str">
        <f>IF(VLOOKUP($B370,Q,14,FALSE)=0,"",(VLOOKUP($B370,Q,17,FALSE)))</f>
        <v/>
      </c>
    </row>
    <row r="371" spans="2:11" x14ac:dyDescent="0.6">
      <c r="B371" s="1">
        <v>374</v>
      </c>
      <c r="C371" s="2" t="str">
        <f>IF(VLOOKUP($B371,Q,2,FALSE)=0,"",(VLOOKUP($B371,Q,2,FALSE)))</f>
        <v/>
      </c>
      <c r="D371" s="2" t="str">
        <f>IF(VLOOKUP($B371,Q,3,FALSE)=0,"",(VLOOKUP($B371,Q,3,FALSE)))</f>
        <v/>
      </c>
      <c r="E371" s="2" t="str">
        <f>IF(VLOOKUP($B371,Q,8,FALSE)=0,"",(VLOOKUP($B371,Q,8,FALSE)))</f>
        <v/>
      </c>
      <c r="F371" s="19" t="str">
        <f>IF(VLOOKUP($B371,Q,9,FALSE)=0,"",(VLOOKUP($B371,Q,9,FALSE)))</f>
        <v/>
      </c>
      <c r="G371" s="2" t="str">
        <f>IF(VLOOKUP($B371,Q,10,FALSE)=0,"",(VLOOKUP($B371,Q,10,FALSE)))</f>
        <v/>
      </c>
      <c r="H371" s="2" t="str">
        <f>IF(VLOOKUP($B371,Q,14,FALSE)=0,"",(VLOOKUP($B371,Q,14,FALSE)))</f>
        <v/>
      </c>
      <c r="I371" s="2" t="str">
        <f>IF(VLOOKUP($B371,Q,14,FALSE)=0,"",(VLOOKUP($B371,Q,15,FALSE)))</f>
        <v/>
      </c>
      <c r="J371" s="2" t="str">
        <f>IF(VLOOKUP($B371,Q,14,FALSE)=0,"",(VLOOKUP($B371,Q,16,FALSE)))</f>
        <v/>
      </c>
      <c r="K371" s="2" t="str">
        <f>IF(VLOOKUP($B371,Q,14,FALSE)=0,"",(VLOOKUP($B371,Q,17,FALSE)))</f>
        <v/>
      </c>
    </row>
    <row r="372" spans="2:11" x14ac:dyDescent="0.6">
      <c r="B372" s="1">
        <v>375</v>
      </c>
      <c r="C372" s="2" t="str">
        <f>IF(VLOOKUP($B372,Q,2,FALSE)=0,"",(VLOOKUP($B372,Q,2,FALSE)))</f>
        <v/>
      </c>
      <c r="D372" s="2" t="str">
        <f>IF(VLOOKUP($B372,Q,3,FALSE)=0,"",(VLOOKUP($B372,Q,3,FALSE)))</f>
        <v/>
      </c>
      <c r="E372" s="2" t="str">
        <f>IF(VLOOKUP($B372,Q,8,FALSE)=0,"",(VLOOKUP($B372,Q,8,FALSE)))</f>
        <v/>
      </c>
      <c r="F372" s="19" t="str">
        <f>IF(VLOOKUP($B372,Q,9,FALSE)=0,"",(VLOOKUP($B372,Q,9,FALSE)))</f>
        <v/>
      </c>
      <c r="G372" s="2" t="str">
        <f>IF(VLOOKUP($B372,Q,10,FALSE)=0,"",(VLOOKUP($B372,Q,10,FALSE)))</f>
        <v/>
      </c>
      <c r="H372" s="2" t="str">
        <f>IF(VLOOKUP($B372,Q,14,FALSE)=0,"",(VLOOKUP($B372,Q,14,FALSE)))</f>
        <v/>
      </c>
      <c r="I372" s="2" t="str">
        <f>IF(VLOOKUP($B372,Q,14,FALSE)=0,"",(VLOOKUP($B372,Q,15,FALSE)))</f>
        <v/>
      </c>
      <c r="J372" s="2" t="str">
        <f>IF(VLOOKUP($B372,Q,14,FALSE)=0,"",(VLOOKUP($B372,Q,16,FALSE)))</f>
        <v/>
      </c>
      <c r="K372" s="2" t="str">
        <f>IF(VLOOKUP($B372,Q,14,FALSE)=0,"",(VLOOKUP($B372,Q,17,FALSE)))</f>
        <v/>
      </c>
    </row>
    <row r="373" spans="2:11" x14ac:dyDescent="0.6">
      <c r="B373" s="1">
        <v>376</v>
      </c>
      <c r="C373" s="2" t="str">
        <f>IF(VLOOKUP($B373,Q,2,FALSE)=0,"",(VLOOKUP($B373,Q,2,FALSE)))</f>
        <v/>
      </c>
      <c r="D373" s="2" t="str">
        <f>IF(VLOOKUP($B373,Q,3,FALSE)=0,"",(VLOOKUP($B373,Q,3,FALSE)))</f>
        <v/>
      </c>
      <c r="E373" s="2" t="str">
        <f>IF(VLOOKUP($B373,Q,8,FALSE)=0,"",(VLOOKUP($B373,Q,8,FALSE)))</f>
        <v/>
      </c>
      <c r="F373" s="19" t="str">
        <f>IF(VLOOKUP($B373,Q,9,FALSE)=0,"",(VLOOKUP($B373,Q,9,FALSE)))</f>
        <v/>
      </c>
      <c r="G373" s="2" t="str">
        <f>IF(VLOOKUP($B373,Q,10,FALSE)=0,"",(VLOOKUP($B373,Q,10,FALSE)))</f>
        <v/>
      </c>
      <c r="H373" s="2" t="str">
        <f>IF(VLOOKUP($B373,Q,14,FALSE)=0,"",(VLOOKUP($B373,Q,14,FALSE)))</f>
        <v/>
      </c>
      <c r="I373" s="2" t="str">
        <f>IF(VLOOKUP($B373,Q,14,FALSE)=0,"",(VLOOKUP($B373,Q,15,FALSE)))</f>
        <v/>
      </c>
      <c r="J373" s="2" t="str">
        <f>IF(VLOOKUP($B373,Q,14,FALSE)=0,"",(VLOOKUP($B373,Q,16,FALSE)))</f>
        <v/>
      </c>
      <c r="K373" s="2" t="str">
        <f>IF(VLOOKUP($B373,Q,14,FALSE)=0,"",(VLOOKUP($B373,Q,17,FALSE)))</f>
        <v/>
      </c>
    </row>
    <row r="374" spans="2:11" x14ac:dyDescent="0.6">
      <c r="B374" s="1">
        <v>377</v>
      </c>
      <c r="C374" s="2" t="str">
        <f>IF(VLOOKUP($B374,Q,2,FALSE)=0,"",(VLOOKUP($B374,Q,2,FALSE)))</f>
        <v/>
      </c>
      <c r="D374" s="2" t="str">
        <f>IF(VLOOKUP($B374,Q,3,FALSE)=0,"",(VLOOKUP($B374,Q,3,FALSE)))</f>
        <v/>
      </c>
      <c r="E374" s="2" t="str">
        <f>IF(VLOOKUP($B374,Q,8,FALSE)=0,"",(VLOOKUP($B374,Q,8,FALSE)))</f>
        <v/>
      </c>
      <c r="F374" s="19" t="str">
        <f>IF(VLOOKUP($B374,Q,9,FALSE)=0,"",(VLOOKUP($B374,Q,9,FALSE)))</f>
        <v/>
      </c>
      <c r="G374" s="2" t="str">
        <f>IF(VLOOKUP($B374,Q,10,FALSE)=0,"",(VLOOKUP($B374,Q,10,FALSE)))</f>
        <v/>
      </c>
      <c r="H374" s="2" t="str">
        <f>IF(VLOOKUP($B374,Q,14,FALSE)=0,"",(VLOOKUP($B374,Q,14,FALSE)))</f>
        <v/>
      </c>
      <c r="I374" s="2" t="str">
        <f>IF(VLOOKUP($B374,Q,14,FALSE)=0,"",(VLOOKUP($B374,Q,15,FALSE)))</f>
        <v/>
      </c>
      <c r="J374" s="2" t="str">
        <f>IF(VLOOKUP($B374,Q,14,FALSE)=0,"",(VLOOKUP($B374,Q,16,FALSE)))</f>
        <v/>
      </c>
      <c r="K374" s="2" t="str">
        <f>IF(VLOOKUP($B374,Q,14,FALSE)=0,"",(VLOOKUP($B374,Q,17,FALSE)))</f>
        <v/>
      </c>
    </row>
    <row r="375" spans="2:11" x14ac:dyDescent="0.6">
      <c r="B375" s="1">
        <v>378</v>
      </c>
      <c r="C375" s="2" t="str">
        <f>IF(VLOOKUP($B375,Q,2,FALSE)=0,"",(VLOOKUP($B375,Q,2,FALSE)))</f>
        <v/>
      </c>
      <c r="D375" s="2" t="str">
        <f>IF(VLOOKUP($B375,Q,3,FALSE)=0,"",(VLOOKUP($B375,Q,3,FALSE)))</f>
        <v/>
      </c>
      <c r="E375" s="2" t="str">
        <f>IF(VLOOKUP($B375,Q,8,FALSE)=0,"",(VLOOKUP($B375,Q,8,FALSE)))</f>
        <v/>
      </c>
      <c r="F375" s="19" t="str">
        <f>IF(VLOOKUP($B375,Q,9,FALSE)=0,"",(VLOOKUP($B375,Q,9,FALSE)))</f>
        <v/>
      </c>
      <c r="G375" s="2" t="str">
        <f>IF(VLOOKUP($B375,Q,10,FALSE)=0,"",(VLOOKUP($B375,Q,10,FALSE)))</f>
        <v/>
      </c>
      <c r="H375" s="2" t="str">
        <f>IF(VLOOKUP($B375,Q,14,FALSE)=0,"",(VLOOKUP($B375,Q,14,FALSE)))</f>
        <v/>
      </c>
      <c r="I375" s="2" t="str">
        <f>IF(VLOOKUP($B375,Q,14,FALSE)=0,"",(VLOOKUP($B375,Q,15,FALSE)))</f>
        <v/>
      </c>
      <c r="J375" s="2" t="str">
        <f>IF(VLOOKUP($B375,Q,14,FALSE)=0,"",(VLOOKUP($B375,Q,16,FALSE)))</f>
        <v/>
      </c>
      <c r="K375" s="2" t="str">
        <f>IF(VLOOKUP($B375,Q,14,FALSE)=0,"",(VLOOKUP($B375,Q,17,FALSE)))</f>
        <v/>
      </c>
    </row>
    <row r="376" spans="2:11" x14ac:dyDescent="0.6">
      <c r="B376" s="1">
        <v>379</v>
      </c>
      <c r="C376" s="2" t="str">
        <f>IF(VLOOKUP($B376,Q,2,FALSE)=0,"",(VLOOKUP($B376,Q,2,FALSE)))</f>
        <v/>
      </c>
      <c r="D376" s="2" t="str">
        <f>IF(VLOOKUP($B376,Q,3,FALSE)=0,"",(VLOOKUP($B376,Q,3,FALSE)))</f>
        <v/>
      </c>
      <c r="E376" s="2" t="str">
        <f>IF(VLOOKUP($B376,Q,8,FALSE)=0,"",(VLOOKUP($B376,Q,8,FALSE)))</f>
        <v/>
      </c>
      <c r="F376" s="19" t="str">
        <f>IF(VLOOKUP($B376,Q,9,FALSE)=0,"",(VLOOKUP($B376,Q,9,FALSE)))</f>
        <v/>
      </c>
      <c r="G376" s="2" t="str">
        <f>IF(VLOOKUP($B376,Q,10,FALSE)=0,"",(VLOOKUP($B376,Q,10,FALSE)))</f>
        <v/>
      </c>
      <c r="H376" s="2" t="str">
        <f>IF(VLOOKUP($B376,Q,14,FALSE)=0,"",(VLOOKUP($B376,Q,14,FALSE)))</f>
        <v/>
      </c>
      <c r="I376" s="2" t="str">
        <f>IF(VLOOKUP($B376,Q,14,FALSE)=0,"",(VLOOKUP($B376,Q,15,FALSE)))</f>
        <v/>
      </c>
      <c r="J376" s="2" t="str">
        <f>IF(VLOOKUP($B376,Q,14,FALSE)=0,"",(VLOOKUP($B376,Q,16,FALSE)))</f>
        <v/>
      </c>
      <c r="K376" s="2" t="str">
        <f>IF(VLOOKUP($B376,Q,14,FALSE)=0,"",(VLOOKUP($B376,Q,17,FALSE)))</f>
        <v/>
      </c>
    </row>
    <row r="377" spans="2:11" x14ac:dyDescent="0.6">
      <c r="B377" s="1">
        <v>380</v>
      </c>
      <c r="C377" s="2" t="str">
        <f>IF(VLOOKUP($B377,Q,2,FALSE)=0,"",(VLOOKUP($B377,Q,2,FALSE)))</f>
        <v/>
      </c>
      <c r="D377" s="2" t="str">
        <f>IF(VLOOKUP($B377,Q,3,FALSE)=0,"",(VLOOKUP($B377,Q,3,FALSE)))</f>
        <v/>
      </c>
      <c r="E377" s="2" t="str">
        <f>IF(VLOOKUP($B377,Q,8,FALSE)=0,"",(VLOOKUP($B377,Q,8,FALSE)))</f>
        <v/>
      </c>
      <c r="F377" s="19" t="str">
        <f>IF(VLOOKUP($B377,Q,9,FALSE)=0,"",(VLOOKUP($B377,Q,9,FALSE)))</f>
        <v/>
      </c>
      <c r="G377" s="2" t="str">
        <f>IF(VLOOKUP($B377,Q,10,FALSE)=0,"",(VLOOKUP($B377,Q,10,FALSE)))</f>
        <v/>
      </c>
      <c r="H377" s="2" t="str">
        <f>IF(VLOOKUP($B377,Q,14,FALSE)=0,"",(VLOOKUP($B377,Q,14,FALSE)))</f>
        <v/>
      </c>
      <c r="I377" s="2" t="str">
        <f>IF(VLOOKUP($B377,Q,14,FALSE)=0,"",(VLOOKUP($B377,Q,15,FALSE)))</f>
        <v/>
      </c>
      <c r="J377" s="2" t="str">
        <f>IF(VLOOKUP($B377,Q,14,FALSE)=0,"",(VLOOKUP($B377,Q,16,FALSE)))</f>
        <v/>
      </c>
      <c r="K377" s="2" t="str">
        <f>IF(VLOOKUP($B377,Q,14,FALSE)=0,"",(VLOOKUP($B377,Q,17,FALSE)))</f>
        <v/>
      </c>
    </row>
    <row r="378" spans="2:11" x14ac:dyDescent="0.6">
      <c r="B378" s="1">
        <v>381</v>
      </c>
      <c r="C378" s="2" t="str">
        <f>IF(VLOOKUP($B378,Q,2,FALSE)=0,"",(VLOOKUP($B378,Q,2,FALSE)))</f>
        <v/>
      </c>
      <c r="D378" s="2" t="str">
        <f>IF(VLOOKUP($B378,Q,3,FALSE)=0,"",(VLOOKUP($B378,Q,3,FALSE)))</f>
        <v/>
      </c>
      <c r="E378" s="2" t="str">
        <f>IF(VLOOKUP($B378,Q,8,FALSE)=0,"",(VLOOKUP($B378,Q,8,FALSE)))</f>
        <v/>
      </c>
      <c r="F378" s="19" t="str">
        <f>IF(VLOOKUP($B378,Q,9,FALSE)=0,"",(VLOOKUP($B378,Q,9,FALSE)))</f>
        <v/>
      </c>
      <c r="G378" s="2" t="str">
        <f>IF(VLOOKUP($B378,Q,10,FALSE)=0,"",(VLOOKUP($B378,Q,10,FALSE)))</f>
        <v/>
      </c>
      <c r="H378" s="2" t="str">
        <f>IF(VLOOKUP($B378,Q,14,FALSE)=0,"",(VLOOKUP($B378,Q,14,FALSE)))</f>
        <v/>
      </c>
      <c r="I378" s="2" t="str">
        <f>IF(VLOOKUP($B378,Q,14,FALSE)=0,"",(VLOOKUP($B378,Q,15,FALSE)))</f>
        <v/>
      </c>
      <c r="J378" s="2" t="str">
        <f>IF(VLOOKUP($B378,Q,14,FALSE)=0,"",(VLOOKUP($B378,Q,16,FALSE)))</f>
        <v/>
      </c>
      <c r="K378" s="2" t="str">
        <f>IF(VLOOKUP($B378,Q,14,FALSE)=0,"",(VLOOKUP($B378,Q,17,FALSE)))</f>
        <v/>
      </c>
    </row>
    <row r="379" spans="2:11" x14ac:dyDescent="0.6">
      <c r="B379" s="1">
        <v>382</v>
      </c>
      <c r="C379" s="2" t="str">
        <f>IF(VLOOKUP($B379,Q,2,FALSE)=0,"",(VLOOKUP($B379,Q,2,FALSE)))</f>
        <v/>
      </c>
      <c r="D379" s="2" t="str">
        <f>IF(VLOOKUP($B379,Q,3,FALSE)=0,"",(VLOOKUP($B379,Q,3,FALSE)))</f>
        <v/>
      </c>
      <c r="E379" s="2" t="str">
        <f>IF(VLOOKUP($B379,Q,8,FALSE)=0,"",(VLOOKUP($B379,Q,8,FALSE)))</f>
        <v/>
      </c>
      <c r="F379" s="19" t="str">
        <f>IF(VLOOKUP($B379,Q,9,FALSE)=0,"",(VLOOKUP($B379,Q,9,FALSE)))</f>
        <v/>
      </c>
      <c r="G379" s="2" t="str">
        <f>IF(VLOOKUP($B379,Q,10,FALSE)=0,"",(VLOOKUP($B379,Q,10,FALSE)))</f>
        <v/>
      </c>
      <c r="H379" s="2" t="str">
        <f>IF(VLOOKUP($B379,Q,14,FALSE)=0,"",(VLOOKUP($B379,Q,14,FALSE)))</f>
        <v/>
      </c>
      <c r="I379" s="2" t="str">
        <f>IF(VLOOKUP($B379,Q,14,FALSE)=0,"",(VLOOKUP($B379,Q,15,FALSE)))</f>
        <v/>
      </c>
      <c r="J379" s="2" t="str">
        <f>IF(VLOOKUP($B379,Q,14,FALSE)=0,"",(VLOOKUP($B379,Q,16,FALSE)))</f>
        <v/>
      </c>
      <c r="K379" s="2" t="str">
        <f>IF(VLOOKUP($B379,Q,14,FALSE)=0,"",(VLOOKUP($B379,Q,17,FALSE)))</f>
        <v/>
      </c>
    </row>
    <row r="380" spans="2:11" x14ac:dyDescent="0.6">
      <c r="B380" s="1">
        <v>383</v>
      </c>
      <c r="C380" s="2" t="str">
        <f>IF(VLOOKUP($B380,Q,2,FALSE)=0,"",(VLOOKUP($B380,Q,2,FALSE)))</f>
        <v/>
      </c>
      <c r="D380" s="2" t="str">
        <f>IF(VLOOKUP($B380,Q,3,FALSE)=0,"",(VLOOKUP($B380,Q,3,FALSE)))</f>
        <v/>
      </c>
      <c r="E380" s="2" t="str">
        <f>IF(VLOOKUP($B380,Q,8,FALSE)=0,"",(VLOOKUP($B380,Q,8,FALSE)))</f>
        <v/>
      </c>
      <c r="F380" s="19" t="str">
        <f>IF(VLOOKUP($B380,Q,9,FALSE)=0,"",(VLOOKUP($B380,Q,9,FALSE)))</f>
        <v/>
      </c>
      <c r="G380" s="2" t="str">
        <f>IF(VLOOKUP($B380,Q,10,FALSE)=0,"",(VLOOKUP($B380,Q,10,FALSE)))</f>
        <v/>
      </c>
      <c r="H380" s="2" t="str">
        <f>IF(VLOOKUP($B380,Q,14,FALSE)=0,"",(VLOOKUP($B380,Q,14,FALSE)))</f>
        <v/>
      </c>
      <c r="I380" s="2" t="str">
        <f>IF(VLOOKUP($B380,Q,14,FALSE)=0,"",(VLOOKUP($B380,Q,15,FALSE)))</f>
        <v/>
      </c>
      <c r="J380" s="2" t="str">
        <f>IF(VLOOKUP($B380,Q,14,FALSE)=0,"",(VLOOKUP($B380,Q,16,FALSE)))</f>
        <v/>
      </c>
      <c r="K380" s="2" t="str">
        <f>IF(VLOOKUP($B380,Q,14,FALSE)=0,"",(VLOOKUP($B380,Q,17,FALSE)))</f>
        <v/>
      </c>
    </row>
    <row r="381" spans="2:11" x14ac:dyDescent="0.6">
      <c r="B381" s="1">
        <v>384</v>
      </c>
      <c r="C381" s="2" t="str">
        <f>IF(VLOOKUP($B381,Q,2,FALSE)=0,"",(VLOOKUP($B381,Q,2,FALSE)))</f>
        <v/>
      </c>
      <c r="D381" s="2" t="str">
        <f>IF(VLOOKUP($B381,Q,3,FALSE)=0,"",(VLOOKUP($B381,Q,3,FALSE)))</f>
        <v/>
      </c>
      <c r="E381" s="2" t="str">
        <f>IF(VLOOKUP($B381,Q,8,FALSE)=0,"",(VLOOKUP($B381,Q,8,FALSE)))</f>
        <v/>
      </c>
      <c r="F381" s="19" t="str">
        <f>IF(VLOOKUP($B381,Q,9,FALSE)=0,"",(VLOOKUP($B381,Q,9,FALSE)))</f>
        <v/>
      </c>
      <c r="G381" s="2" t="str">
        <f>IF(VLOOKUP($B381,Q,10,FALSE)=0,"",(VLOOKUP($B381,Q,10,FALSE)))</f>
        <v/>
      </c>
      <c r="H381" s="2" t="str">
        <f>IF(VLOOKUP($B381,Q,14,FALSE)=0,"",(VLOOKUP($B381,Q,14,FALSE)))</f>
        <v/>
      </c>
      <c r="I381" s="2" t="str">
        <f>IF(VLOOKUP($B381,Q,14,FALSE)=0,"",(VLOOKUP($B381,Q,15,FALSE)))</f>
        <v/>
      </c>
      <c r="J381" s="2" t="str">
        <f>IF(VLOOKUP($B381,Q,14,FALSE)=0,"",(VLOOKUP($B381,Q,16,FALSE)))</f>
        <v/>
      </c>
      <c r="K381" s="2" t="str">
        <f>IF(VLOOKUP($B381,Q,14,FALSE)=0,"",(VLOOKUP($B381,Q,17,FALSE)))</f>
        <v/>
      </c>
    </row>
    <row r="382" spans="2:11" x14ac:dyDescent="0.6">
      <c r="B382" s="1">
        <v>385</v>
      </c>
      <c r="C382" s="2" t="str">
        <f>IF(VLOOKUP($B382,Q,2,FALSE)=0,"",(VLOOKUP($B382,Q,2,FALSE)))</f>
        <v/>
      </c>
      <c r="D382" s="2" t="str">
        <f>IF(VLOOKUP($B382,Q,3,FALSE)=0,"",(VLOOKUP($B382,Q,3,FALSE)))</f>
        <v/>
      </c>
      <c r="E382" s="2" t="str">
        <f>IF(VLOOKUP($B382,Q,8,FALSE)=0,"",(VLOOKUP($B382,Q,8,FALSE)))</f>
        <v/>
      </c>
      <c r="F382" s="19" t="str">
        <f>IF(VLOOKUP($B382,Q,9,FALSE)=0,"",(VLOOKUP($B382,Q,9,FALSE)))</f>
        <v/>
      </c>
      <c r="G382" s="2" t="str">
        <f>IF(VLOOKUP($B382,Q,10,FALSE)=0,"",(VLOOKUP($B382,Q,10,FALSE)))</f>
        <v/>
      </c>
      <c r="H382" s="2" t="str">
        <f>IF(VLOOKUP($B382,Q,14,FALSE)=0,"",(VLOOKUP($B382,Q,14,FALSE)))</f>
        <v/>
      </c>
      <c r="I382" s="2" t="str">
        <f>IF(VLOOKUP($B382,Q,14,FALSE)=0,"",(VLOOKUP($B382,Q,15,FALSE)))</f>
        <v/>
      </c>
      <c r="J382" s="2" t="str">
        <f>IF(VLOOKUP($B382,Q,14,FALSE)=0,"",(VLOOKUP($B382,Q,16,FALSE)))</f>
        <v/>
      </c>
      <c r="K382" s="2" t="str">
        <f>IF(VLOOKUP($B382,Q,14,FALSE)=0,"",(VLOOKUP($B382,Q,17,FALSE)))</f>
        <v/>
      </c>
    </row>
    <row r="383" spans="2:11" x14ac:dyDescent="0.6">
      <c r="B383" s="1">
        <v>386</v>
      </c>
      <c r="C383" s="2" t="str">
        <f>IF(VLOOKUP($B383,Q,2,FALSE)=0,"",(VLOOKUP($B383,Q,2,FALSE)))</f>
        <v/>
      </c>
      <c r="D383" s="2" t="str">
        <f>IF(VLOOKUP($B383,Q,3,FALSE)=0,"",(VLOOKUP($B383,Q,3,FALSE)))</f>
        <v/>
      </c>
      <c r="E383" s="2" t="str">
        <f>IF(VLOOKUP($B383,Q,8,FALSE)=0,"",(VLOOKUP($B383,Q,8,FALSE)))</f>
        <v/>
      </c>
      <c r="F383" s="19" t="str">
        <f>IF(VLOOKUP($B383,Q,9,FALSE)=0,"",(VLOOKUP($B383,Q,9,FALSE)))</f>
        <v/>
      </c>
      <c r="G383" s="2" t="str">
        <f>IF(VLOOKUP($B383,Q,10,FALSE)=0,"",(VLOOKUP($B383,Q,10,FALSE)))</f>
        <v/>
      </c>
      <c r="H383" s="2" t="str">
        <f>IF(VLOOKUP($B383,Q,14,FALSE)=0,"",(VLOOKUP($B383,Q,14,FALSE)))</f>
        <v/>
      </c>
      <c r="I383" s="2" t="str">
        <f>IF(VLOOKUP($B383,Q,14,FALSE)=0,"",(VLOOKUP($B383,Q,15,FALSE)))</f>
        <v/>
      </c>
      <c r="J383" s="2" t="str">
        <f>IF(VLOOKUP($B383,Q,14,FALSE)=0,"",(VLOOKUP($B383,Q,16,FALSE)))</f>
        <v/>
      </c>
      <c r="K383" s="2" t="str">
        <f>IF(VLOOKUP($B383,Q,14,FALSE)=0,"",(VLOOKUP($B383,Q,17,FALSE)))</f>
        <v/>
      </c>
    </row>
    <row r="384" spans="2:11" x14ac:dyDescent="0.6">
      <c r="B384" s="1">
        <v>387</v>
      </c>
      <c r="C384" s="2" t="str">
        <f>IF(VLOOKUP($B384,Q,2,FALSE)=0,"",(VLOOKUP($B384,Q,2,FALSE)))</f>
        <v/>
      </c>
      <c r="D384" s="2" t="str">
        <f>IF(VLOOKUP($B384,Q,3,FALSE)=0,"",(VLOOKUP($B384,Q,3,FALSE)))</f>
        <v/>
      </c>
      <c r="E384" s="2" t="str">
        <f>IF(VLOOKUP($B384,Q,8,FALSE)=0,"",(VLOOKUP($B384,Q,8,FALSE)))</f>
        <v/>
      </c>
      <c r="F384" s="19" t="str">
        <f>IF(VLOOKUP($B384,Q,9,FALSE)=0,"",(VLOOKUP($B384,Q,9,FALSE)))</f>
        <v/>
      </c>
      <c r="G384" s="2" t="str">
        <f>IF(VLOOKUP($B384,Q,10,FALSE)=0,"",(VLOOKUP($B384,Q,10,FALSE)))</f>
        <v/>
      </c>
      <c r="H384" s="2" t="str">
        <f>IF(VLOOKUP($B384,Q,14,FALSE)=0,"",(VLOOKUP($B384,Q,14,FALSE)))</f>
        <v/>
      </c>
      <c r="I384" s="2" t="str">
        <f>IF(VLOOKUP($B384,Q,14,FALSE)=0,"",(VLOOKUP($B384,Q,15,FALSE)))</f>
        <v/>
      </c>
      <c r="J384" s="2" t="str">
        <f>IF(VLOOKUP($B384,Q,14,FALSE)=0,"",(VLOOKUP($B384,Q,16,FALSE)))</f>
        <v/>
      </c>
      <c r="K384" s="2" t="str">
        <f>IF(VLOOKUP($B384,Q,14,FALSE)=0,"",(VLOOKUP($B384,Q,17,FALSE)))</f>
        <v/>
      </c>
    </row>
    <row r="385" spans="2:11" x14ac:dyDescent="0.6">
      <c r="B385" s="1">
        <v>388</v>
      </c>
      <c r="C385" s="2" t="str">
        <f>IF(VLOOKUP($B385,Q,2,FALSE)=0,"",(VLOOKUP($B385,Q,2,FALSE)))</f>
        <v/>
      </c>
      <c r="D385" s="2" t="str">
        <f>IF(VLOOKUP($B385,Q,3,FALSE)=0,"",(VLOOKUP($B385,Q,3,FALSE)))</f>
        <v/>
      </c>
      <c r="E385" s="2" t="str">
        <f>IF(VLOOKUP($B385,Q,8,FALSE)=0,"",(VLOOKUP($B385,Q,8,FALSE)))</f>
        <v/>
      </c>
      <c r="F385" s="19" t="str">
        <f>IF(VLOOKUP($B385,Q,9,FALSE)=0,"",(VLOOKUP($B385,Q,9,FALSE)))</f>
        <v/>
      </c>
      <c r="G385" s="2" t="str">
        <f>IF(VLOOKUP($B385,Q,10,FALSE)=0,"",(VLOOKUP($B385,Q,10,FALSE)))</f>
        <v/>
      </c>
      <c r="H385" s="2" t="str">
        <f>IF(VLOOKUP($B385,Q,14,FALSE)=0,"",(VLOOKUP($B385,Q,14,FALSE)))</f>
        <v/>
      </c>
      <c r="I385" s="2" t="str">
        <f>IF(VLOOKUP($B385,Q,14,FALSE)=0,"",(VLOOKUP($B385,Q,15,FALSE)))</f>
        <v/>
      </c>
      <c r="J385" s="2" t="str">
        <f>IF(VLOOKUP($B385,Q,14,FALSE)=0,"",(VLOOKUP($B385,Q,16,FALSE)))</f>
        <v/>
      </c>
      <c r="K385" s="2" t="str">
        <f>IF(VLOOKUP($B385,Q,14,FALSE)=0,"",(VLOOKUP($B385,Q,17,FALSE)))</f>
        <v/>
      </c>
    </row>
    <row r="386" spans="2:11" x14ac:dyDescent="0.6">
      <c r="B386" s="1">
        <v>389</v>
      </c>
      <c r="C386" s="2" t="str">
        <f>IF(VLOOKUP($B386,Q,2,FALSE)=0,"",(VLOOKUP($B386,Q,2,FALSE)))</f>
        <v/>
      </c>
      <c r="D386" s="2" t="str">
        <f>IF(VLOOKUP($B386,Q,3,FALSE)=0,"",(VLOOKUP($B386,Q,3,FALSE)))</f>
        <v/>
      </c>
      <c r="E386" s="2" t="str">
        <f>IF(VLOOKUP($B386,Q,8,FALSE)=0,"",(VLOOKUP($B386,Q,8,FALSE)))</f>
        <v/>
      </c>
      <c r="F386" s="19" t="str">
        <f>IF(VLOOKUP($B386,Q,9,FALSE)=0,"",(VLOOKUP($B386,Q,9,FALSE)))</f>
        <v/>
      </c>
      <c r="G386" s="2" t="str">
        <f>IF(VLOOKUP($B386,Q,10,FALSE)=0,"",(VLOOKUP($B386,Q,10,FALSE)))</f>
        <v/>
      </c>
      <c r="H386" s="2" t="str">
        <f>IF(VLOOKUP($B386,Q,14,FALSE)=0,"",(VLOOKUP($B386,Q,14,FALSE)))</f>
        <v/>
      </c>
      <c r="I386" s="2" t="str">
        <f>IF(VLOOKUP($B386,Q,14,FALSE)=0,"",(VLOOKUP($B386,Q,15,FALSE)))</f>
        <v/>
      </c>
      <c r="J386" s="2" t="str">
        <f>IF(VLOOKUP($B386,Q,14,FALSE)=0,"",(VLOOKUP($B386,Q,16,FALSE)))</f>
        <v/>
      </c>
      <c r="K386" s="2" t="str">
        <f>IF(VLOOKUP($B386,Q,14,FALSE)=0,"",(VLOOKUP($B386,Q,17,FALSE)))</f>
        <v/>
      </c>
    </row>
    <row r="387" spans="2:11" x14ac:dyDescent="0.6">
      <c r="B387" s="1">
        <v>390</v>
      </c>
      <c r="C387" s="2" t="str">
        <f>IF(VLOOKUP($B387,Q,2,FALSE)=0,"",(VLOOKUP($B387,Q,2,FALSE)))</f>
        <v/>
      </c>
      <c r="D387" s="2" t="str">
        <f>IF(VLOOKUP($B387,Q,3,FALSE)=0,"",(VLOOKUP($B387,Q,3,FALSE)))</f>
        <v/>
      </c>
      <c r="E387" s="2" t="str">
        <f>IF(VLOOKUP($B387,Q,8,FALSE)=0,"",(VLOOKUP($B387,Q,8,FALSE)))</f>
        <v/>
      </c>
      <c r="F387" s="19" t="str">
        <f>IF(VLOOKUP($B387,Q,9,FALSE)=0,"",(VLOOKUP($B387,Q,9,FALSE)))</f>
        <v/>
      </c>
      <c r="G387" s="2" t="str">
        <f>IF(VLOOKUP($B387,Q,10,FALSE)=0,"",(VLOOKUP($B387,Q,10,FALSE)))</f>
        <v/>
      </c>
      <c r="H387" s="2" t="str">
        <f>IF(VLOOKUP($B387,Q,14,FALSE)=0,"",(VLOOKUP($B387,Q,14,FALSE)))</f>
        <v/>
      </c>
      <c r="I387" s="2" t="str">
        <f>IF(VLOOKUP($B387,Q,14,FALSE)=0,"",(VLOOKUP($B387,Q,15,FALSE)))</f>
        <v/>
      </c>
      <c r="J387" s="2" t="str">
        <f>IF(VLOOKUP($B387,Q,14,FALSE)=0,"",(VLOOKUP($B387,Q,16,FALSE)))</f>
        <v/>
      </c>
      <c r="K387" s="2" t="str">
        <f>IF(VLOOKUP($B387,Q,14,FALSE)=0,"",(VLOOKUP($B387,Q,17,FALSE)))</f>
        <v/>
      </c>
    </row>
    <row r="388" spans="2:11" x14ac:dyDescent="0.6">
      <c r="B388" s="1">
        <v>391</v>
      </c>
      <c r="C388" s="2" t="str">
        <f>IF(VLOOKUP($B388,Q,2,FALSE)=0,"",(VLOOKUP($B388,Q,2,FALSE)))</f>
        <v/>
      </c>
      <c r="D388" s="2" t="str">
        <f>IF(VLOOKUP($B388,Q,3,FALSE)=0,"",(VLOOKUP($B388,Q,3,FALSE)))</f>
        <v/>
      </c>
      <c r="E388" s="2" t="str">
        <f>IF(VLOOKUP($B388,Q,8,FALSE)=0,"",(VLOOKUP($B388,Q,8,FALSE)))</f>
        <v/>
      </c>
      <c r="F388" s="19" t="str">
        <f>IF(VLOOKUP($B388,Q,9,FALSE)=0,"",(VLOOKUP($B388,Q,9,FALSE)))</f>
        <v/>
      </c>
      <c r="G388" s="2" t="str">
        <f>IF(VLOOKUP($B388,Q,10,FALSE)=0,"",(VLOOKUP($B388,Q,10,FALSE)))</f>
        <v/>
      </c>
      <c r="H388" s="2" t="str">
        <f>IF(VLOOKUP($B388,Q,14,FALSE)=0,"",(VLOOKUP($B388,Q,14,FALSE)))</f>
        <v/>
      </c>
      <c r="I388" s="2" t="str">
        <f>IF(VLOOKUP($B388,Q,14,FALSE)=0,"",(VLOOKUP($B388,Q,15,FALSE)))</f>
        <v/>
      </c>
      <c r="J388" s="2" t="str">
        <f>IF(VLOOKUP($B388,Q,14,FALSE)=0,"",(VLOOKUP($B388,Q,16,FALSE)))</f>
        <v/>
      </c>
      <c r="K388" s="2" t="str">
        <f>IF(VLOOKUP($B388,Q,14,FALSE)=0,"",(VLOOKUP($B388,Q,17,FALSE)))</f>
        <v/>
      </c>
    </row>
    <row r="389" spans="2:11" x14ac:dyDescent="0.6">
      <c r="B389" s="1">
        <v>392</v>
      </c>
      <c r="C389" s="2" t="str">
        <f>IF(VLOOKUP($B389,Q,2,FALSE)=0,"",(VLOOKUP($B389,Q,2,FALSE)))</f>
        <v/>
      </c>
      <c r="D389" s="2" t="str">
        <f>IF(VLOOKUP($B389,Q,3,FALSE)=0,"",(VLOOKUP($B389,Q,3,FALSE)))</f>
        <v/>
      </c>
      <c r="E389" s="2" t="str">
        <f>IF(VLOOKUP($B389,Q,8,FALSE)=0,"",(VLOOKUP($B389,Q,8,FALSE)))</f>
        <v/>
      </c>
      <c r="F389" s="19" t="str">
        <f>IF(VLOOKUP($B389,Q,9,FALSE)=0,"",(VLOOKUP($B389,Q,9,FALSE)))</f>
        <v/>
      </c>
      <c r="G389" s="2" t="str">
        <f>IF(VLOOKUP($B389,Q,10,FALSE)=0,"",(VLOOKUP($B389,Q,10,FALSE)))</f>
        <v/>
      </c>
      <c r="H389" s="2" t="str">
        <f>IF(VLOOKUP($B389,Q,14,FALSE)=0,"",(VLOOKUP($B389,Q,14,FALSE)))</f>
        <v/>
      </c>
      <c r="I389" s="2" t="str">
        <f>IF(VLOOKUP($B389,Q,14,FALSE)=0,"",(VLOOKUP($B389,Q,15,FALSE)))</f>
        <v/>
      </c>
      <c r="J389" s="2" t="str">
        <f>IF(VLOOKUP($B389,Q,14,FALSE)=0,"",(VLOOKUP($B389,Q,16,FALSE)))</f>
        <v/>
      </c>
      <c r="K389" s="2" t="str">
        <f>IF(VLOOKUP($B389,Q,14,FALSE)=0,"",(VLOOKUP($B389,Q,17,FALSE)))</f>
        <v/>
      </c>
    </row>
    <row r="390" spans="2:11" x14ac:dyDescent="0.6">
      <c r="B390" s="1">
        <v>393</v>
      </c>
      <c r="C390" s="2" t="str">
        <f>IF(VLOOKUP($B390,Q,2,FALSE)=0,"",(VLOOKUP($B390,Q,2,FALSE)))</f>
        <v/>
      </c>
      <c r="D390" s="2" t="str">
        <f>IF(VLOOKUP($B390,Q,3,FALSE)=0,"",(VLOOKUP($B390,Q,3,FALSE)))</f>
        <v/>
      </c>
      <c r="E390" s="2" t="str">
        <f>IF(VLOOKUP($B390,Q,8,FALSE)=0,"",(VLOOKUP($B390,Q,8,FALSE)))</f>
        <v/>
      </c>
      <c r="F390" s="19" t="str">
        <f>IF(VLOOKUP($B390,Q,9,FALSE)=0,"",(VLOOKUP($B390,Q,9,FALSE)))</f>
        <v/>
      </c>
      <c r="G390" s="2" t="str">
        <f>IF(VLOOKUP($B390,Q,10,FALSE)=0,"",(VLOOKUP($B390,Q,10,FALSE)))</f>
        <v/>
      </c>
      <c r="H390" s="2" t="str">
        <f>IF(VLOOKUP($B390,Q,14,FALSE)=0,"",(VLOOKUP($B390,Q,14,FALSE)))</f>
        <v/>
      </c>
      <c r="I390" s="2" t="str">
        <f>IF(VLOOKUP($B390,Q,14,FALSE)=0,"",(VLOOKUP($B390,Q,15,FALSE)))</f>
        <v/>
      </c>
      <c r="J390" s="2" t="str">
        <f>IF(VLOOKUP($B390,Q,14,FALSE)=0,"",(VLOOKUP($B390,Q,16,FALSE)))</f>
        <v/>
      </c>
      <c r="K390" s="2" t="str">
        <f>IF(VLOOKUP($B390,Q,14,FALSE)=0,"",(VLOOKUP($B390,Q,17,FALSE)))</f>
        <v/>
      </c>
    </row>
    <row r="391" spans="2:11" x14ac:dyDescent="0.6">
      <c r="B391" s="1">
        <v>394</v>
      </c>
      <c r="C391" s="2" t="str">
        <f>IF(VLOOKUP($B391,Q,2,FALSE)=0,"",(VLOOKUP($B391,Q,2,FALSE)))</f>
        <v/>
      </c>
      <c r="D391" s="2" t="str">
        <f>IF(VLOOKUP($B391,Q,3,FALSE)=0,"",(VLOOKUP($B391,Q,3,FALSE)))</f>
        <v/>
      </c>
      <c r="E391" s="2" t="str">
        <f>IF(VLOOKUP($B391,Q,8,FALSE)=0,"",(VLOOKUP($B391,Q,8,FALSE)))</f>
        <v/>
      </c>
      <c r="F391" s="19" t="str">
        <f>IF(VLOOKUP($B391,Q,9,FALSE)=0,"",(VLOOKUP($B391,Q,9,FALSE)))</f>
        <v/>
      </c>
      <c r="G391" s="2" t="str">
        <f>IF(VLOOKUP($B391,Q,10,FALSE)=0,"",(VLOOKUP($B391,Q,10,FALSE)))</f>
        <v/>
      </c>
      <c r="H391" s="2" t="str">
        <f>IF(VLOOKUP($B391,Q,14,FALSE)=0,"",(VLOOKUP($B391,Q,14,FALSE)))</f>
        <v/>
      </c>
      <c r="I391" s="2" t="str">
        <f>IF(VLOOKUP($B391,Q,14,FALSE)=0,"",(VLOOKUP($B391,Q,15,FALSE)))</f>
        <v/>
      </c>
      <c r="J391" s="2" t="str">
        <f>IF(VLOOKUP($B391,Q,14,FALSE)=0,"",(VLOOKUP($B391,Q,16,FALSE)))</f>
        <v/>
      </c>
      <c r="K391" s="2" t="str">
        <f>IF(VLOOKUP($B391,Q,14,FALSE)=0,"",(VLOOKUP($B391,Q,17,FALSE)))</f>
        <v/>
      </c>
    </row>
    <row r="392" spans="2:11" x14ac:dyDescent="0.6">
      <c r="B392" s="1">
        <v>395</v>
      </c>
      <c r="C392" s="2" t="str">
        <f>IF(VLOOKUP($B392,Q,2,FALSE)=0,"",(VLOOKUP($B392,Q,2,FALSE)))</f>
        <v/>
      </c>
      <c r="D392" s="2" t="str">
        <f>IF(VLOOKUP($B392,Q,3,FALSE)=0,"",(VLOOKUP($B392,Q,3,FALSE)))</f>
        <v/>
      </c>
      <c r="E392" s="2" t="str">
        <f>IF(VLOOKUP($B392,Q,8,FALSE)=0,"",(VLOOKUP($B392,Q,8,FALSE)))</f>
        <v/>
      </c>
      <c r="F392" s="19" t="str">
        <f>IF(VLOOKUP($B392,Q,9,FALSE)=0,"",(VLOOKUP($B392,Q,9,FALSE)))</f>
        <v/>
      </c>
      <c r="G392" s="2" t="str">
        <f>IF(VLOOKUP($B392,Q,10,FALSE)=0,"",(VLOOKUP($B392,Q,10,FALSE)))</f>
        <v/>
      </c>
      <c r="H392" s="2" t="str">
        <f>IF(VLOOKUP($B392,Q,14,FALSE)=0,"",(VLOOKUP($B392,Q,14,FALSE)))</f>
        <v/>
      </c>
      <c r="I392" s="2" t="str">
        <f>IF(VLOOKUP($B392,Q,14,FALSE)=0,"",(VLOOKUP($B392,Q,15,FALSE)))</f>
        <v/>
      </c>
      <c r="J392" s="2" t="str">
        <f>IF(VLOOKUP($B392,Q,14,FALSE)=0,"",(VLOOKUP($B392,Q,16,FALSE)))</f>
        <v/>
      </c>
      <c r="K392" s="2" t="str">
        <f>IF(VLOOKUP($B392,Q,14,FALSE)=0,"",(VLOOKUP($B392,Q,17,FALSE)))</f>
        <v/>
      </c>
    </row>
    <row r="393" spans="2:11" x14ac:dyDescent="0.6">
      <c r="B393" s="1">
        <v>396</v>
      </c>
      <c r="C393" s="2" t="str">
        <f>IF(VLOOKUP($B393,Q,2,FALSE)=0,"",(VLOOKUP($B393,Q,2,FALSE)))</f>
        <v/>
      </c>
      <c r="D393" s="2" t="str">
        <f>IF(VLOOKUP($B393,Q,3,FALSE)=0,"",(VLOOKUP($B393,Q,3,FALSE)))</f>
        <v/>
      </c>
      <c r="E393" s="2" t="str">
        <f>IF(VLOOKUP($B393,Q,8,FALSE)=0,"",(VLOOKUP($B393,Q,8,FALSE)))</f>
        <v/>
      </c>
      <c r="F393" s="19" t="str">
        <f>IF(VLOOKUP($B393,Q,9,FALSE)=0,"",(VLOOKUP($B393,Q,9,FALSE)))</f>
        <v/>
      </c>
      <c r="G393" s="2" t="str">
        <f>IF(VLOOKUP($B393,Q,10,FALSE)=0,"",(VLOOKUP($B393,Q,10,FALSE)))</f>
        <v/>
      </c>
      <c r="H393" s="2" t="str">
        <f>IF(VLOOKUP($B393,Q,14,FALSE)=0,"",(VLOOKUP($B393,Q,14,FALSE)))</f>
        <v/>
      </c>
      <c r="I393" s="2" t="str">
        <f>IF(VLOOKUP($B393,Q,14,FALSE)=0,"",(VLOOKUP($B393,Q,15,FALSE)))</f>
        <v/>
      </c>
      <c r="J393" s="2" t="str">
        <f>IF(VLOOKUP($B393,Q,14,FALSE)=0,"",(VLOOKUP($B393,Q,16,FALSE)))</f>
        <v/>
      </c>
      <c r="K393" s="2" t="str">
        <f>IF(VLOOKUP($B393,Q,14,FALSE)=0,"",(VLOOKUP($B393,Q,17,FALSE)))</f>
        <v/>
      </c>
    </row>
    <row r="394" spans="2:11" x14ac:dyDescent="0.6">
      <c r="B394" s="1">
        <v>397</v>
      </c>
      <c r="C394" s="2" t="str">
        <f>IF(VLOOKUP($B394,Q,2,FALSE)=0,"",(VLOOKUP($B394,Q,2,FALSE)))</f>
        <v/>
      </c>
      <c r="D394" s="2" t="str">
        <f>IF(VLOOKUP($B394,Q,3,FALSE)=0,"",(VLOOKUP($B394,Q,3,FALSE)))</f>
        <v/>
      </c>
      <c r="E394" s="2" t="str">
        <f>IF(VLOOKUP($B394,Q,8,FALSE)=0,"",(VLOOKUP($B394,Q,8,FALSE)))</f>
        <v/>
      </c>
      <c r="F394" s="19" t="str">
        <f>IF(VLOOKUP($B394,Q,9,FALSE)=0,"",(VLOOKUP($B394,Q,9,FALSE)))</f>
        <v/>
      </c>
      <c r="G394" s="2" t="str">
        <f>IF(VLOOKUP($B394,Q,10,FALSE)=0,"",(VLOOKUP($B394,Q,10,FALSE)))</f>
        <v/>
      </c>
      <c r="H394" s="2" t="str">
        <f>IF(VLOOKUP($B394,Q,14,FALSE)=0,"",(VLOOKUP($B394,Q,14,FALSE)))</f>
        <v/>
      </c>
      <c r="I394" s="2" t="str">
        <f>IF(VLOOKUP($B394,Q,14,FALSE)=0,"",(VLOOKUP($B394,Q,15,FALSE)))</f>
        <v/>
      </c>
      <c r="J394" s="2" t="str">
        <f>IF(VLOOKUP($B394,Q,14,FALSE)=0,"",(VLOOKUP($B394,Q,16,FALSE)))</f>
        <v/>
      </c>
      <c r="K394" s="2" t="str">
        <f>IF(VLOOKUP($B394,Q,14,FALSE)=0,"",(VLOOKUP($B394,Q,17,FALSE)))</f>
        <v/>
      </c>
    </row>
    <row r="395" spans="2:11" x14ac:dyDescent="0.6">
      <c r="B395" s="1">
        <v>398</v>
      </c>
      <c r="C395" s="2" t="str">
        <f>IF(VLOOKUP($B395,Q,2,FALSE)=0,"",(VLOOKUP($B395,Q,2,FALSE)))</f>
        <v/>
      </c>
      <c r="D395" s="2" t="str">
        <f>IF(VLOOKUP($B395,Q,3,FALSE)=0,"",(VLOOKUP($B395,Q,3,FALSE)))</f>
        <v/>
      </c>
      <c r="E395" s="2" t="str">
        <f>IF(VLOOKUP($B395,Q,8,FALSE)=0,"",(VLOOKUP($B395,Q,8,FALSE)))</f>
        <v/>
      </c>
      <c r="F395" s="19" t="str">
        <f>IF(VLOOKUP($B395,Q,9,FALSE)=0,"",(VLOOKUP($B395,Q,9,FALSE)))</f>
        <v/>
      </c>
      <c r="G395" s="2" t="str">
        <f>IF(VLOOKUP($B395,Q,10,FALSE)=0,"",(VLOOKUP($B395,Q,10,FALSE)))</f>
        <v/>
      </c>
      <c r="H395" s="2" t="str">
        <f>IF(VLOOKUP($B395,Q,14,FALSE)=0,"",(VLOOKUP($B395,Q,14,FALSE)))</f>
        <v/>
      </c>
      <c r="I395" s="2" t="str">
        <f>IF(VLOOKUP($B395,Q,14,FALSE)=0,"",(VLOOKUP($B395,Q,15,FALSE)))</f>
        <v/>
      </c>
      <c r="J395" s="2" t="str">
        <f>IF(VLOOKUP($B395,Q,14,FALSE)=0,"",(VLOOKUP($B395,Q,16,FALSE)))</f>
        <v/>
      </c>
      <c r="K395" s="2" t="str">
        <f>IF(VLOOKUP($B395,Q,14,FALSE)=0,"",(VLOOKUP($B395,Q,17,FALSE)))</f>
        <v/>
      </c>
    </row>
    <row r="396" spans="2:11" x14ac:dyDescent="0.6">
      <c r="B396" s="1">
        <v>399</v>
      </c>
      <c r="C396" s="2" t="str">
        <f>IF(VLOOKUP($B396,Q,2,FALSE)=0,"",(VLOOKUP($B396,Q,2,FALSE)))</f>
        <v/>
      </c>
      <c r="D396" s="2" t="str">
        <f>IF(VLOOKUP($B396,Q,3,FALSE)=0,"",(VLOOKUP($B396,Q,3,FALSE)))</f>
        <v/>
      </c>
      <c r="E396" s="2" t="str">
        <f>IF(VLOOKUP($B396,Q,8,FALSE)=0,"",(VLOOKUP($B396,Q,8,FALSE)))</f>
        <v/>
      </c>
      <c r="F396" s="19" t="str">
        <f>IF(VLOOKUP($B396,Q,9,FALSE)=0,"",(VLOOKUP($B396,Q,9,FALSE)))</f>
        <v/>
      </c>
      <c r="G396" s="2" t="str">
        <f>IF(VLOOKUP($B396,Q,10,FALSE)=0,"",(VLOOKUP($B396,Q,10,FALSE)))</f>
        <v/>
      </c>
      <c r="H396" s="2" t="str">
        <f>IF(VLOOKUP($B396,Q,14,FALSE)=0,"",(VLOOKUP($B396,Q,14,FALSE)))</f>
        <v/>
      </c>
      <c r="I396" s="2" t="str">
        <f>IF(VLOOKUP($B396,Q,14,FALSE)=0,"",(VLOOKUP($B396,Q,15,FALSE)))</f>
        <v/>
      </c>
      <c r="J396" s="2" t="str">
        <f>IF(VLOOKUP($B396,Q,14,FALSE)=0,"",(VLOOKUP($B396,Q,16,FALSE)))</f>
        <v/>
      </c>
      <c r="K396" s="2" t="str">
        <f>IF(VLOOKUP($B396,Q,14,FALSE)=0,"",(VLOOKUP($B396,Q,17,FALSE)))</f>
        <v/>
      </c>
    </row>
    <row r="397" spans="2:11" x14ac:dyDescent="0.6">
      <c r="B397" s="1">
        <v>400</v>
      </c>
      <c r="C397" s="2" t="str">
        <f>IF(VLOOKUP($B397,Q,2,FALSE)=0,"",(VLOOKUP($B397,Q,2,FALSE)))</f>
        <v/>
      </c>
      <c r="D397" s="2" t="str">
        <f>IF(VLOOKUP($B397,Q,3,FALSE)=0,"",(VLOOKUP($B397,Q,3,FALSE)))</f>
        <v/>
      </c>
      <c r="E397" s="2" t="str">
        <f>IF(VLOOKUP($B397,Q,8,FALSE)=0,"",(VLOOKUP($B397,Q,8,FALSE)))</f>
        <v/>
      </c>
      <c r="F397" s="19" t="str">
        <f>IF(VLOOKUP($B397,Q,9,FALSE)=0,"",(VLOOKUP($B397,Q,9,FALSE)))</f>
        <v/>
      </c>
      <c r="G397" s="2" t="str">
        <f>IF(VLOOKUP($B397,Q,10,FALSE)=0,"",(VLOOKUP($B397,Q,10,FALSE)))</f>
        <v/>
      </c>
      <c r="H397" s="2" t="str">
        <f>IF(VLOOKUP($B397,Q,14,FALSE)=0,"",(VLOOKUP($B397,Q,14,FALSE)))</f>
        <v/>
      </c>
      <c r="I397" s="2" t="str">
        <f>IF(VLOOKUP($B397,Q,14,FALSE)=0,"",(VLOOKUP($B397,Q,15,FALSE)))</f>
        <v/>
      </c>
      <c r="J397" s="2" t="str">
        <f>IF(VLOOKUP($B397,Q,14,FALSE)=0,"",(VLOOKUP($B397,Q,16,FALSE)))</f>
        <v/>
      </c>
      <c r="K397" s="2" t="str">
        <f>IF(VLOOKUP($B397,Q,14,FALSE)=0,"",(VLOOKUP($B397,Q,17,FALSE)))</f>
        <v/>
      </c>
    </row>
    <row r="398" spans="2:11" x14ac:dyDescent="0.6">
      <c r="B398" s="1">
        <v>401</v>
      </c>
      <c r="C398" s="2" t="str">
        <f>IF(VLOOKUP($B398,Q,2,FALSE)=0,"",(VLOOKUP($B398,Q,2,FALSE)))</f>
        <v/>
      </c>
      <c r="D398" s="2" t="str">
        <f>IF(VLOOKUP($B398,Q,3,FALSE)=0,"",(VLOOKUP($B398,Q,3,FALSE)))</f>
        <v/>
      </c>
      <c r="E398" s="2" t="str">
        <f>IF(VLOOKUP($B398,Q,8,FALSE)=0,"",(VLOOKUP($B398,Q,8,FALSE)))</f>
        <v/>
      </c>
      <c r="F398" s="19" t="str">
        <f>IF(VLOOKUP($B398,Q,9,FALSE)=0,"",(VLOOKUP($B398,Q,9,FALSE)))</f>
        <v/>
      </c>
      <c r="G398" s="2" t="str">
        <f>IF(VLOOKUP($B398,Q,10,FALSE)=0,"",(VLOOKUP($B398,Q,10,FALSE)))</f>
        <v/>
      </c>
      <c r="H398" s="2" t="str">
        <f>IF(VLOOKUP($B398,Q,14,FALSE)=0,"",(VLOOKUP($B398,Q,14,FALSE)))</f>
        <v/>
      </c>
      <c r="I398" s="2" t="str">
        <f>IF(VLOOKUP($B398,Q,14,FALSE)=0,"",(VLOOKUP($B398,Q,15,FALSE)))</f>
        <v/>
      </c>
      <c r="J398" s="2" t="str">
        <f>IF(VLOOKUP($B398,Q,14,FALSE)=0,"",(VLOOKUP($B398,Q,16,FALSE)))</f>
        <v/>
      </c>
      <c r="K398" s="2" t="str">
        <f>IF(VLOOKUP($B398,Q,14,FALSE)=0,"",(VLOOKUP($B398,Q,17,FALSE)))</f>
        <v/>
      </c>
    </row>
    <row r="399" spans="2:11" x14ac:dyDescent="0.6">
      <c r="B399" s="1">
        <v>402</v>
      </c>
      <c r="C399" s="2" t="str">
        <f>IF(VLOOKUP($B399,Q,2,FALSE)=0,"",(VLOOKUP($B399,Q,2,FALSE)))</f>
        <v/>
      </c>
      <c r="D399" s="2" t="str">
        <f>IF(VLOOKUP($B399,Q,3,FALSE)=0,"",(VLOOKUP($B399,Q,3,FALSE)))</f>
        <v/>
      </c>
      <c r="E399" s="2" t="str">
        <f>IF(VLOOKUP($B399,Q,8,FALSE)=0,"",(VLOOKUP($B399,Q,8,FALSE)))</f>
        <v/>
      </c>
      <c r="F399" s="19" t="str">
        <f>IF(VLOOKUP($B399,Q,9,FALSE)=0,"",(VLOOKUP($B399,Q,9,FALSE)))</f>
        <v/>
      </c>
      <c r="G399" s="2" t="str">
        <f>IF(VLOOKUP($B399,Q,10,FALSE)=0,"",(VLOOKUP($B399,Q,10,FALSE)))</f>
        <v/>
      </c>
      <c r="H399" s="2" t="str">
        <f>IF(VLOOKUP($B399,Q,14,FALSE)=0,"",(VLOOKUP($B399,Q,14,FALSE)))</f>
        <v/>
      </c>
      <c r="I399" s="2" t="str">
        <f>IF(VLOOKUP($B399,Q,14,FALSE)=0,"",(VLOOKUP($B399,Q,15,FALSE)))</f>
        <v/>
      </c>
      <c r="J399" s="2" t="str">
        <f>IF(VLOOKUP($B399,Q,14,FALSE)=0,"",(VLOOKUP($B399,Q,16,FALSE)))</f>
        <v/>
      </c>
      <c r="K399" s="2" t="str">
        <f>IF(VLOOKUP($B399,Q,14,FALSE)=0,"",(VLOOKUP($B399,Q,17,FALSE)))</f>
        <v/>
      </c>
    </row>
    <row r="400" spans="2:11" x14ac:dyDescent="0.6">
      <c r="B400" s="1">
        <v>403</v>
      </c>
      <c r="C400" s="2" t="str">
        <f>IF(VLOOKUP($B400,Q,2,FALSE)=0,"",(VLOOKUP($B400,Q,2,FALSE)))</f>
        <v/>
      </c>
      <c r="D400" s="2" t="str">
        <f>IF(VLOOKUP($B400,Q,3,FALSE)=0,"",(VLOOKUP($B400,Q,3,FALSE)))</f>
        <v/>
      </c>
      <c r="E400" s="2" t="str">
        <f>IF(VLOOKUP($B400,Q,8,FALSE)=0,"",(VLOOKUP($B400,Q,8,FALSE)))</f>
        <v/>
      </c>
      <c r="F400" s="19" t="str">
        <f>IF(VLOOKUP($B400,Q,9,FALSE)=0,"",(VLOOKUP($B400,Q,9,FALSE)))</f>
        <v/>
      </c>
      <c r="G400" s="2" t="str">
        <f>IF(VLOOKUP($B400,Q,10,FALSE)=0,"",(VLOOKUP($B400,Q,10,FALSE)))</f>
        <v/>
      </c>
      <c r="H400" s="2" t="str">
        <f>IF(VLOOKUP($B400,Q,14,FALSE)=0,"",(VLOOKUP($B400,Q,14,FALSE)))</f>
        <v/>
      </c>
      <c r="I400" s="2" t="str">
        <f>IF(VLOOKUP($B400,Q,14,FALSE)=0,"",(VLOOKUP($B400,Q,15,FALSE)))</f>
        <v/>
      </c>
      <c r="J400" s="2" t="str">
        <f>IF(VLOOKUP($B400,Q,14,FALSE)=0,"",(VLOOKUP($B400,Q,16,FALSE)))</f>
        <v/>
      </c>
      <c r="K400" s="2" t="str">
        <f>IF(VLOOKUP($B400,Q,14,FALSE)=0,"",(VLOOKUP($B400,Q,17,FALSE)))</f>
        <v/>
      </c>
    </row>
    <row r="401" spans="2:11" x14ac:dyDescent="0.6">
      <c r="B401" s="1">
        <v>404</v>
      </c>
      <c r="C401" s="2" t="str">
        <f>IF(VLOOKUP($B401,Q,2,FALSE)=0,"",(VLOOKUP($B401,Q,2,FALSE)))</f>
        <v/>
      </c>
      <c r="D401" s="2" t="str">
        <f>IF(VLOOKUP($B401,Q,3,FALSE)=0,"",(VLOOKUP($B401,Q,3,FALSE)))</f>
        <v/>
      </c>
      <c r="E401" s="2" t="str">
        <f>IF(VLOOKUP($B401,Q,8,FALSE)=0,"",(VLOOKUP($B401,Q,8,FALSE)))</f>
        <v/>
      </c>
      <c r="F401" s="19" t="str">
        <f>IF(VLOOKUP($B401,Q,9,FALSE)=0,"",(VLOOKUP($B401,Q,9,FALSE)))</f>
        <v/>
      </c>
      <c r="G401" s="2" t="str">
        <f>IF(VLOOKUP($B401,Q,10,FALSE)=0,"",(VLOOKUP($B401,Q,10,FALSE)))</f>
        <v/>
      </c>
      <c r="H401" s="2" t="str">
        <f>IF(VLOOKUP($B401,Q,14,FALSE)=0,"",(VLOOKUP($B401,Q,14,FALSE)))</f>
        <v/>
      </c>
      <c r="I401" s="2" t="str">
        <f>IF(VLOOKUP($B401,Q,14,FALSE)=0,"",(VLOOKUP($B401,Q,15,FALSE)))</f>
        <v/>
      </c>
      <c r="J401" s="2" t="str">
        <f>IF(VLOOKUP($B401,Q,14,FALSE)=0,"",(VLOOKUP($B401,Q,16,FALSE)))</f>
        <v/>
      </c>
      <c r="K401" s="2" t="str">
        <f>IF(VLOOKUP($B401,Q,14,FALSE)=0,"",(VLOOKUP($B401,Q,17,FALSE)))</f>
        <v/>
      </c>
    </row>
    <row r="402" spans="2:11" x14ac:dyDescent="0.6">
      <c r="B402" s="1">
        <v>405</v>
      </c>
      <c r="C402" s="2" t="str">
        <f>IF(VLOOKUP($B402,Q,2,FALSE)=0,"",(VLOOKUP($B402,Q,2,FALSE)))</f>
        <v/>
      </c>
      <c r="D402" s="2" t="str">
        <f>IF(VLOOKUP($B402,Q,3,FALSE)=0,"",(VLOOKUP($B402,Q,3,FALSE)))</f>
        <v/>
      </c>
      <c r="E402" s="2" t="str">
        <f>IF(VLOOKUP($B402,Q,8,FALSE)=0,"",(VLOOKUP($B402,Q,8,FALSE)))</f>
        <v/>
      </c>
      <c r="F402" s="19" t="str">
        <f>IF(VLOOKUP($B402,Q,9,FALSE)=0,"",(VLOOKUP($B402,Q,9,FALSE)))</f>
        <v/>
      </c>
      <c r="G402" s="2" t="str">
        <f>IF(VLOOKUP($B402,Q,10,FALSE)=0,"",(VLOOKUP($B402,Q,10,FALSE)))</f>
        <v/>
      </c>
      <c r="H402" s="2" t="str">
        <f>IF(VLOOKUP($B402,Q,14,FALSE)=0,"",(VLOOKUP($B402,Q,14,FALSE)))</f>
        <v/>
      </c>
      <c r="I402" s="2" t="str">
        <f>IF(VLOOKUP($B402,Q,14,FALSE)=0,"",(VLOOKUP($B402,Q,15,FALSE)))</f>
        <v/>
      </c>
      <c r="J402" s="2" t="str">
        <f>IF(VLOOKUP($B402,Q,14,FALSE)=0,"",(VLOOKUP($B402,Q,16,FALSE)))</f>
        <v/>
      </c>
      <c r="K402" s="2" t="str">
        <f>IF(VLOOKUP($B402,Q,14,FALSE)=0,"",(VLOOKUP($B402,Q,17,FALSE)))</f>
        <v/>
      </c>
    </row>
    <row r="403" spans="2:11" x14ac:dyDescent="0.6">
      <c r="B403" s="1">
        <v>406</v>
      </c>
      <c r="C403" s="2" t="str">
        <f>IF(VLOOKUP($B403,Q,2,FALSE)=0,"",(VLOOKUP($B403,Q,2,FALSE)))</f>
        <v/>
      </c>
      <c r="D403" s="2" t="str">
        <f>IF(VLOOKUP($B403,Q,3,FALSE)=0,"",(VLOOKUP($B403,Q,3,FALSE)))</f>
        <v/>
      </c>
      <c r="E403" s="2" t="str">
        <f>IF(VLOOKUP($B403,Q,8,FALSE)=0,"",(VLOOKUP($B403,Q,8,FALSE)))</f>
        <v/>
      </c>
      <c r="F403" s="19" t="str">
        <f>IF(VLOOKUP($B403,Q,9,FALSE)=0,"",(VLOOKUP($B403,Q,9,FALSE)))</f>
        <v/>
      </c>
      <c r="G403" s="2" t="str">
        <f>IF(VLOOKUP($B403,Q,10,FALSE)=0,"",(VLOOKUP($B403,Q,10,FALSE)))</f>
        <v/>
      </c>
      <c r="H403" s="2" t="str">
        <f>IF(VLOOKUP($B403,Q,14,FALSE)=0,"",(VLOOKUP($B403,Q,14,FALSE)))</f>
        <v/>
      </c>
      <c r="I403" s="2" t="str">
        <f>IF(VLOOKUP($B403,Q,14,FALSE)=0,"",(VLOOKUP($B403,Q,15,FALSE)))</f>
        <v/>
      </c>
      <c r="J403" s="2" t="str">
        <f>IF(VLOOKUP($B403,Q,14,FALSE)=0,"",(VLOOKUP($B403,Q,16,FALSE)))</f>
        <v/>
      </c>
      <c r="K403" s="2" t="str">
        <f>IF(VLOOKUP($B403,Q,14,FALSE)=0,"",(VLOOKUP($B403,Q,17,FALSE)))</f>
        <v/>
      </c>
    </row>
    <row r="404" spans="2:11" x14ac:dyDescent="0.6">
      <c r="B404" s="1">
        <v>407</v>
      </c>
      <c r="C404" s="2" t="str">
        <f>IF(VLOOKUP($B404,Q,2,FALSE)=0,"",(VLOOKUP($B404,Q,2,FALSE)))</f>
        <v/>
      </c>
      <c r="D404" s="2" t="str">
        <f>IF(VLOOKUP($B404,Q,3,FALSE)=0,"",(VLOOKUP($B404,Q,3,FALSE)))</f>
        <v/>
      </c>
      <c r="E404" s="2" t="str">
        <f>IF(VLOOKUP($B404,Q,8,FALSE)=0,"",(VLOOKUP($B404,Q,8,FALSE)))</f>
        <v/>
      </c>
      <c r="F404" s="19" t="str">
        <f>IF(VLOOKUP($B404,Q,9,FALSE)=0,"",(VLOOKUP($B404,Q,9,FALSE)))</f>
        <v/>
      </c>
      <c r="G404" s="2" t="str">
        <f>IF(VLOOKUP($B404,Q,10,FALSE)=0,"",(VLOOKUP($B404,Q,10,FALSE)))</f>
        <v/>
      </c>
      <c r="H404" s="2" t="str">
        <f>IF(VLOOKUP($B404,Q,14,FALSE)=0,"",(VLOOKUP($B404,Q,14,FALSE)))</f>
        <v/>
      </c>
      <c r="I404" s="2" t="str">
        <f>IF(VLOOKUP($B404,Q,14,FALSE)=0,"",(VLOOKUP($B404,Q,15,FALSE)))</f>
        <v/>
      </c>
      <c r="J404" s="2" t="str">
        <f>IF(VLOOKUP($B404,Q,14,FALSE)=0,"",(VLOOKUP($B404,Q,16,FALSE)))</f>
        <v/>
      </c>
      <c r="K404" s="2" t="str">
        <f>IF(VLOOKUP($B404,Q,14,FALSE)=0,"",(VLOOKUP($B404,Q,17,FALSE)))</f>
        <v/>
      </c>
    </row>
    <row r="405" spans="2:11" x14ac:dyDescent="0.6">
      <c r="B405" s="1">
        <v>408</v>
      </c>
      <c r="C405" s="2" t="str">
        <f>IF(VLOOKUP($B405,Q,2,FALSE)=0,"",(VLOOKUP($B405,Q,2,FALSE)))</f>
        <v/>
      </c>
      <c r="D405" s="2" t="str">
        <f>IF(VLOOKUP($B405,Q,3,FALSE)=0,"",(VLOOKUP($B405,Q,3,FALSE)))</f>
        <v/>
      </c>
      <c r="E405" s="2" t="str">
        <f>IF(VLOOKUP($B405,Q,8,FALSE)=0,"",(VLOOKUP($B405,Q,8,FALSE)))</f>
        <v/>
      </c>
      <c r="F405" s="19" t="str">
        <f>IF(VLOOKUP($B405,Q,9,FALSE)=0,"",(VLOOKUP($B405,Q,9,FALSE)))</f>
        <v/>
      </c>
      <c r="G405" s="2" t="str">
        <f>IF(VLOOKUP($B405,Q,10,FALSE)=0,"",(VLOOKUP($B405,Q,10,FALSE)))</f>
        <v/>
      </c>
      <c r="H405" s="2" t="str">
        <f>IF(VLOOKUP($B405,Q,14,FALSE)=0,"",(VLOOKUP($B405,Q,14,FALSE)))</f>
        <v/>
      </c>
      <c r="I405" s="2" t="str">
        <f>IF(VLOOKUP($B405,Q,14,FALSE)=0,"",(VLOOKUP($B405,Q,15,FALSE)))</f>
        <v/>
      </c>
      <c r="J405" s="2" t="str">
        <f>IF(VLOOKUP($B405,Q,14,FALSE)=0,"",(VLOOKUP($B405,Q,16,FALSE)))</f>
        <v/>
      </c>
      <c r="K405" s="2" t="str">
        <f>IF(VLOOKUP($B405,Q,14,FALSE)=0,"",(VLOOKUP($B405,Q,17,FALSE)))</f>
        <v/>
      </c>
    </row>
    <row r="406" spans="2:11" x14ac:dyDescent="0.6">
      <c r="B406" s="1">
        <v>409</v>
      </c>
      <c r="C406" s="2" t="str">
        <f>IF(VLOOKUP($B406,Q,2,FALSE)=0,"",(VLOOKUP($B406,Q,2,FALSE)))</f>
        <v/>
      </c>
      <c r="D406" s="2" t="str">
        <f>IF(VLOOKUP($B406,Q,3,FALSE)=0,"",(VLOOKUP($B406,Q,3,FALSE)))</f>
        <v/>
      </c>
      <c r="E406" s="2" t="str">
        <f>IF(VLOOKUP($B406,Q,8,FALSE)=0,"",(VLOOKUP($B406,Q,8,FALSE)))</f>
        <v/>
      </c>
      <c r="F406" s="19" t="str">
        <f>IF(VLOOKUP($B406,Q,9,FALSE)=0,"",(VLOOKUP($B406,Q,9,FALSE)))</f>
        <v/>
      </c>
      <c r="G406" s="2" t="str">
        <f>IF(VLOOKUP($B406,Q,10,FALSE)=0,"",(VLOOKUP($B406,Q,10,FALSE)))</f>
        <v/>
      </c>
      <c r="H406" s="2" t="str">
        <f>IF(VLOOKUP($B406,Q,14,FALSE)=0,"",(VLOOKUP($B406,Q,14,FALSE)))</f>
        <v/>
      </c>
      <c r="I406" s="2" t="str">
        <f>IF(VLOOKUP($B406,Q,14,FALSE)=0,"",(VLOOKUP($B406,Q,15,FALSE)))</f>
        <v/>
      </c>
      <c r="J406" s="2" t="str">
        <f>IF(VLOOKUP($B406,Q,14,FALSE)=0,"",(VLOOKUP($B406,Q,16,FALSE)))</f>
        <v/>
      </c>
      <c r="K406" s="2" t="str">
        <f>IF(VLOOKUP($B406,Q,14,FALSE)=0,"",(VLOOKUP($B406,Q,17,FALSE)))</f>
        <v/>
      </c>
    </row>
    <row r="407" spans="2:11" x14ac:dyDescent="0.6">
      <c r="B407" s="1">
        <v>410</v>
      </c>
      <c r="C407" s="2" t="str">
        <f>IF(VLOOKUP($B407,Q,2,FALSE)=0,"",(VLOOKUP($B407,Q,2,FALSE)))</f>
        <v/>
      </c>
      <c r="D407" s="2" t="str">
        <f>IF(VLOOKUP($B407,Q,3,FALSE)=0,"",(VLOOKUP($B407,Q,3,FALSE)))</f>
        <v/>
      </c>
      <c r="E407" s="2" t="str">
        <f>IF(VLOOKUP($B407,Q,8,FALSE)=0,"",(VLOOKUP($B407,Q,8,FALSE)))</f>
        <v/>
      </c>
      <c r="F407" s="19" t="str">
        <f>IF(VLOOKUP($B407,Q,9,FALSE)=0,"",(VLOOKUP($B407,Q,9,FALSE)))</f>
        <v/>
      </c>
      <c r="G407" s="2" t="str">
        <f>IF(VLOOKUP($B407,Q,10,FALSE)=0,"",(VLOOKUP($B407,Q,10,FALSE)))</f>
        <v/>
      </c>
      <c r="H407" s="2" t="str">
        <f>IF(VLOOKUP($B407,Q,14,FALSE)=0,"",(VLOOKUP($B407,Q,14,FALSE)))</f>
        <v/>
      </c>
      <c r="I407" s="2" t="str">
        <f>IF(VLOOKUP($B407,Q,14,FALSE)=0,"",(VLOOKUP($B407,Q,15,FALSE)))</f>
        <v/>
      </c>
      <c r="J407" s="2" t="str">
        <f>IF(VLOOKUP($B407,Q,14,FALSE)=0,"",(VLOOKUP($B407,Q,16,FALSE)))</f>
        <v/>
      </c>
      <c r="K407" s="2" t="str">
        <f>IF(VLOOKUP($B407,Q,14,FALSE)=0,"",(VLOOKUP($B407,Q,17,FALSE)))</f>
        <v/>
      </c>
    </row>
    <row r="408" spans="2:11" x14ac:dyDescent="0.6">
      <c r="B408" s="1">
        <v>411</v>
      </c>
      <c r="C408" s="2" t="str">
        <f>IF(VLOOKUP($B408,Q,2,FALSE)=0,"",(VLOOKUP($B408,Q,2,FALSE)))</f>
        <v/>
      </c>
      <c r="D408" s="2" t="str">
        <f>IF(VLOOKUP($B408,Q,3,FALSE)=0,"",(VLOOKUP($B408,Q,3,FALSE)))</f>
        <v/>
      </c>
      <c r="E408" s="2" t="str">
        <f>IF(VLOOKUP($B408,Q,8,FALSE)=0,"",(VLOOKUP($B408,Q,8,FALSE)))</f>
        <v/>
      </c>
      <c r="F408" s="19" t="str">
        <f>IF(VLOOKUP($B408,Q,9,FALSE)=0,"",(VLOOKUP($B408,Q,9,FALSE)))</f>
        <v/>
      </c>
      <c r="G408" s="2" t="str">
        <f>IF(VLOOKUP($B408,Q,10,FALSE)=0,"",(VLOOKUP($B408,Q,10,FALSE)))</f>
        <v/>
      </c>
      <c r="H408" s="2" t="str">
        <f>IF(VLOOKUP($B408,Q,14,FALSE)=0,"",(VLOOKUP($B408,Q,14,FALSE)))</f>
        <v/>
      </c>
      <c r="I408" s="2" t="str">
        <f>IF(VLOOKUP($B408,Q,14,FALSE)=0,"",(VLOOKUP($B408,Q,15,FALSE)))</f>
        <v/>
      </c>
      <c r="J408" s="2" t="str">
        <f>IF(VLOOKUP($B408,Q,14,FALSE)=0,"",(VLOOKUP($B408,Q,16,FALSE)))</f>
        <v/>
      </c>
      <c r="K408" s="2" t="str">
        <f>IF(VLOOKUP($B408,Q,14,FALSE)=0,"",(VLOOKUP($B408,Q,17,FALSE)))</f>
        <v/>
      </c>
    </row>
    <row r="409" spans="2:11" x14ac:dyDescent="0.6">
      <c r="B409" s="1">
        <v>412</v>
      </c>
      <c r="C409" s="2" t="str">
        <f>IF(VLOOKUP($B409,Q,2,FALSE)=0,"",(VLOOKUP($B409,Q,2,FALSE)))</f>
        <v/>
      </c>
      <c r="D409" s="2" t="str">
        <f>IF(VLOOKUP($B409,Q,3,FALSE)=0,"",(VLOOKUP($B409,Q,3,FALSE)))</f>
        <v/>
      </c>
      <c r="E409" s="2" t="str">
        <f>IF(VLOOKUP($B409,Q,8,FALSE)=0,"",(VLOOKUP($B409,Q,8,FALSE)))</f>
        <v/>
      </c>
      <c r="F409" s="19" t="str">
        <f>IF(VLOOKUP($B409,Q,9,FALSE)=0,"",(VLOOKUP($B409,Q,9,FALSE)))</f>
        <v/>
      </c>
      <c r="G409" s="2" t="str">
        <f>IF(VLOOKUP($B409,Q,10,FALSE)=0,"",(VLOOKUP($B409,Q,10,FALSE)))</f>
        <v/>
      </c>
      <c r="H409" s="2" t="str">
        <f>IF(VLOOKUP($B409,Q,14,FALSE)=0,"",(VLOOKUP($B409,Q,14,FALSE)))</f>
        <v/>
      </c>
      <c r="I409" s="2" t="str">
        <f>IF(VLOOKUP($B409,Q,14,FALSE)=0,"",(VLOOKUP($B409,Q,15,FALSE)))</f>
        <v/>
      </c>
      <c r="J409" s="2" t="str">
        <f>IF(VLOOKUP($B409,Q,14,FALSE)=0,"",(VLOOKUP($B409,Q,16,FALSE)))</f>
        <v/>
      </c>
      <c r="K409" s="2" t="str">
        <f>IF(VLOOKUP($B409,Q,14,FALSE)=0,"",(VLOOKUP($B409,Q,17,FALSE)))</f>
        <v/>
      </c>
    </row>
    <row r="410" spans="2:11" x14ac:dyDescent="0.6">
      <c r="B410" s="1">
        <v>413</v>
      </c>
      <c r="C410" s="2" t="str">
        <f>IF(VLOOKUP($B410,Q,2,FALSE)=0,"",(VLOOKUP($B410,Q,2,FALSE)))</f>
        <v/>
      </c>
      <c r="D410" s="2" t="str">
        <f>IF(VLOOKUP($B410,Q,3,FALSE)=0,"",(VLOOKUP($B410,Q,3,FALSE)))</f>
        <v/>
      </c>
      <c r="E410" s="2" t="str">
        <f>IF(VLOOKUP($B410,Q,8,FALSE)=0,"",(VLOOKUP($B410,Q,8,FALSE)))</f>
        <v/>
      </c>
      <c r="F410" s="19" t="str">
        <f>IF(VLOOKUP($B410,Q,9,FALSE)=0,"",(VLOOKUP($B410,Q,9,FALSE)))</f>
        <v/>
      </c>
      <c r="G410" s="2" t="str">
        <f>IF(VLOOKUP($B410,Q,10,FALSE)=0,"",(VLOOKUP($B410,Q,10,FALSE)))</f>
        <v/>
      </c>
      <c r="H410" s="2" t="str">
        <f>IF(VLOOKUP($B410,Q,14,FALSE)=0,"",(VLOOKUP($B410,Q,14,FALSE)))</f>
        <v/>
      </c>
      <c r="I410" s="2" t="str">
        <f>IF(VLOOKUP($B410,Q,14,FALSE)=0,"",(VLOOKUP($B410,Q,15,FALSE)))</f>
        <v/>
      </c>
      <c r="J410" s="2" t="str">
        <f>IF(VLOOKUP($B410,Q,14,FALSE)=0,"",(VLOOKUP($B410,Q,16,FALSE)))</f>
        <v/>
      </c>
      <c r="K410" s="2" t="str">
        <f>IF(VLOOKUP($B410,Q,14,FALSE)=0,"",(VLOOKUP($B410,Q,17,FALSE)))</f>
        <v/>
      </c>
    </row>
    <row r="411" spans="2:11" x14ac:dyDescent="0.6">
      <c r="B411" s="1">
        <v>414</v>
      </c>
      <c r="C411" s="2" t="str">
        <f>IF(VLOOKUP($B411,Q,2,FALSE)=0,"",(VLOOKUP($B411,Q,2,FALSE)))</f>
        <v/>
      </c>
      <c r="D411" s="2" t="str">
        <f>IF(VLOOKUP($B411,Q,3,FALSE)=0,"",(VLOOKUP($B411,Q,3,FALSE)))</f>
        <v/>
      </c>
      <c r="E411" s="2" t="str">
        <f>IF(VLOOKUP($B411,Q,8,FALSE)=0,"",(VLOOKUP($B411,Q,8,FALSE)))</f>
        <v/>
      </c>
      <c r="F411" s="19" t="str">
        <f>IF(VLOOKUP($B411,Q,9,FALSE)=0,"",(VLOOKUP($B411,Q,9,FALSE)))</f>
        <v/>
      </c>
      <c r="G411" s="2" t="str">
        <f>IF(VLOOKUP($B411,Q,10,FALSE)=0,"",(VLOOKUP($B411,Q,10,FALSE)))</f>
        <v/>
      </c>
      <c r="H411" s="2" t="str">
        <f>IF(VLOOKUP($B411,Q,14,FALSE)=0,"",(VLOOKUP($B411,Q,14,FALSE)))</f>
        <v/>
      </c>
      <c r="I411" s="2" t="str">
        <f>IF(VLOOKUP($B411,Q,14,FALSE)=0,"",(VLOOKUP($B411,Q,15,FALSE)))</f>
        <v/>
      </c>
      <c r="J411" s="2" t="str">
        <f>IF(VLOOKUP($B411,Q,14,FALSE)=0,"",(VLOOKUP($B411,Q,16,FALSE)))</f>
        <v/>
      </c>
      <c r="K411" s="2" t="str">
        <f>IF(VLOOKUP($B411,Q,14,FALSE)=0,"",(VLOOKUP($B411,Q,17,FALSE)))</f>
        <v/>
      </c>
    </row>
    <row r="412" spans="2:11" x14ac:dyDescent="0.6">
      <c r="B412" s="1">
        <v>415</v>
      </c>
      <c r="C412" s="2" t="str">
        <f>IF(VLOOKUP($B412,Q,2,FALSE)=0,"",(VLOOKUP($B412,Q,2,FALSE)))</f>
        <v/>
      </c>
      <c r="D412" s="2" t="str">
        <f>IF(VLOOKUP($B412,Q,3,FALSE)=0,"",(VLOOKUP($B412,Q,3,FALSE)))</f>
        <v/>
      </c>
      <c r="E412" s="2" t="str">
        <f>IF(VLOOKUP($B412,Q,8,FALSE)=0,"",(VLOOKUP($B412,Q,8,FALSE)))</f>
        <v/>
      </c>
      <c r="F412" s="19" t="str">
        <f>IF(VLOOKUP($B412,Q,9,FALSE)=0,"",(VLOOKUP($B412,Q,9,FALSE)))</f>
        <v/>
      </c>
      <c r="G412" s="2" t="str">
        <f>IF(VLOOKUP($B412,Q,10,FALSE)=0,"",(VLOOKUP($B412,Q,10,FALSE)))</f>
        <v/>
      </c>
      <c r="H412" s="2" t="str">
        <f>IF(VLOOKUP($B412,Q,14,FALSE)=0,"",(VLOOKUP($B412,Q,14,FALSE)))</f>
        <v/>
      </c>
      <c r="I412" s="2" t="str">
        <f>IF(VLOOKUP($B412,Q,14,FALSE)=0,"",(VLOOKUP($B412,Q,15,FALSE)))</f>
        <v/>
      </c>
      <c r="J412" s="2" t="str">
        <f>IF(VLOOKUP($B412,Q,14,FALSE)=0,"",(VLOOKUP($B412,Q,16,FALSE)))</f>
        <v/>
      </c>
      <c r="K412" s="2" t="str">
        <f>IF(VLOOKUP($B412,Q,14,FALSE)=0,"",(VLOOKUP($B412,Q,17,FALSE)))</f>
        <v/>
      </c>
    </row>
    <row r="413" spans="2:11" x14ac:dyDescent="0.6">
      <c r="B413" s="1">
        <v>416</v>
      </c>
      <c r="C413" s="2" t="str">
        <f>IF(VLOOKUP($B413,Q,2,FALSE)=0,"",(VLOOKUP($B413,Q,2,FALSE)))</f>
        <v/>
      </c>
      <c r="D413" s="2" t="str">
        <f>IF(VLOOKUP($B413,Q,3,FALSE)=0,"",(VLOOKUP($B413,Q,3,FALSE)))</f>
        <v/>
      </c>
      <c r="E413" s="2" t="str">
        <f>IF(VLOOKUP($B413,Q,8,FALSE)=0,"",(VLOOKUP($B413,Q,8,FALSE)))</f>
        <v/>
      </c>
      <c r="F413" s="19" t="str">
        <f>IF(VLOOKUP($B413,Q,9,FALSE)=0,"",(VLOOKUP($B413,Q,9,FALSE)))</f>
        <v/>
      </c>
      <c r="G413" s="2" t="str">
        <f>IF(VLOOKUP($B413,Q,10,FALSE)=0,"",(VLOOKUP($B413,Q,10,FALSE)))</f>
        <v/>
      </c>
      <c r="H413" s="2" t="str">
        <f>IF(VLOOKUP($B413,Q,14,FALSE)=0,"",(VLOOKUP($B413,Q,14,FALSE)))</f>
        <v/>
      </c>
      <c r="I413" s="2" t="str">
        <f>IF(VLOOKUP($B413,Q,14,FALSE)=0,"",(VLOOKUP($B413,Q,15,FALSE)))</f>
        <v/>
      </c>
      <c r="J413" s="2" t="str">
        <f>IF(VLOOKUP($B413,Q,14,FALSE)=0,"",(VLOOKUP($B413,Q,16,FALSE)))</f>
        <v/>
      </c>
      <c r="K413" s="2" t="str">
        <f>IF(VLOOKUP($B413,Q,14,FALSE)=0,"",(VLOOKUP($B413,Q,17,FALSE)))</f>
        <v/>
      </c>
    </row>
    <row r="414" spans="2:11" x14ac:dyDescent="0.6">
      <c r="B414" s="1">
        <v>417</v>
      </c>
      <c r="C414" s="2" t="str">
        <f>IF(VLOOKUP($B414,Q,2,FALSE)=0,"",(VLOOKUP($B414,Q,2,FALSE)))</f>
        <v/>
      </c>
      <c r="D414" s="2" t="str">
        <f>IF(VLOOKUP($B414,Q,3,FALSE)=0,"",(VLOOKUP($B414,Q,3,FALSE)))</f>
        <v/>
      </c>
      <c r="E414" s="2" t="str">
        <f>IF(VLOOKUP($B414,Q,8,FALSE)=0,"",(VLOOKUP($B414,Q,8,FALSE)))</f>
        <v/>
      </c>
      <c r="F414" s="19" t="str">
        <f>IF(VLOOKUP($B414,Q,9,FALSE)=0,"",(VLOOKUP($B414,Q,9,FALSE)))</f>
        <v/>
      </c>
      <c r="G414" s="2" t="str">
        <f>IF(VLOOKUP($B414,Q,10,FALSE)=0,"",(VLOOKUP($B414,Q,10,FALSE)))</f>
        <v/>
      </c>
      <c r="H414" s="2" t="str">
        <f>IF(VLOOKUP($B414,Q,14,FALSE)=0,"",(VLOOKUP($B414,Q,14,FALSE)))</f>
        <v/>
      </c>
      <c r="I414" s="2" t="str">
        <f>IF(VLOOKUP($B414,Q,14,FALSE)=0,"",(VLOOKUP($B414,Q,15,FALSE)))</f>
        <v/>
      </c>
      <c r="J414" s="2" t="str">
        <f>IF(VLOOKUP($B414,Q,14,FALSE)=0,"",(VLOOKUP($B414,Q,16,FALSE)))</f>
        <v/>
      </c>
      <c r="K414" s="2" t="str">
        <f>IF(VLOOKUP($B414,Q,14,FALSE)=0,"",(VLOOKUP($B414,Q,17,FALSE)))</f>
        <v/>
      </c>
    </row>
    <row r="415" spans="2:11" x14ac:dyDescent="0.6">
      <c r="B415" s="1">
        <v>418</v>
      </c>
      <c r="C415" s="2" t="str">
        <f>IF(VLOOKUP($B415,Q,2,FALSE)=0,"",(VLOOKUP($B415,Q,2,FALSE)))</f>
        <v/>
      </c>
      <c r="D415" s="2" t="str">
        <f>IF(VLOOKUP($B415,Q,3,FALSE)=0,"",(VLOOKUP($B415,Q,3,FALSE)))</f>
        <v/>
      </c>
      <c r="E415" s="2" t="str">
        <f>IF(VLOOKUP($B415,Q,8,FALSE)=0,"",(VLOOKUP($B415,Q,8,FALSE)))</f>
        <v/>
      </c>
      <c r="F415" s="19" t="str">
        <f>IF(VLOOKUP($B415,Q,9,FALSE)=0,"",(VLOOKUP($B415,Q,9,FALSE)))</f>
        <v/>
      </c>
      <c r="G415" s="2" t="str">
        <f>IF(VLOOKUP($B415,Q,10,FALSE)=0,"",(VLOOKUP($B415,Q,10,FALSE)))</f>
        <v/>
      </c>
      <c r="H415" s="2" t="str">
        <f>IF(VLOOKUP($B415,Q,14,FALSE)=0,"",(VLOOKUP($B415,Q,14,FALSE)))</f>
        <v/>
      </c>
      <c r="I415" s="2" t="str">
        <f>IF(VLOOKUP($B415,Q,14,FALSE)=0,"",(VLOOKUP($B415,Q,15,FALSE)))</f>
        <v/>
      </c>
      <c r="J415" s="2" t="str">
        <f>IF(VLOOKUP($B415,Q,14,FALSE)=0,"",(VLOOKUP($B415,Q,16,FALSE)))</f>
        <v/>
      </c>
      <c r="K415" s="2" t="str">
        <f>IF(VLOOKUP($B415,Q,14,FALSE)=0,"",(VLOOKUP($B415,Q,17,FALSE)))</f>
        <v/>
      </c>
    </row>
    <row r="416" spans="2:11" x14ac:dyDescent="0.6">
      <c r="B416" s="1">
        <v>419</v>
      </c>
      <c r="C416" s="2" t="str">
        <f>IF(VLOOKUP($B416,Q,2,FALSE)=0,"",(VLOOKUP($B416,Q,2,FALSE)))</f>
        <v/>
      </c>
      <c r="D416" s="2" t="str">
        <f>IF(VLOOKUP($B416,Q,3,FALSE)=0,"",(VLOOKUP($B416,Q,3,FALSE)))</f>
        <v/>
      </c>
      <c r="E416" s="2" t="str">
        <f>IF(VLOOKUP($B416,Q,8,FALSE)=0,"",(VLOOKUP($B416,Q,8,FALSE)))</f>
        <v/>
      </c>
      <c r="F416" s="19" t="str">
        <f>IF(VLOOKUP($B416,Q,9,FALSE)=0,"",(VLOOKUP($B416,Q,9,FALSE)))</f>
        <v/>
      </c>
      <c r="G416" s="2" t="str">
        <f>IF(VLOOKUP($B416,Q,10,FALSE)=0,"",(VLOOKUP($B416,Q,10,FALSE)))</f>
        <v/>
      </c>
      <c r="H416" s="2" t="str">
        <f>IF(VLOOKUP($B416,Q,14,FALSE)=0,"",(VLOOKUP($B416,Q,14,FALSE)))</f>
        <v/>
      </c>
      <c r="I416" s="2" t="str">
        <f>IF(VLOOKUP($B416,Q,14,FALSE)=0,"",(VLOOKUP($B416,Q,15,FALSE)))</f>
        <v/>
      </c>
      <c r="J416" s="2" t="str">
        <f>IF(VLOOKUP($B416,Q,14,FALSE)=0,"",(VLOOKUP($B416,Q,16,FALSE)))</f>
        <v/>
      </c>
      <c r="K416" s="2" t="str">
        <f>IF(VLOOKUP($B416,Q,14,FALSE)=0,"",(VLOOKUP($B416,Q,17,FALSE)))</f>
        <v/>
      </c>
    </row>
    <row r="417" spans="2:11" x14ac:dyDescent="0.6">
      <c r="B417" s="1">
        <v>420</v>
      </c>
      <c r="C417" s="2" t="str">
        <f>IF(VLOOKUP($B417,Q,2,FALSE)=0,"",(VLOOKUP($B417,Q,2,FALSE)))</f>
        <v/>
      </c>
      <c r="D417" s="2" t="str">
        <f>IF(VLOOKUP($B417,Q,3,FALSE)=0,"",(VLOOKUP($B417,Q,3,FALSE)))</f>
        <v/>
      </c>
      <c r="E417" s="2" t="str">
        <f>IF(VLOOKUP($B417,Q,8,FALSE)=0,"",(VLOOKUP($B417,Q,8,FALSE)))</f>
        <v/>
      </c>
      <c r="F417" s="19" t="str">
        <f>IF(VLOOKUP($B417,Q,9,FALSE)=0,"",(VLOOKUP($B417,Q,9,FALSE)))</f>
        <v/>
      </c>
      <c r="G417" s="2" t="str">
        <f>IF(VLOOKUP($B417,Q,10,FALSE)=0,"",(VLOOKUP($B417,Q,10,FALSE)))</f>
        <v/>
      </c>
      <c r="H417" s="2" t="str">
        <f>IF(VLOOKUP($B417,Q,14,FALSE)=0,"",(VLOOKUP($B417,Q,14,FALSE)))</f>
        <v/>
      </c>
      <c r="I417" s="2" t="str">
        <f>IF(VLOOKUP($B417,Q,14,FALSE)=0,"",(VLOOKUP($B417,Q,15,FALSE)))</f>
        <v/>
      </c>
      <c r="J417" s="2" t="str">
        <f>IF(VLOOKUP($B417,Q,14,FALSE)=0,"",(VLOOKUP($B417,Q,16,FALSE)))</f>
        <v/>
      </c>
      <c r="K417" s="2" t="str">
        <f>IF(VLOOKUP($B417,Q,14,FALSE)=0,"",(VLOOKUP($B417,Q,17,FALSE)))</f>
        <v/>
      </c>
    </row>
    <row r="418" spans="2:11" x14ac:dyDescent="0.6">
      <c r="B418" s="1">
        <v>421</v>
      </c>
      <c r="C418" s="2" t="str">
        <f>IF(VLOOKUP($B418,Q,2,FALSE)=0,"",(VLOOKUP($B418,Q,2,FALSE)))</f>
        <v/>
      </c>
      <c r="D418" s="2" t="str">
        <f>IF(VLOOKUP($B418,Q,3,FALSE)=0,"",(VLOOKUP($B418,Q,3,FALSE)))</f>
        <v/>
      </c>
      <c r="E418" s="2" t="str">
        <f>IF(VLOOKUP($B418,Q,8,FALSE)=0,"",(VLOOKUP($B418,Q,8,FALSE)))</f>
        <v/>
      </c>
      <c r="F418" s="19" t="str">
        <f>IF(VLOOKUP($B418,Q,9,FALSE)=0,"",(VLOOKUP($B418,Q,9,FALSE)))</f>
        <v/>
      </c>
      <c r="G418" s="2" t="str">
        <f>IF(VLOOKUP($B418,Q,10,FALSE)=0,"",(VLOOKUP($B418,Q,10,FALSE)))</f>
        <v/>
      </c>
      <c r="H418" s="2" t="str">
        <f>IF(VLOOKUP($B418,Q,14,FALSE)=0,"",(VLOOKUP($B418,Q,14,FALSE)))</f>
        <v/>
      </c>
      <c r="I418" s="2" t="str">
        <f>IF(VLOOKUP($B418,Q,14,FALSE)=0,"",(VLOOKUP($B418,Q,15,FALSE)))</f>
        <v/>
      </c>
      <c r="J418" s="2" t="str">
        <f>IF(VLOOKUP($B418,Q,14,FALSE)=0,"",(VLOOKUP($B418,Q,16,FALSE)))</f>
        <v/>
      </c>
      <c r="K418" s="2" t="str">
        <f>IF(VLOOKUP($B418,Q,14,FALSE)=0,"",(VLOOKUP($B418,Q,17,FALSE)))</f>
        <v/>
      </c>
    </row>
    <row r="419" spans="2:11" x14ac:dyDescent="0.6">
      <c r="B419" s="1">
        <v>422</v>
      </c>
      <c r="C419" s="2" t="str">
        <f>IF(VLOOKUP($B419,Q,2,FALSE)=0,"",(VLOOKUP($B419,Q,2,FALSE)))</f>
        <v/>
      </c>
      <c r="D419" s="2" t="str">
        <f>IF(VLOOKUP($B419,Q,3,FALSE)=0,"",(VLOOKUP($B419,Q,3,FALSE)))</f>
        <v/>
      </c>
      <c r="E419" s="2" t="str">
        <f>IF(VLOOKUP($B419,Q,8,FALSE)=0,"",(VLOOKUP($B419,Q,8,FALSE)))</f>
        <v/>
      </c>
      <c r="F419" s="19" t="str">
        <f>IF(VLOOKUP($B419,Q,9,FALSE)=0,"",(VLOOKUP($B419,Q,9,FALSE)))</f>
        <v/>
      </c>
      <c r="G419" s="2" t="str">
        <f>IF(VLOOKUP($B419,Q,10,FALSE)=0,"",(VLOOKUP($B419,Q,10,FALSE)))</f>
        <v/>
      </c>
      <c r="H419" s="2" t="str">
        <f>IF(VLOOKUP($B419,Q,14,FALSE)=0,"",(VLOOKUP($B419,Q,14,FALSE)))</f>
        <v/>
      </c>
      <c r="I419" s="2" t="str">
        <f>IF(VLOOKUP($B419,Q,14,FALSE)=0,"",(VLOOKUP($B419,Q,15,FALSE)))</f>
        <v/>
      </c>
      <c r="J419" s="2" t="str">
        <f>IF(VLOOKUP($B419,Q,14,FALSE)=0,"",(VLOOKUP($B419,Q,16,FALSE)))</f>
        <v/>
      </c>
      <c r="K419" s="2" t="str">
        <f>IF(VLOOKUP($B419,Q,14,FALSE)=0,"",(VLOOKUP($B419,Q,17,FALSE)))</f>
        <v/>
      </c>
    </row>
    <row r="420" spans="2:11" x14ac:dyDescent="0.6">
      <c r="B420" s="1">
        <v>423</v>
      </c>
      <c r="C420" s="2" t="str">
        <f>IF(VLOOKUP($B420,Q,2,FALSE)=0,"",(VLOOKUP($B420,Q,2,FALSE)))</f>
        <v/>
      </c>
      <c r="D420" s="2" t="str">
        <f>IF(VLOOKUP($B420,Q,3,FALSE)=0,"",(VLOOKUP($B420,Q,3,FALSE)))</f>
        <v/>
      </c>
      <c r="E420" s="2" t="str">
        <f>IF(VLOOKUP($B420,Q,8,FALSE)=0,"",(VLOOKUP($B420,Q,8,FALSE)))</f>
        <v/>
      </c>
      <c r="F420" s="19" t="str">
        <f>IF(VLOOKUP($B420,Q,9,FALSE)=0,"",(VLOOKUP($B420,Q,9,FALSE)))</f>
        <v/>
      </c>
      <c r="G420" s="2" t="str">
        <f>IF(VLOOKUP($B420,Q,10,FALSE)=0,"",(VLOOKUP($B420,Q,10,FALSE)))</f>
        <v/>
      </c>
      <c r="H420" s="2" t="str">
        <f>IF(VLOOKUP($B420,Q,14,FALSE)=0,"",(VLOOKUP($B420,Q,14,FALSE)))</f>
        <v/>
      </c>
      <c r="I420" s="2" t="str">
        <f>IF(VLOOKUP($B420,Q,14,FALSE)=0,"",(VLOOKUP($B420,Q,15,FALSE)))</f>
        <v/>
      </c>
      <c r="J420" s="2" t="str">
        <f>IF(VLOOKUP($B420,Q,14,FALSE)=0,"",(VLOOKUP($B420,Q,16,FALSE)))</f>
        <v/>
      </c>
      <c r="K420" s="2" t="str">
        <f>IF(VLOOKUP($B420,Q,14,FALSE)=0,"",(VLOOKUP($B420,Q,17,FALSE)))</f>
        <v/>
      </c>
    </row>
    <row r="421" spans="2:11" x14ac:dyDescent="0.6">
      <c r="B421" s="1">
        <v>424</v>
      </c>
      <c r="C421" s="2" t="str">
        <f>IF(VLOOKUP($B421,Q,2,FALSE)=0,"",(VLOOKUP($B421,Q,2,FALSE)))</f>
        <v/>
      </c>
      <c r="D421" s="2" t="str">
        <f>IF(VLOOKUP($B421,Q,3,FALSE)=0,"",(VLOOKUP($B421,Q,3,FALSE)))</f>
        <v/>
      </c>
      <c r="E421" s="2" t="str">
        <f>IF(VLOOKUP($B421,Q,8,FALSE)=0,"",(VLOOKUP($B421,Q,8,FALSE)))</f>
        <v/>
      </c>
      <c r="F421" s="19" t="str">
        <f>IF(VLOOKUP($B421,Q,9,FALSE)=0,"",(VLOOKUP($B421,Q,9,FALSE)))</f>
        <v/>
      </c>
      <c r="G421" s="2" t="str">
        <f>IF(VLOOKUP($B421,Q,10,FALSE)=0,"",(VLOOKUP($B421,Q,10,FALSE)))</f>
        <v/>
      </c>
      <c r="H421" s="2" t="str">
        <f>IF(VLOOKUP($B421,Q,14,FALSE)=0,"",(VLOOKUP($B421,Q,14,FALSE)))</f>
        <v/>
      </c>
      <c r="I421" s="2" t="str">
        <f>IF(VLOOKUP($B421,Q,14,FALSE)=0,"",(VLOOKUP($B421,Q,15,FALSE)))</f>
        <v/>
      </c>
      <c r="J421" s="2" t="str">
        <f>IF(VLOOKUP($B421,Q,14,FALSE)=0,"",(VLOOKUP($B421,Q,16,FALSE)))</f>
        <v/>
      </c>
      <c r="K421" s="2" t="str">
        <f>IF(VLOOKUP($B421,Q,14,FALSE)=0,"",(VLOOKUP($B421,Q,17,FALSE)))</f>
        <v/>
      </c>
    </row>
    <row r="422" spans="2:11" x14ac:dyDescent="0.6">
      <c r="B422" s="1">
        <v>425</v>
      </c>
      <c r="C422" s="2" t="str">
        <f>IF(VLOOKUP($B422,Q,2,FALSE)=0,"",(VLOOKUP($B422,Q,2,FALSE)))</f>
        <v/>
      </c>
      <c r="D422" s="2" t="str">
        <f>IF(VLOOKUP($B422,Q,3,FALSE)=0,"",(VLOOKUP($B422,Q,3,FALSE)))</f>
        <v/>
      </c>
      <c r="E422" s="2" t="str">
        <f>IF(VLOOKUP($B422,Q,8,FALSE)=0,"",(VLOOKUP($B422,Q,8,FALSE)))</f>
        <v/>
      </c>
      <c r="F422" s="19" t="str">
        <f>IF(VLOOKUP($B422,Q,9,FALSE)=0,"",(VLOOKUP($B422,Q,9,FALSE)))</f>
        <v/>
      </c>
      <c r="G422" s="2" t="str">
        <f>IF(VLOOKUP($B422,Q,10,FALSE)=0,"",(VLOOKUP($B422,Q,10,FALSE)))</f>
        <v/>
      </c>
      <c r="H422" s="2" t="str">
        <f>IF(VLOOKUP($B422,Q,14,FALSE)=0,"",(VLOOKUP($B422,Q,14,FALSE)))</f>
        <v/>
      </c>
      <c r="I422" s="2" t="str">
        <f>IF(VLOOKUP($B422,Q,14,FALSE)=0,"",(VLOOKUP($B422,Q,15,FALSE)))</f>
        <v/>
      </c>
      <c r="J422" s="2" t="str">
        <f>IF(VLOOKUP($B422,Q,14,FALSE)=0,"",(VLOOKUP($B422,Q,16,FALSE)))</f>
        <v/>
      </c>
      <c r="K422" s="2" t="str">
        <f>IF(VLOOKUP($B422,Q,14,FALSE)=0,"",(VLOOKUP($B422,Q,17,FALSE)))</f>
        <v/>
      </c>
    </row>
    <row r="423" spans="2:11" x14ac:dyDescent="0.6">
      <c r="B423" s="1">
        <v>426</v>
      </c>
      <c r="C423" s="2" t="str">
        <f>IF(VLOOKUP($B423,Q,2,FALSE)=0,"",(VLOOKUP($B423,Q,2,FALSE)))</f>
        <v/>
      </c>
      <c r="D423" s="2" t="str">
        <f>IF(VLOOKUP($B423,Q,3,FALSE)=0,"",(VLOOKUP($B423,Q,3,FALSE)))</f>
        <v/>
      </c>
      <c r="E423" s="2" t="str">
        <f>IF(VLOOKUP($B423,Q,8,FALSE)=0,"",(VLOOKUP($B423,Q,8,FALSE)))</f>
        <v/>
      </c>
      <c r="F423" s="19" t="str">
        <f>IF(VLOOKUP($B423,Q,9,FALSE)=0,"",(VLOOKUP($B423,Q,9,FALSE)))</f>
        <v/>
      </c>
      <c r="G423" s="2" t="str">
        <f>IF(VLOOKUP($B423,Q,10,FALSE)=0,"",(VLOOKUP($B423,Q,10,FALSE)))</f>
        <v/>
      </c>
      <c r="H423" s="2" t="str">
        <f>IF(VLOOKUP($B423,Q,14,FALSE)=0,"",(VLOOKUP($B423,Q,14,FALSE)))</f>
        <v/>
      </c>
      <c r="I423" s="2" t="str">
        <f>IF(VLOOKUP($B423,Q,14,FALSE)=0,"",(VLOOKUP($B423,Q,15,FALSE)))</f>
        <v/>
      </c>
      <c r="J423" s="2" t="str">
        <f>IF(VLOOKUP($B423,Q,14,FALSE)=0,"",(VLOOKUP($B423,Q,16,FALSE)))</f>
        <v/>
      </c>
      <c r="K423" s="2" t="str">
        <f>IF(VLOOKUP($B423,Q,14,FALSE)=0,"",(VLOOKUP($B423,Q,17,FALSE)))</f>
        <v/>
      </c>
    </row>
    <row r="424" spans="2:11" x14ac:dyDescent="0.6">
      <c r="B424" s="1">
        <v>427</v>
      </c>
      <c r="C424" s="2" t="str">
        <f>IF(VLOOKUP($B424,Q,2,FALSE)=0,"",(VLOOKUP($B424,Q,2,FALSE)))</f>
        <v/>
      </c>
      <c r="D424" s="2" t="str">
        <f>IF(VLOOKUP($B424,Q,3,FALSE)=0,"",(VLOOKUP($B424,Q,3,FALSE)))</f>
        <v/>
      </c>
      <c r="E424" s="2" t="str">
        <f>IF(VLOOKUP($B424,Q,8,FALSE)=0,"",(VLOOKUP($B424,Q,8,FALSE)))</f>
        <v/>
      </c>
      <c r="F424" s="19" t="str">
        <f>IF(VLOOKUP($B424,Q,9,FALSE)=0,"",(VLOOKUP($B424,Q,9,FALSE)))</f>
        <v/>
      </c>
      <c r="G424" s="2" t="str">
        <f>IF(VLOOKUP($B424,Q,10,FALSE)=0,"",(VLOOKUP($B424,Q,10,FALSE)))</f>
        <v/>
      </c>
      <c r="H424" s="2" t="str">
        <f>IF(VLOOKUP($B424,Q,14,FALSE)=0,"",(VLOOKUP($B424,Q,14,FALSE)))</f>
        <v/>
      </c>
      <c r="I424" s="2" t="str">
        <f>IF(VLOOKUP($B424,Q,14,FALSE)=0,"",(VLOOKUP($B424,Q,15,FALSE)))</f>
        <v/>
      </c>
      <c r="J424" s="2" t="str">
        <f>IF(VLOOKUP($B424,Q,14,FALSE)=0,"",(VLOOKUP($B424,Q,16,FALSE)))</f>
        <v/>
      </c>
      <c r="K424" s="2" t="str">
        <f>IF(VLOOKUP($B424,Q,14,FALSE)=0,"",(VLOOKUP($B424,Q,17,FALSE)))</f>
        <v/>
      </c>
    </row>
    <row r="425" spans="2:11" x14ac:dyDescent="0.6">
      <c r="B425" s="1">
        <v>428</v>
      </c>
      <c r="C425" s="2" t="str">
        <f>IF(VLOOKUP($B425,Q,2,FALSE)=0,"",(VLOOKUP($B425,Q,2,FALSE)))</f>
        <v/>
      </c>
      <c r="D425" s="2" t="str">
        <f>IF(VLOOKUP($B425,Q,3,FALSE)=0,"",(VLOOKUP($B425,Q,3,FALSE)))</f>
        <v/>
      </c>
      <c r="E425" s="2" t="str">
        <f>IF(VLOOKUP($B425,Q,8,FALSE)=0,"",(VLOOKUP($B425,Q,8,FALSE)))</f>
        <v/>
      </c>
      <c r="F425" s="19" t="str">
        <f>IF(VLOOKUP($B425,Q,9,FALSE)=0,"",(VLOOKUP($B425,Q,9,FALSE)))</f>
        <v/>
      </c>
      <c r="G425" s="2" t="str">
        <f>IF(VLOOKUP($B425,Q,10,FALSE)=0,"",(VLOOKUP($B425,Q,10,FALSE)))</f>
        <v/>
      </c>
      <c r="H425" s="2" t="str">
        <f>IF(VLOOKUP($B425,Q,14,FALSE)=0,"",(VLOOKUP($B425,Q,14,FALSE)))</f>
        <v/>
      </c>
      <c r="I425" s="2" t="str">
        <f>IF(VLOOKUP($B425,Q,14,FALSE)=0,"",(VLOOKUP($B425,Q,15,FALSE)))</f>
        <v/>
      </c>
      <c r="J425" s="2" t="str">
        <f>IF(VLOOKUP($B425,Q,14,FALSE)=0,"",(VLOOKUP($B425,Q,16,FALSE)))</f>
        <v/>
      </c>
      <c r="K425" s="2" t="str">
        <f>IF(VLOOKUP($B425,Q,14,FALSE)=0,"",(VLOOKUP($B425,Q,17,FALSE)))</f>
        <v/>
      </c>
    </row>
    <row r="426" spans="2:11" x14ac:dyDescent="0.6">
      <c r="B426" s="1">
        <v>429</v>
      </c>
      <c r="C426" s="2" t="str">
        <f>IF(VLOOKUP($B426,Q,2,FALSE)=0,"",(VLOOKUP($B426,Q,2,FALSE)))</f>
        <v/>
      </c>
      <c r="D426" s="2" t="str">
        <f>IF(VLOOKUP($B426,Q,3,FALSE)=0,"",(VLOOKUP($B426,Q,3,FALSE)))</f>
        <v/>
      </c>
      <c r="E426" s="2" t="str">
        <f>IF(VLOOKUP($B426,Q,8,FALSE)=0,"",(VLOOKUP($B426,Q,8,FALSE)))</f>
        <v/>
      </c>
      <c r="F426" s="19" t="str">
        <f>IF(VLOOKUP($B426,Q,9,FALSE)=0,"",(VLOOKUP($B426,Q,9,FALSE)))</f>
        <v/>
      </c>
      <c r="G426" s="2" t="str">
        <f>IF(VLOOKUP($B426,Q,10,FALSE)=0,"",(VLOOKUP($B426,Q,10,FALSE)))</f>
        <v/>
      </c>
      <c r="H426" s="2" t="str">
        <f>IF(VLOOKUP($B426,Q,14,FALSE)=0,"",(VLOOKUP($B426,Q,14,FALSE)))</f>
        <v/>
      </c>
      <c r="I426" s="2" t="str">
        <f>IF(VLOOKUP($B426,Q,14,FALSE)=0,"",(VLOOKUP($B426,Q,15,FALSE)))</f>
        <v/>
      </c>
      <c r="J426" s="2" t="str">
        <f>IF(VLOOKUP($B426,Q,14,FALSE)=0,"",(VLOOKUP($B426,Q,16,FALSE)))</f>
        <v/>
      </c>
      <c r="K426" s="2" t="str">
        <f>IF(VLOOKUP($B426,Q,14,FALSE)=0,"",(VLOOKUP($B426,Q,17,FALSE)))</f>
        <v/>
      </c>
    </row>
    <row r="427" spans="2:11" x14ac:dyDescent="0.6">
      <c r="B427" s="1">
        <v>430</v>
      </c>
      <c r="C427" s="2" t="str">
        <f>IF(VLOOKUP($B427,Q,2,FALSE)=0,"",(VLOOKUP($B427,Q,2,FALSE)))</f>
        <v/>
      </c>
      <c r="D427" s="2" t="str">
        <f>IF(VLOOKUP($B427,Q,3,FALSE)=0,"",(VLOOKUP($B427,Q,3,FALSE)))</f>
        <v/>
      </c>
      <c r="E427" s="2" t="str">
        <f>IF(VLOOKUP($B427,Q,8,FALSE)=0,"",(VLOOKUP($B427,Q,8,FALSE)))</f>
        <v/>
      </c>
      <c r="F427" s="19" t="str">
        <f>IF(VLOOKUP($B427,Q,9,FALSE)=0,"",(VLOOKUP($B427,Q,9,FALSE)))</f>
        <v/>
      </c>
      <c r="G427" s="2" t="str">
        <f>IF(VLOOKUP($B427,Q,10,FALSE)=0,"",(VLOOKUP($B427,Q,10,FALSE)))</f>
        <v/>
      </c>
      <c r="H427" s="2" t="str">
        <f>IF(VLOOKUP($B427,Q,14,FALSE)=0,"",(VLOOKUP($B427,Q,14,FALSE)))</f>
        <v/>
      </c>
      <c r="I427" s="2" t="str">
        <f>IF(VLOOKUP($B427,Q,14,FALSE)=0,"",(VLOOKUP($B427,Q,15,FALSE)))</f>
        <v/>
      </c>
      <c r="J427" s="2" t="str">
        <f>IF(VLOOKUP($B427,Q,14,FALSE)=0,"",(VLOOKUP($B427,Q,16,FALSE)))</f>
        <v/>
      </c>
      <c r="K427" s="2" t="str">
        <f>IF(VLOOKUP($B427,Q,14,FALSE)=0,"",(VLOOKUP($B427,Q,17,FALSE)))</f>
        <v/>
      </c>
    </row>
    <row r="428" spans="2:11" x14ac:dyDescent="0.6">
      <c r="B428" s="1">
        <v>431</v>
      </c>
      <c r="C428" s="2" t="str">
        <f>IF(VLOOKUP($B428,Q,2,FALSE)=0,"",(VLOOKUP($B428,Q,2,FALSE)))</f>
        <v/>
      </c>
      <c r="D428" s="2" t="str">
        <f>IF(VLOOKUP($B428,Q,3,FALSE)=0,"",(VLOOKUP($B428,Q,3,FALSE)))</f>
        <v/>
      </c>
      <c r="E428" s="2" t="str">
        <f>IF(VLOOKUP($B428,Q,8,FALSE)=0,"",(VLOOKUP($B428,Q,8,FALSE)))</f>
        <v/>
      </c>
      <c r="F428" s="19" t="str">
        <f>IF(VLOOKUP($B428,Q,9,FALSE)=0,"",(VLOOKUP($B428,Q,9,FALSE)))</f>
        <v/>
      </c>
      <c r="G428" s="2" t="str">
        <f>IF(VLOOKUP($B428,Q,10,FALSE)=0,"",(VLOOKUP($B428,Q,10,FALSE)))</f>
        <v/>
      </c>
      <c r="H428" s="2" t="str">
        <f>IF(VLOOKUP($B428,Q,14,FALSE)=0,"",(VLOOKUP($B428,Q,14,FALSE)))</f>
        <v/>
      </c>
      <c r="I428" s="2" t="str">
        <f>IF(VLOOKUP($B428,Q,14,FALSE)=0,"",(VLOOKUP($B428,Q,15,FALSE)))</f>
        <v/>
      </c>
      <c r="J428" s="2" t="str">
        <f>IF(VLOOKUP($B428,Q,14,FALSE)=0,"",(VLOOKUP($B428,Q,16,FALSE)))</f>
        <v/>
      </c>
      <c r="K428" s="2" t="str">
        <f>IF(VLOOKUP($B428,Q,14,FALSE)=0,"",(VLOOKUP($B428,Q,17,FALSE)))</f>
        <v/>
      </c>
    </row>
    <row r="429" spans="2:11" x14ac:dyDescent="0.6">
      <c r="B429" s="1">
        <v>432</v>
      </c>
      <c r="C429" s="2" t="str">
        <f>IF(VLOOKUP($B429,Q,2,FALSE)=0,"",(VLOOKUP($B429,Q,2,FALSE)))</f>
        <v/>
      </c>
      <c r="D429" s="2" t="str">
        <f>IF(VLOOKUP($B429,Q,3,FALSE)=0,"",(VLOOKUP($B429,Q,3,FALSE)))</f>
        <v/>
      </c>
      <c r="E429" s="2" t="str">
        <f>IF(VLOOKUP($B429,Q,8,FALSE)=0,"",(VLOOKUP($B429,Q,8,FALSE)))</f>
        <v/>
      </c>
      <c r="F429" s="19" t="str">
        <f>IF(VLOOKUP($B429,Q,9,FALSE)=0,"",(VLOOKUP($B429,Q,9,FALSE)))</f>
        <v/>
      </c>
      <c r="G429" s="2" t="str">
        <f>IF(VLOOKUP($B429,Q,10,FALSE)=0,"",(VLOOKUP($B429,Q,10,FALSE)))</f>
        <v/>
      </c>
      <c r="H429" s="2" t="str">
        <f>IF(VLOOKUP($B429,Q,14,FALSE)=0,"",(VLOOKUP($B429,Q,14,FALSE)))</f>
        <v/>
      </c>
      <c r="I429" s="2" t="str">
        <f>IF(VLOOKUP($B429,Q,14,FALSE)=0,"",(VLOOKUP($B429,Q,15,FALSE)))</f>
        <v/>
      </c>
      <c r="J429" s="2" t="str">
        <f>IF(VLOOKUP($B429,Q,14,FALSE)=0,"",(VLOOKUP($B429,Q,16,FALSE)))</f>
        <v/>
      </c>
      <c r="K429" s="2" t="str">
        <f>IF(VLOOKUP($B429,Q,14,FALSE)=0,"",(VLOOKUP($B429,Q,17,FALSE)))</f>
        <v/>
      </c>
    </row>
    <row r="430" spans="2:11" x14ac:dyDescent="0.6">
      <c r="B430" s="1">
        <v>433</v>
      </c>
      <c r="C430" s="2" t="str">
        <f>IF(VLOOKUP($B430,Q,2,FALSE)=0,"",(VLOOKUP($B430,Q,2,FALSE)))</f>
        <v/>
      </c>
      <c r="D430" s="2" t="str">
        <f>IF(VLOOKUP($B430,Q,3,FALSE)=0,"",(VLOOKUP($B430,Q,3,FALSE)))</f>
        <v/>
      </c>
      <c r="E430" s="2" t="str">
        <f>IF(VLOOKUP($B430,Q,8,FALSE)=0,"",(VLOOKUP($B430,Q,8,FALSE)))</f>
        <v/>
      </c>
      <c r="F430" s="19" t="str">
        <f>IF(VLOOKUP($B430,Q,9,FALSE)=0,"",(VLOOKUP($B430,Q,9,FALSE)))</f>
        <v/>
      </c>
      <c r="G430" s="2" t="str">
        <f>IF(VLOOKUP($B430,Q,10,FALSE)=0,"",(VLOOKUP($B430,Q,10,FALSE)))</f>
        <v/>
      </c>
      <c r="H430" s="2" t="str">
        <f>IF(VLOOKUP($B430,Q,14,FALSE)=0,"",(VLOOKUP($B430,Q,14,FALSE)))</f>
        <v/>
      </c>
      <c r="I430" s="2" t="str">
        <f>IF(VLOOKUP($B430,Q,14,FALSE)=0,"",(VLOOKUP($B430,Q,15,FALSE)))</f>
        <v/>
      </c>
      <c r="J430" s="2" t="str">
        <f>IF(VLOOKUP($B430,Q,14,FALSE)=0,"",(VLOOKUP($B430,Q,16,FALSE)))</f>
        <v/>
      </c>
      <c r="K430" s="2" t="str">
        <f>IF(VLOOKUP($B430,Q,14,FALSE)=0,"",(VLOOKUP($B430,Q,17,FALSE)))</f>
        <v/>
      </c>
    </row>
    <row r="431" spans="2:11" x14ac:dyDescent="0.6">
      <c r="B431" s="1">
        <v>434</v>
      </c>
      <c r="C431" s="2" t="str">
        <f>IF(VLOOKUP($B431,Q,2,FALSE)=0,"",(VLOOKUP($B431,Q,2,FALSE)))</f>
        <v/>
      </c>
      <c r="D431" s="2" t="str">
        <f>IF(VLOOKUP($B431,Q,3,FALSE)=0,"",(VLOOKUP($B431,Q,3,FALSE)))</f>
        <v/>
      </c>
      <c r="E431" s="2" t="str">
        <f>IF(VLOOKUP($B431,Q,8,FALSE)=0,"",(VLOOKUP($B431,Q,8,FALSE)))</f>
        <v/>
      </c>
      <c r="F431" s="19" t="str">
        <f>IF(VLOOKUP($B431,Q,9,FALSE)=0,"",(VLOOKUP($B431,Q,9,FALSE)))</f>
        <v/>
      </c>
      <c r="G431" s="2" t="str">
        <f>IF(VLOOKUP($B431,Q,10,FALSE)=0,"",(VLOOKUP($B431,Q,10,FALSE)))</f>
        <v/>
      </c>
      <c r="H431" s="2" t="str">
        <f>IF(VLOOKUP($B431,Q,14,FALSE)=0,"",(VLOOKUP($B431,Q,14,FALSE)))</f>
        <v/>
      </c>
      <c r="I431" s="2" t="str">
        <f>IF(VLOOKUP($B431,Q,14,FALSE)=0,"",(VLOOKUP($B431,Q,15,FALSE)))</f>
        <v/>
      </c>
      <c r="J431" s="2" t="str">
        <f>IF(VLOOKUP($B431,Q,14,FALSE)=0,"",(VLOOKUP($B431,Q,16,FALSE)))</f>
        <v/>
      </c>
      <c r="K431" s="2" t="str">
        <f>IF(VLOOKUP($B431,Q,14,FALSE)=0,"",(VLOOKUP($B431,Q,17,FALSE)))</f>
        <v/>
      </c>
    </row>
    <row r="432" spans="2:11" x14ac:dyDescent="0.6">
      <c r="B432" s="1">
        <v>435</v>
      </c>
      <c r="C432" s="2" t="str">
        <f>IF(VLOOKUP($B432,Q,2,FALSE)=0,"",(VLOOKUP($B432,Q,2,FALSE)))</f>
        <v/>
      </c>
      <c r="D432" s="2" t="str">
        <f>IF(VLOOKUP($B432,Q,3,FALSE)=0,"",(VLOOKUP($B432,Q,3,FALSE)))</f>
        <v/>
      </c>
      <c r="E432" s="2" t="str">
        <f>IF(VLOOKUP($B432,Q,8,FALSE)=0,"",(VLOOKUP($B432,Q,8,FALSE)))</f>
        <v/>
      </c>
      <c r="F432" s="19" t="str">
        <f>IF(VLOOKUP($B432,Q,9,FALSE)=0,"",(VLOOKUP($B432,Q,9,FALSE)))</f>
        <v/>
      </c>
      <c r="G432" s="2" t="str">
        <f>IF(VLOOKUP($B432,Q,10,FALSE)=0,"",(VLOOKUP($B432,Q,10,FALSE)))</f>
        <v/>
      </c>
      <c r="H432" s="2" t="str">
        <f>IF(VLOOKUP($B432,Q,14,FALSE)=0,"",(VLOOKUP($B432,Q,14,FALSE)))</f>
        <v/>
      </c>
      <c r="I432" s="2" t="str">
        <f>IF(VLOOKUP($B432,Q,14,FALSE)=0,"",(VLOOKUP($B432,Q,15,FALSE)))</f>
        <v/>
      </c>
      <c r="J432" s="2" t="str">
        <f>IF(VLOOKUP($B432,Q,14,FALSE)=0,"",(VLOOKUP($B432,Q,16,FALSE)))</f>
        <v/>
      </c>
      <c r="K432" s="2" t="str">
        <f>IF(VLOOKUP($B432,Q,14,FALSE)=0,"",(VLOOKUP($B432,Q,17,FALSE)))</f>
        <v/>
      </c>
    </row>
    <row r="433" spans="2:11" x14ac:dyDescent="0.6">
      <c r="B433" s="1">
        <v>436</v>
      </c>
      <c r="C433" s="2" t="str">
        <f>IF(VLOOKUP($B433,Q,2,FALSE)=0,"",(VLOOKUP($B433,Q,2,FALSE)))</f>
        <v/>
      </c>
      <c r="D433" s="2" t="str">
        <f>IF(VLOOKUP($B433,Q,3,FALSE)=0,"",(VLOOKUP($B433,Q,3,FALSE)))</f>
        <v/>
      </c>
      <c r="E433" s="2" t="str">
        <f>IF(VLOOKUP($B433,Q,8,FALSE)=0,"",(VLOOKUP($B433,Q,8,FALSE)))</f>
        <v/>
      </c>
      <c r="F433" s="19" t="str">
        <f>IF(VLOOKUP($B433,Q,9,FALSE)=0,"",(VLOOKUP($B433,Q,9,FALSE)))</f>
        <v/>
      </c>
      <c r="G433" s="2" t="str">
        <f>IF(VLOOKUP($B433,Q,10,FALSE)=0,"",(VLOOKUP($B433,Q,10,FALSE)))</f>
        <v/>
      </c>
      <c r="H433" s="2" t="str">
        <f>IF(VLOOKUP($B433,Q,14,FALSE)=0,"",(VLOOKUP($B433,Q,14,FALSE)))</f>
        <v/>
      </c>
      <c r="I433" s="2" t="str">
        <f>IF(VLOOKUP($B433,Q,14,FALSE)=0,"",(VLOOKUP($B433,Q,15,FALSE)))</f>
        <v/>
      </c>
      <c r="J433" s="2" t="str">
        <f>IF(VLOOKUP($B433,Q,14,FALSE)=0,"",(VLOOKUP($B433,Q,16,FALSE)))</f>
        <v/>
      </c>
      <c r="K433" s="2" t="str">
        <f>IF(VLOOKUP($B433,Q,14,FALSE)=0,"",(VLOOKUP($B433,Q,17,FALSE)))</f>
        <v/>
      </c>
    </row>
    <row r="434" spans="2:11" x14ac:dyDescent="0.6">
      <c r="B434" s="1">
        <v>437</v>
      </c>
      <c r="C434" s="2" t="str">
        <f>IF(VLOOKUP($B434,Q,2,FALSE)=0,"",(VLOOKUP($B434,Q,2,FALSE)))</f>
        <v/>
      </c>
      <c r="D434" s="2" t="str">
        <f>IF(VLOOKUP($B434,Q,3,FALSE)=0,"",(VLOOKUP($B434,Q,3,FALSE)))</f>
        <v/>
      </c>
      <c r="E434" s="2" t="str">
        <f>IF(VLOOKUP($B434,Q,8,FALSE)=0,"",(VLOOKUP($B434,Q,8,FALSE)))</f>
        <v/>
      </c>
      <c r="F434" s="19" t="str">
        <f>IF(VLOOKUP($B434,Q,9,FALSE)=0,"",(VLOOKUP($B434,Q,9,FALSE)))</f>
        <v/>
      </c>
      <c r="G434" s="2" t="str">
        <f>IF(VLOOKUP($B434,Q,10,FALSE)=0,"",(VLOOKUP($B434,Q,10,FALSE)))</f>
        <v/>
      </c>
      <c r="H434" s="2" t="str">
        <f>IF(VLOOKUP($B434,Q,14,FALSE)=0,"",(VLOOKUP($B434,Q,14,FALSE)))</f>
        <v/>
      </c>
      <c r="I434" s="2" t="str">
        <f>IF(VLOOKUP($B434,Q,14,FALSE)=0,"",(VLOOKUP($B434,Q,15,FALSE)))</f>
        <v/>
      </c>
      <c r="J434" s="2" t="str">
        <f>IF(VLOOKUP($B434,Q,14,FALSE)=0,"",(VLOOKUP($B434,Q,16,FALSE)))</f>
        <v/>
      </c>
      <c r="K434" s="2" t="str">
        <f>IF(VLOOKUP($B434,Q,14,FALSE)=0,"",(VLOOKUP($B434,Q,17,FALSE)))</f>
        <v/>
      </c>
    </row>
    <row r="435" spans="2:11" x14ac:dyDescent="0.6">
      <c r="B435" s="1">
        <v>438</v>
      </c>
      <c r="C435" s="2" t="str">
        <f>IF(VLOOKUP($B435,Q,2,FALSE)=0,"",(VLOOKUP($B435,Q,2,FALSE)))</f>
        <v/>
      </c>
      <c r="D435" s="2" t="str">
        <f>IF(VLOOKUP($B435,Q,3,FALSE)=0,"",(VLOOKUP($B435,Q,3,FALSE)))</f>
        <v/>
      </c>
      <c r="E435" s="2" t="str">
        <f>IF(VLOOKUP($B435,Q,8,FALSE)=0,"",(VLOOKUP($B435,Q,8,FALSE)))</f>
        <v/>
      </c>
      <c r="F435" s="19" t="str">
        <f>IF(VLOOKUP($B435,Q,9,FALSE)=0,"",(VLOOKUP($B435,Q,9,FALSE)))</f>
        <v/>
      </c>
      <c r="G435" s="2" t="str">
        <f>IF(VLOOKUP($B435,Q,10,FALSE)=0,"",(VLOOKUP($B435,Q,10,FALSE)))</f>
        <v/>
      </c>
      <c r="H435" s="2" t="str">
        <f>IF(VLOOKUP($B435,Q,14,FALSE)=0,"",(VLOOKUP($B435,Q,14,FALSE)))</f>
        <v/>
      </c>
      <c r="I435" s="2" t="str">
        <f>IF(VLOOKUP($B435,Q,14,FALSE)=0,"",(VLOOKUP($B435,Q,15,FALSE)))</f>
        <v/>
      </c>
      <c r="J435" s="2" t="str">
        <f>IF(VLOOKUP($B435,Q,14,FALSE)=0,"",(VLOOKUP($B435,Q,16,FALSE)))</f>
        <v/>
      </c>
      <c r="K435" s="2" t="str">
        <f>IF(VLOOKUP($B435,Q,14,FALSE)=0,"",(VLOOKUP($B435,Q,17,FALSE)))</f>
        <v/>
      </c>
    </row>
    <row r="436" spans="2:11" x14ac:dyDescent="0.6">
      <c r="B436" s="1">
        <v>439</v>
      </c>
      <c r="C436" s="2" t="str">
        <f>IF(VLOOKUP($B436,Q,2,FALSE)=0,"",(VLOOKUP($B436,Q,2,FALSE)))</f>
        <v/>
      </c>
      <c r="D436" s="2" t="str">
        <f>IF(VLOOKUP($B436,Q,3,FALSE)=0,"",(VLOOKUP($B436,Q,3,FALSE)))</f>
        <v/>
      </c>
      <c r="E436" s="2" t="str">
        <f>IF(VLOOKUP($B436,Q,8,FALSE)=0,"",(VLOOKUP($B436,Q,8,FALSE)))</f>
        <v/>
      </c>
      <c r="F436" s="19" t="str">
        <f>IF(VLOOKUP($B436,Q,9,FALSE)=0,"",(VLOOKUP($B436,Q,9,FALSE)))</f>
        <v/>
      </c>
      <c r="G436" s="2" t="str">
        <f>IF(VLOOKUP($B436,Q,10,FALSE)=0,"",(VLOOKUP($B436,Q,10,FALSE)))</f>
        <v/>
      </c>
      <c r="H436" s="2" t="str">
        <f>IF(VLOOKUP($B436,Q,14,FALSE)=0,"",(VLOOKUP($B436,Q,14,FALSE)))</f>
        <v/>
      </c>
      <c r="I436" s="2" t="str">
        <f>IF(VLOOKUP($B436,Q,14,FALSE)=0,"",(VLOOKUP($B436,Q,15,FALSE)))</f>
        <v/>
      </c>
      <c r="J436" s="2" t="str">
        <f>IF(VLOOKUP($B436,Q,14,FALSE)=0,"",(VLOOKUP($B436,Q,16,FALSE)))</f>
        <v/>
      </c>
      <c r="K436" s="2" t="str">
        <f>IF(VLOOKUP($B436,Q,14,FALSE)=0,"",(VLOOKUP($B436,Q,17,FALSE)))</f>
        <v/>
      </c>
    </row>
    <row r="437" spans="2:11" x14ac:dyDescent="0.6">
      <c r="B437" s="1">
        <v>440</v>
      </c>
      <c r="C437" s="2" t="str">
        <f>IF(VLOOKUP($B437,Q,2,FALSE)=0,"",(VLOOKUP($B437,Q,2,FALSE)))</f>
        <v/>
      </c>
      <c r="D437" s="2" t="str">
        <f>IF(VLOOKUP($B437,Q,3,FALSE)=0,"",(VLOOKUP($B437,Q,3,FALSE)))</f>
        <v/>
      </c>
      <c r="E437" s="2" t="str">
        <f>IF(VLOOKUP($B437,Q,8,FALSE)=0,"",(VLOOKUP($B437,Q,8,FALSE)))</f>
        <v/>
      </c>
      <c r="F437" s="19" t="str">
        <f>IF(VLOOKUP($B437,Q,9,FALSE)=0,"",(VLOOKUP($B437,Q,9,FALSE)))</f>
        <v/>
      </c>
      <c r="G437" s="2" t="str">
        <f>IF(VLOOKUP($B437,Q,10,FALSE)=0,"",(VLOOKUP($B437,Q,10,FALSE)))</f>
        <v/>
      </c>
      <c r="H437" s="2" t="str">
        <f>IF(VLOOKUP($B437,Q,14,FALSE)=0,"",(VLOOKUP($B437,Q,14,FALSE)))</f>
        <v/>
      </c>
      <c r="I437" s="2" t="str">
        <f>IF(VLOOKUP($B437,Q,14,FALSE)=0,"",(VLOOKUP($B437,Q,15,FALSE)))</f>
        <v/>
      </c>
      <c r="J437" s="2" t="str">
        <f>IF(VLOOKUP($B437,Q,14,FALSE)=0,"",(VLOOKUP($B437,Q,16,FALSE)))</f>
        <v/>
      </c>
      <c r="K437" s="2" t="str">
        <f>IF(VLOOKUP($B437,Q,14,FALSE)=0,"",(VLOOKUP($B437,Q,17,FALSE)))</f>
        <v/>
      </c>
    </row>
    <row r="438" spans="2:11" x14ac:dyDescent="0.6">
      <c r="B438" s="1">
        <v>441</v>
      </c>
      <c r="C438" s="2" t="str">
        <f>IF(VLOOKUP($B438,Q,2,FALSE)=0,"",(VLOOKUP($B438,Q,2,FALSE)))</f>
        <v/>
      </c>
      <c r="D438" s="2" t="str">
        <f>IF(VLOOKUP($B438,Q,3,FALSE)=0,"",(VLOOKUP($B438,Q,3,FALSE)))</f>
        <v/>
      </c>
      <c r="E438" s="2" t="str">
        <f>IF(VLOOKUP($B438,Q,8,FALSE)=0,"",(VLOOKUP($B438,Q,8,FALSE)))</f>
        <v/>
      </c>
      <c r="F438" s="19" t="str">
        <f>IF(VLOOKUP($B438,Q,9,FALSE)=0,"",(VLOOKUP($B438,Q,9,FALSE)))</f>
        <v/>
      </c>
      <c r="G438" s="2" t="str">
        <f>IF(VLOOKUP($B438,Q,10,FALSE)=0,"",(VLOOKUP($B438,Q,10,FALSE)))</f>
        <v/>
      </c>
      <c r="H438" s="2" t="str">
        <f>IF(VLOOKUP($B438,Q,14,FALSE)=0,"",(VLOOKUP($B438,Q,14,FALSE)))</f>
        <v/>
      </c>
      <c r="I438" s="2" t="str">
        <f>IF(VLOOKUP($B438,Q,14,FALSE)=0,"",(VLOOKUP($B438,Q,15,FALSE)))</f>
        <v/>
      </c>
      <c r="J438" s="2" t="str">
        <f>IF(VLOOKUP($B438,Q,14,FALSE)=0,"",(VLOOKUP($B438,Q,16,FALSE)))</f>
        <v/>
      </c>
      <c r="K438" s="2" t="str">
        <f>IF(VLOOKUP($B438,Q,14,FALSE)=0,"",(VLOOKUP($B438,Q,17,FALSE)))</f>
        <v/>
      </c>
    </row>
    <row r="439" spans="2:11" x14ac:dyDescent="0.6">
      <c r="B439" s="1">
        <v>442</v>
      </c>
      <c r="C439" s="2" t="str">
        <f>IF(VLOOKUP($B439,Q,2,FALSE)=0,"",(VLOOKUP($B439,Q,2,FALSE)))</f>
        <v/>
      </c>
      <c r="D439" s="2" t="str">
        <f>IF(VLOOKUP($B439,Q,3,FALSE)=0,"",(VLOOKUP($B439,Q,3,FALSE)))</f>
        <v/>
      </c>
      <c r="E439" s="2" t="str">
        <f>IF(VLOOKUP($B439,Q,8,FALSE)=0,"",(VLOOKUP($B439,Q,8,FALSE)))</f>
        <v/>
      </c>
      <c r="F439" s="19" t="str">
        <f>IF(VLOOKUP($B439,Q,9,FALSE)=0,"",(VLOOKUP($B439,Q,9,FALSE)))</f>
        <v/>
      </c>
      <c r="G439" s="2" t="str">
        <f>IF(VLOOKUP($B439,Q,10,FALSE)=0,"",(VLOOKUP($B439,Q,10,FALSE)))</f>
        <v/>
      </c>
      <c r="H439" s="2" t="str">
        <f>IF(VLOOKUP($B439,Q,14,FALSE)=0,"",(VLOOKUP($B439,Q,14,FALSE)))</f>
        <v/>
      </c>
      <c r="I439" s="2" t="str">
        <f>IF(VLOOKUP($B439,Q,14,FALSE)=0,"",(VLOOKUP($B439,Q,15,FALSE)))</f>
        <v/>
      </c>
      <c r="J439" s="2" t="str">
        <f>IF(VLOOKUP($B439,Q,14,FALSE)=0,"",(VLOOKUP($B439,Q,16,FALSE)))</f>
        <v/>
      </c>
      <c r="K439" s="2" t="str">
        <f>IF(VLOOKUP($B439,Q,14,FALSE)=0,"",(VLOOKUP($B439,Q,17,FALSE)))</f>
        <v/>
      </c>
    </row>
    <row r="440" spans="2:11" x14ac:dyDescent="0.6">
      <c r="B440" s="1">
        <v>443</v>
      </c>
      <c r="C440" s="2" t="str">
        <f>IF(VLOOKUP($B440,Q,2,FALSE)=0,"",(VLOOKUP($B440,Q,2,FALSE)))</f>
        <v/>
      </c>
      <c r="D440" s="2" t="str">
        <f>IF(VLOOKUP($B440,Q,3,FALSE)=0,"",(VLOOKUP($B440,Q,3,FALSE)))</f>
        <v/>
      </c>
      <c r="E440" s="2" t="str">
        <f>IF(VLOOKUP($B440,Q,8,FALSE)=0,"",(VLOOKUP($B440,Q,8,FALSE)))</f>
        <v/>
      </c>
      <c r="F440" s="19" t="str">
        <f>IF(VLOOKUP($B440,Q,9,FALSE)=0,"",(VLOOKUP($B440,Q,9,FALSE)))</f>
        <v/>
      </c>
      <c r="G440" s="2" t="str">
        <f>IF(VLOOKUP($B440,Q,10,FALSE)=0,"",(VLOOKUP($B440,Q,10,FALSE)))</f>
        <v/>
      </c>
      <c r="H440" s="2" t="str">
        <f>IF(VLOOKUP($B440,Q,14,FALSE)=0,"",(VLOOKUP($B440,Q,14,FALSE)))</f>
        <v/>
      </c>
      <c r="I440" s="2" t="str">
        <f>IF(VLOOKUP($B440,Q,14,FALSE)=0,"",(VLOOKUP($B440,Q,15,FALSE)))</f>
        <v/>
      </c>
      <c r="J440" s="2" t="str">
        <f>IF(VLOOKUP($B440,Q,14,FALSE)=0,"",(VLOOKUP($B440,Q,16,FALSE)))</f>
        <v/>
      </c>
      <c r="K440" s="2" t="str">
        <f>IF(VLOOKUP($B440,Q,14,FALSE)=0,"",(VLOOKUP($B440,Q,17,FALSE)))</f>
        <v/>
      </c>
    </row>
    <row r="441" spans="2:11" x14ac:dyDescent="0.6">
      <c r="B441" s="1">
        <v>444</v>
      </c>
      <c r="C441" s="2" t="str">
        <f>IF(VLOOKUP($B441,Q,2,FALSE)=0,"",(VLOOKUP($B441,Q,2,FALSE)))</f>
        <v/>
      </c>
      <c r="D441" s="2" t="str">
        <f>IF(VLOOKUP($B441,Q,3,FALSE)=0,"",(VLOOKUP($B441,Q,3,FALSE)))</f>
        <v/>
      </c>
      <c r="E441" s="2" t="str">
        <f>IF(VLOOKUP($B441,Q,8,FALSE)=0,"",(VLOOKUP($B441,Q,8,FALSE)))</f>
        <v/>
      </c>
      <c r="F441" s="19" t="str">
        <f>IF(VLOOKUP($B441,Q,9,FALSE)=0,"",(VLOOKUP($B441,Q,9,FALSE)))</f>
        <v/>
      </c>
      <c r="G441" s="2" t="str">
        <f>IF(VLOOKUP($B441,Q,10,FALSE)=0,"",(VLOOKUP($B441,Q,10,FALSE)))</f>
        <v/>
      </c>
      <c r="H441" s="2" t="str">
        <f>IF(VLOOKUP($B441,Q,14,FALSE)=0,"",(VLOOKUP($B441,Q,14,FALSE)))</f>
        <v/>
      </c>
      <c r="I441" s="2" t="str">
        <f>IF(VLOOKUP($B441,Q,14,FALSE)=0,"",(VLOOKUP($B441,Q,15,FALSE)))</f>
        <v/>
      </c>
      <c r="J441" s="2" t="str">
        <f>IF(VLOOKUP($B441,Q,14,FALSE)=0,"",(VLOOKUP($B441,Q,16,FALSE)))</f>
        <v/>
      </c>
      <c r="K441" s="2" t="str">
        <f>IF(VLOOKUP($B441,Q,14,FALSE)=0,"",(VLOOKUP($B441,Q,17,FALSE)))</f>
        <v/>
      </c>
    </row>
    <row r="442" spans="2:11" x14ac:dyDescent="0.6">
      <c r="B442" s="1">
        <v>445</v>
      </c>
      <c r="C442" s="2" t="str">
        <f>IF(VLOOKUP($B442,Q,2,FALSE)=0,"",(VLOOKUP($B442,Q,2,FALSE)))</f>
        <v/>
      </c>
      <c r="D442" s="2" t="str">
        <f>IF(VLOOKUP($B442,Q,3,FALSE)=0,"",(VLOOKUP($B442,Q,3,FALSE)))</f>
        <v/>
      </c>
      <c r="E442" s="2" t="str">
        <f>IF(VLOOKUP($B442,Q,8,FALSE)=0,"",(VLOOKUP($B442,Q,8,FALSE)))</f>
        <v/>
      </c>
      <c r="F442" s="19" t="str">
        <f>IF(VLOOKUP($B442,Q,9,FALSE)=0,"",(VLOOKUP($B442,Q,9,FALSE)))</f>
        <v/>
      </c>
      <c r="G442" s="2" t="str">
        <f>IF(VLOOKUP($B442,Q,10,FALSE)=0,"",(VLOOKUP($B442,Q,10,FALSE)))</f>
        <v/>
      </c>
      <c r="H442" s="2" t="str">
        <f>IF(VLOOKUP($B442,Q,14,FALSE)=0,"",(VLOOKUP($B442,Q,14,FALSE)))</f>
        <v/>
      </c>
      <c r="I442" s="2" t="str">
        <f>IF(VLOOKUP($B442,Q,14,FALSE)=0,"",(VLOOKUP($B442,Q,15,FALSE)))</f>
        <v/>
      </c>
      <c r="J442" s="2" t="str">
        <f>IF(VLOOKUP($B442,Q,14,FALSE)=0,"",(VLOOKUP($B442,Q,16,FALSE)))</f>
        <v/>
      </c>
      <c r="K442" s="2" t="str">
        <f>IF(VLOOKUP($B442,Q,14,FALSE)=0,"",(VLOOKUP($B442,Q,17,FALSE)))</f>
        <v/>
      </c>
    </row>
    <row r="443" spans="2:11" x14ac:dyDescent="0.6">
      <c r="B443" s="1">
        <v>446</v>
      </c>
      <c r="C443" s="2" t="str">
        <f>IF(VLOOKUP($B443,Q,2,FALSE)=0,"",(VLOOKUP($B443,Q,2,FALSE)))</f>
        <v/>
      </c>
      <c r="D443" s="2" t="str">
        <f>IF(VLOOKUP($B443,Q,3,FALSE)=0,"",(VLOOKUP($B443,Q,3,FALSE)))</f>
        <v/>
      </c>
      <c r="E443" s="2" t="str">
        <f>IF(VLOOKUP($B443,Q,8,FALSE)=0,"",(VLOOKUP($B443,Q,8,FALSE)))</f>
        <v/>
      </c>
      <c r="F443" s="19" t="str">
        <f>IF(VLOOKUP($B443,Q,9,FALSE)=0,"",(VLOOKUP($B443,Q,9,FALSE)))</f>
        <v/>
      </c>
      <c r="G443" s="2" t="str">
        <f>IF(VLOOKUP($B443,Q,10,FALSE)=0,"",(VLOOKUP($B443,Q,10,FALSE)))</f>
        <v/>
      </c>
      <c r="H443" s="2" t="str">
        <f>IF(VLOOKUP($B443,Q,14,FALSE)=0,"",(VLOOKUP($B443,Q,14,FALSE)))</f>
        <v/>
      </c>
      <c r="I443" s="2" t="str">
        <f>IF(VLOOKUP($B443,Q,14,FALSE)=0,"",(VLOOKUP($B443,Q,15,FALSE)))</f>
        <v/>
      </c>
      <c r="J443" s="2" t="str">
        <f>IF(VLOOKUP($B443,Q,14,FALSE)=0,"",(VLOOKUP($B443,Q,16,FALSE)))</f>
        <v/>
      </c>
      <c r="K443" s="2" t="str">
        <f>IF(VLOOKUP($B443,Q,14,FALSE)=0,"",(VLOOKUP($B443,Q,17,FALSE)))</f>
        <v/>
      </c>
    </row>
    <row r="444" spans="2:11" x14ac:dyDescent="0.6">
      <c r="B444" s="1">
        <v>447</v>
      </c>
      <c r="C444" s="2" t="str">
        <f>IF(VLOOKUP($B444,Q,2,FALSE)=0,"",(VLOOKUP($B444,Q,2,FALSE)))</f>
        <v/>
      </c>
      <c r="D444" s="2" t="str">
        <f>IF(VLOOKUP($B444,Q,3,FALSE)=0,"",(VLOOKUP($B444,Q,3,FALSE)))</f>
        <v/>
      </c>
      <c r="E444" s="2" t="str">
        <f>IF(VLOOKUP($B444,Q,8,FALSE)=0,"",(VLOOKUP($B444,Q,8,FALSE)))</f>
        <v/>
      </c>
      <c r="F444" s="19" t="str">
        <f>IF(VLOOKUP($B444,Q,9,FALSE)=0,"",(VLOOKUP($B444,Q,9,FALSE)))</f>
        <v/>
      </c>
      <c r="G444" s="2" t="str">
        <f>IF(VLOOKUP($B444,Q,10,FALSE)=0,"",(VLOOKUP($B444,Q,10,FALSE)))</f>
        <v/>
      </c>
      <c r="H444" s="2" t="str">
        <f>IF(VLOOKUP($B444,Q,14,FALSE)=0,"",(VLOOKUP($B444,Q,14,FALSE)))</f>
        <v/>
      </c>
      <c r="I444" s="2" t="str">
        <f>IF(VLOOKUP($B444,Q,14,FALSE)=0,"",(VLOOKUP($B444,Q,15,FALSE)))</f>
        <v/>
      </c>
      <c r="J444" s="2" t="str">
        <f>IF(VLOOKUP($B444,Q,14,FALSE)=0,"",(VLOOKUP($B444,Q,16,FALSE)))</f>
        <v/>
      </c>
      <c r="K444" s="2" t="str">
        <f>IF(VLOOKUP($B444,Q,14,FALSE)=0,"",(VLOOKUP($B444,Q,17,FALSE)))</f>
        <v/>
      </c>
    </row>
    <row r="445" spans="2:11" x14ac:dyDescent="0.6">
      <c r="B445" s="1">
        <v>448</v>
      </c>
      <c r="C445" s="2" t="str">
        <f>IF(VLOOKUP($B445,Q,2,FALSE)=0,"",(VLOOKUP($B445,Q,2,FALSE)))</f>
        <v/>
      </c>
      <c r="D445" s="2" t="str">
        <f>IF(VLOOKUP($B445,Q,3,FALSE)=0,"",(VLOOKUP($B445,Q,3,FALSE)))</f>
        <v/>
      </c>
      <c r="E445" s="2" t="str">
        <f>IF(VLOOKUP($B445,Q,8,FALSE)=0,"",(VLOOKUP($B445,Q,8,FALSE)))</f>
        <v/>
      </c>
      <c r="F445" s="19" t="str">
        <f>IF(VLOOKUP($B445,Q,9,FALSE)=0,"",(VLOOKUP($B445,Q,9,FALSE)))</f>
        <v/>
      </c>
      <c r="G445" s="2" t="str">
        <f>IF(VLOOKUP($B445,Q,10,FALSE)=0,"",(VLOOKUP($B445,Q,10,FALSE)))</f>
        <v/>
      </c>
      <c r="H445" s="2" t="str">
        <f>IF(VLOOKUP($B445,Q,14,FALSE)=0,"",(VLOOKUP($B445,Q,14,FALSE)))</f>
        <v/>
      </c>
      <c r="I445" s="2" t="str">
        <f>IF(VLOOKUP($B445,Q,14,FALSE)=0,"",(VLOOKUP($B445,Q,15,FALSE)))</f>
        <v/>
      </c>
      <c r="J445" s="2" t="str">
        <f>IF(VLOOKUP($B445,Q,14,FALSE)=0,"",(VLOOKUP($B445,Q,16,FALSE)))</f>
        <v/>
      </c>
      <c r="K445" s="2" t="str">
        <f>IF(VLOOKUP($B445,Q,14,FALSE)=0,"",(VLOOKUP($B445,Q,17,FALSE)))</f>
        <v/>
      </c>
    </row>
    <row r="446" spans="2:11" x14ac:dyDescent="0.6">
      <c r="B446" s="1">
        <v>449</v>
      </c>
      <c r="C446" s="2" t="str">
        <f>IF(VLOOKUP($B446,Q,2,FALSE)=0,"",(VLOOKUP($B446,Q,2,FALSE)))</f>
        <v/>
      </c>
      <c r="D446" s="2" t="str">
        <f>IF(VLOOKUP($B446,Q,3,FALSE)=0,"",(VLOOKUP($B446,Q,3,FALSE)))</f>
        <v/>
      </c>
      <c r="E446" s="2" t="str">
        <f>IF(VLOOKUP($B446,Q,8,FALSE)=0,"",(VLOOKUP($B446,Q,8,FALSE)))</f>
        <v/>
      </c>
      <c r="F446" s="19" t="str">
        <f>IF(VLOOKUP($B446,Q,9,FALSE)=0,"",(VLOOKUP($B446,Q,9,FALSE)))</f>
        <v/>
      </c>
      <c r="G446" s="2" t="str">
        <f>IF(VLOOKUP($B446,Q,10,FALSE)=0,"",(VLOOKUP($B446,Q,10,FALSE)))</f>
        <v/>
      </c>
      <c r="H446" s="2" t="str">
        <f>IF(VLOOKUP($B446,Q,14,FALSE)=0,"",(VLOOKUP($B446,Q,14,FALSE)))</f>
        <v/>
      </c>
      <c r="I446" s="2" t="str">
        <f>IF(VLOOKUP($B446,Q,14,FALSE)=0,"",(VLOOKUP($B446,Q,15,FALSE)))</f>
        <v/>
      </c>
      <c r="J446" s="2" t="str">
        <f>IF(VLOOKUP($B446,Q,14,FALSE)=0,"",(VLOOKUP($B446,Q,16,FALSE)))</f>
        <v/>
      </c>
      <c r="K446" s="2" t="str">
        <f>IF(VLOOKUP($B446,Q,14,FALSE)=0,"",(VLOOKUP($B446,Q,17,FALSE)))</f>
        <v/>
      </c>
    </row>
    <row r="447" spans="2:11" x14ac:dyDescent="0.6">
      <c r="B447" s="1">
        <v>450</v>
      </c>
      <c r="C447" s="2" t="str">
        <f>IF(VLOOKUP($B447,Q,2,FALSE)=0,"",(VLOOKUP($B447,Q,2,FALSE)))</f>
        <v/>
      </c>
      <c r="D447" s="2" t="str">
        <f>IF(VLOOKUP($B447,Q,3,FALSE)=0,"",(VLOOKUP($B447,Q,3,FALSE)))</f>
        <v/>
      </c>
      <c r="E447" s="2" t="str">
        <f>IF(VLOOKUP($B447,Q,8,FALSE)=0,"",(VLOOKUP($B447,Q,8,FALSE)))</f>
        <v/>
      </c>
      <c r="F447" s="19" t="str">
        <f>IF(VLOOKUP($B447,Q,9,FALSE)=0,"",(VLOOKUP($B447,Q,9,FALSE)))</f>
        <v/>
      </c>
      <c r="G447" s="2" t="str">
        <f>IF(VLOOKUP($B447,Q,10,FALSE)=0,"",(VLOOKUP($B447,Q,10,FALSE)))</f>
        <v/>
      </c>
      <c r="H447" s="2" t="str">
        <f>IF(VLOOKUP($B447,Q,14,FALSE)=0,"",(VLOOKUP($B447,Q,14,FALSE)))</f>
        <v/>
      </c>
      <c r="I447" s="2" t="str">
        <f>IF(VLOOKUP($B447,Q,14,FALSE)=0,"",(VLOOKUP($B447,Q,15,FALSE)))</f>
        <v/>
      </c>
      <c r="J447" s="2" t="str">
        <f>IF(VLOOKUP($B447,Q,14,FALSE)=0,"",(VLOOKUP($B447,Q,16,FALSE)))</f>
        <v/>
      </c>
      <c r="K447" s="2" t="str">
        <f>IF(VLOOKUP($B447,Q,14,FALSE)=0,"",(VLOOKUP($B447,Q,17,FALSE)))</f>
        <v/>
      </c>
    </row>
    <row r="448" spans="2:11" x14ac:dyDescent="0.6">
      <c r="B448" s="1">
        <v>451</v>
      </c>
      <c r="C448" s="2" t="str">
        <f>IF(VLOOKUP($B448,Q,2,FALSE)=0,"",(VLOOKUP($B448,Q,2,FALSE)))</f>
        <v/>
      </c>
      <c r="D448" s="2" t="str">
        <f>IF(VLOOKUP($B448,Q,3,FALSE)=0,"",(VLOOKUP($B448,Q,3,FALSE)))</f>
        <v/>
      </c>
      <c r="E448" s="2" t="str">
        <f>IF(VLOOKUP($B448,Q,8,FALSE)=0,"",(VLOOKUP($B448,Q,8,FALSE)))</f>
        <v/>
      </c>
      <c r="F448" s="19" t="str">
        <f>IF(VLOOKUP($B448,Q,9,FALSE)=0,"",(VLOOKUP($B448,Q,9,FALSE)))</f>
        <v/>
      </c>
      <c r="G448" s="2" t="str">
        <f>IF(VLOOKUP($B448,Q,10,FALSE)=0,"",(VLOOKUP($B448,Q,10,FALSE)))</f>
        <v/>
      </c>
      <c r="H448" s="2" t="str">
        <f>IF(VLOOKUP($B448,Q,14,FALSE)=0,"",(VLOOKUP($B448,Q,14,FALSE)))</f>
        <v/>
      </c>
      <c r="I448" s="2" t="str">
        <f>IF(VLOOKUP($B448,Q,14,FALSE)=0,"",(VLOOKUP($B448,Q,15,FALSE)))</f>
        <v/>
      </c>
      <c r="J448" s="2" t="str">
        <f>IF(VLOOKUP($B448,Q,14,FALSE)=0,"",(VLOOKUP($B448,Q,16,FALSE)))</f>
        <v/>
      </c>
      <c r="K448" s="2" t="str">
        <f>IF(VLOOKUP($B448,Q,14,FALSE)=0,"",(VLOOKUP($B448,Q,17,FALSE)))</f>
        <v/>
      </c>
    </row>
    <row r="449" spans="2:11" x14ac:dyDescent="0.6">
      <c r="B449" s="1">
        <v>452</v>
      </c>
      <c r="C449" s="2" t="str">
        <f>IF(VLOOKUP($B449,Q,2,FALSE)=0,"",(VLOOKUP($B449,Q,2,FALSE)))</f>
        <v/>
      </c>
      <c r="D449" s="2" t="str">
        <f>IF(VLOOKUP($B449,Q,3,FALSE)=0,"",(VLOOKUP($B449,Q,3,FALSE)))</f>
        <v/>
      </c>
      <c r="E449" s="2" t="str">
        <f>IF(VLOOKUP($B449,Q,8,FALSE)=0,"",(VLOOKUP($B449,Q,8,FALSE)))</f>
        <v/>
      </c>
      <c r="F449" s="19" t="str">
        <f>IF(VLOOKUP($B449,Q,9,FALSE)=0,"",(VLOOKUP($B449,Q,9,FALSE)))</f>
        <v/>
      </c>
      <c r="G449" s="2" t="str">
        <f>IF(VLOOKUP($B449,Q,10,FALSE)=0,"",(VLOOKUP($B449,Q,10,FALSE)))</f>
        <v/>
      </c>
      <c r="H449" s="2" t="str">
        <f>IF(VLOOKUP($B449,Q,14,FALSE)=0,"",(VLOOKUP($B449,Q,14,FALSE)))</f>
        <v/>
      </c>
      <c r="I449" s="2" t="str">
        <f>IF(VLOOKUP($B449,Q,14,FALSE)=0,"",(VLOOKUP($B449,Q,15,FALSE)))</f>
        <v/>
      </c>
      <c r="J449" s="2" t="str">
        <f>IF(VLOOKUP($B449,Q,14,FALSE)=0,"",(VLOOKUP($B449,Q,16,FALSE)))</f>
        <v/>
      </c>
      <c r="K449" s="2" t="str">
        <f>IF(VLOOKUP($B449,Q,14,FALSE)=0,"",(VLOOKUP($B449,Q,17,FALSE)))</f>
        <v/>
      </c>
    </row>
    <row r="450" spans="2:11" x14ac:dyDescent="0.6">
      <c r="B450" s="1">
        <v>453</v>
      </c>
      <c r="C450" s="2" t="str">
        <f>IF(VLOOKUP($B450,Q,2,FALSE)=0,"",(VLOOKUP($B450,Q,2,FALSE)))</f>
        <v/>
      </c>
      <c r="D450" s="2" t="str">
        <f>IF(VLOOKUP($B450,Q,3,FALSE)=0,"",(VLOOKUP($B450,Q,3,FALSE)))</f>
        <v/>
      </c>
      <c r="E450" s="2" t="str">
        <f>IF(VLOOKUP($B450,Q,8,FALSE)=0,"",(VLOOKUP($B450,Q,8,FALSE)))</f>
        <v/>
      </c>
      <c r="F450" s="19" t="str">
        <f>IF(VLOOKUP($B450,Q,9,FALSE)=0,"",(VLOOKUP($B450,Q,9,FALSE)))</f>
        <v/>
      </c>
      <c r="G450" s="2" t="str">
        <f>IF(VLOOKUP($B450,Q,10,FALSE)=0,"",(VLOOKUP($B450,Q,10,FALSE)))</f>
        <v/>
      </c>
      <c r="H450" s="2" t="str">
        <f>IF(VLOOKUP($B450,Q,14,FALSE)=0,"",(VLOOKUP($B450,Q,14,FALSE)))</f>
        <v/>
      </c>
      <c r="I450" s="2" t="str">
        <f>IF(VLOOKUP($B450,Q,14,FALSE)=0,"",(VLOOKUP($B450,Q,15,FALSE)))</f>
        <v/>
      </c>
      <c r="J450" s="2" t="str">
        <f>IF(VLOOKUP($B450,Q,14,FALSE)=0,"",(VLOOKUP($B450,Q,16,FALSE)))</f>
        <v/>
      </c>
      <c r="K450" s="2" t="str">
        <f>IF(VLOOKUP($B450,Q,14,FALSE)=0,"",(VLOOKUP($B450,Q,17,FALSE)))</f>
        <v/>
      </c>
    </row>
    <row r="451" spans="2:11" x14ac:dyDescent="0.6">
      <c r="B451" s="1">
        <v>454</v>
      </c>
      <c r="C451" s="2" t="str">
        <f>IF(VLOOKUP($B451,Q,2,FALSE)=0,"",(VLOOKUP($B451,Q,2,FALSE)))</f>
        <v/>
      </c>
      <c r="D451" s="2" t="str">
        <f>IF(VLOOKUP($B451,Q,3,FALSE)=0,"",(VLOOKUP($B451,Q,3,FALSE)))</f>
        <v/>
      </c>
      <c r="E451" s="2" t="str">
        <f>IF(VLOOKUP($B451,Q,8,FALSE)=0,"",(VLOOKUP($B451,Q,8,FALSE)))</f>
        <v/>
      </c>
      <c r="F451" s="19" t="str">
        <f>IF(VLOOKUP($B451,Q,9,FALSE)=0,"",(VLOOKUP($B451,Q,9,FALSE)))</f>
        <v/>
      </c>
      <c r="G451" s="2" t="str">
        <f>IF(VLOOKUP($B451,Q,10,FALSE)=0,"",(VLOOKUP($B451,Q,10,FALSE)))</f>
        <v/>
      </c>
      <c r="H451" s="2" t="str">
        <f>IF(VLOOKUP($B451,Q,14,FALSE)=0,"",(VLOOKUP($B451,Q,14,FALSE)))</f>
        <v/>
      </c>
      <c r="I451" s="2" t="str">
        <f>IF(VLOOKUP($B451,Q,14,FALSE)=0,"",(VLOOKUP($B451,Q,15,FALSE)))</f>
        <v/>
      </c>
      <c r="J451" s="2" t="str">
        <f>IF(VLOOKUP($B451,Q,14,FALSE)=0,"",(VLOOKUP($B451,Q,16,FALSE)))</f>
        <v/>
      </c>
      <c r="K451" s="2" t="str">
        <f>IF(VLOOKUP($B451,Q,14,FALSE)=0,"",(VLOOKUP($B451,Q,17,FALSE)))</f>
        <v/>
      </c>
    </row>
    <row r="452" spans="2:11" x14ac:dyDescent="0.6">
      <c r="B452" s="1">
        <v>455</v>
      </c>
      <c r="C452" s="2" t="str">
        <f>IF(VLOOKUP($B452,Q,2,FALSE)=0,"",(VLOOKUP($B452,Q,2,FALSE)))</f>
        <v/>
      </c>
      <c r="D452" s="2" t="str">
        <f>IF(VLOOKUP($B452,Q,3,FALSE)=0,"",(VLOOKUP($B452,Q,3,FALSE)))</f>
        <v/>
      </c>
      <c r="E452" s="2" t="str">
        <f>IF(VLOOKUP($B452,Q,8,FALSE)=0,"",(VLOOKUP($B452,Q,8,FALSE)))</f>
        <v/>
      </c>
      <c r="F452" s="19" t="str">
        <f>IF(VLOOKUP($B452,Q,9,FALSE)=0,"",(VLOOKUP($B452,Q,9,FALSE)))</f>
        <v/>
      </c>
      <c r="G452" s="2" t="str">
        <f>IF(VLOOKUP($B452,Q,10,FALSE)=0,"",(VLOOKUP($B452,Q,10,FALSE)))</f>
        <v/>
      </c>
      <c r="H452" s="2" t="str">
        <f>IF(VLOOKUP($B452,Q,14,FALSE)=0,"",(VLOOKUP($B452,Q,14,FALSE)))</f>
        <v/>
      </c>
      <c r="I452" s="2" t="str">
        <f>IF(VLOOKUP($B452,Q,14,FALSE)=0,"",(VLOOKUP($B452,Q,15,FALSE)))</f>
        <v/>
      </c>
      <c r="J452" s="2" t="str">
        <f>IF(VLOOKUP($B452,Q,14,FALSE)=0,"",(VLOOKUP($B452,Q,16,FALSE)))</f>
        <v/>
      </c>
      <c r="K452" s="2" t="str">
        <f>IF(VLOOKUP($B452,Q,14,FALSE)=0,"",(VLOOKUP($B452,Q,17,FALSE)))</f>
        <v/>
      </c>
    </row>
    <row r="453" spans="2:11" x14ac:dyDescent="0.6">
      <c r="B453" s="1">
        <v>456</v>
      </c>
      <c r="C453" s="2" t="str">
        <f>IF(VLOOKUP($B453,Q,2,FALSE)=0,"",(VLOOKUP($B453,Q,2,FALSE)))</f>
        <v/>
      </c>
      <c r="D453" s="2" t="str">
        <f>IF(VLOOKUP($B453,Q,3,FALSE)=0,"",(VLOOKUP($B453,Q,3,FALSE)))</f>
        <v/>
      </c>
      <c r="E453" s="2" t="str">
        <f>IF(VLOOKUP($B453,Q,8,FALSE)=0,"",(VLOOKUP($B453,Q,8,FALSE)))</f>
        <v/>
      </c>
      <c r="F453" s="19" t="str">
        <f>IF(VLOOKUP($B453,Q,9,FALSE)=0,"",(VLOOKUP($B453,Q,9,FALSE)))</f>
        <v/>
      </c>
      <c r="G453" s="2" t="str">
        <f>IF(VLOOKUP($B453,Q,10,FALSE)=0,"",(VLOOKUP($B453,Q,10,FALSE)))</f>
        <v/>
      </c>
      <c r="H453" s="2" t="str">
        <f>IF(VLOOKUP($B453,Q,14,FALSE)=0,"",(VLOOKUP($B453,Q,14,FALSE)))</f>
        <v/>
      </c>
      <c r="I453" s="2" t="str">
        <f>IF(VLOOKUP($B453,Q,14,FALSE)=0,"",(VLOOKUP($B453,Q,15,FALSE)))</f>
        <v/>
      </c>
      <c r="J453" s="2" t="str">
        <f>IF(VLOOKUP($B453,Q,14,FALSE)=0,"",(VLOOKUP($B453,Q,16,FALSE)))</f>
        <v/>
      </c>
      <c r="K453" s="2" t="str">
        <f>IF(VLOOKUP($B453,Q,14,FALSE)=0,"",(VLOOKUP($B453,Q,17,FALSE)))</f>
        <v/>
      </c>
    </row>
    <row r="454" spans="2:11" x14ac:dyDescent="0.6">
      <c r="B454" s="1">
        <v>457</v>
      </c>
      <c r="C454" s="2" t="str">
        <f>IF(VLOOKUP($B454,Q,2,FALSE)=0,"",(VLOOKUP($B454,Q,2,FALSE)))</f>
        <v/>
      </c>
      <c r="D454" s="2" t="str">
        <f>IF(VLOOKUP($B454,Q,3,FALSE)=0,"",(VLOOKUP($B454,Q,3,FALSE)))</f>
        <v/>
      </c>
      <c r="E454" s="2" t="str">
        <f>IF(VLOOKUP($B454,Q,8,FALSE)=0,"",(VLOOKUP($B454,Q,8,FALSE)))</f>
        <v/>
      </c>
      <c r="F454" s="19" t="str">
        <f>IF(VLOOKUP($B454,Q,9,FALSE)=0,"",(VLOOKUP($B454,Q,9,FALSE)))</f>
        <v/>
      </c>
      <c r="G454" s="2" t="str">
        <f>IF(VLOOKUP($B454,Q,10,FALSE)=0,"",(VLOOKUP($B454,Q,10,FALSE)))</f>
        <v/>
      </c>
      <c r="H454" s="2" t="str">
        <f>IF(VLOOKUP($B454,Q,14,FALSE)=0,"",(VLOOKUP($B454,Q,14,FALSE)))</f>
        <v/>
      </c>
      <c r="I454" s="2" t="str">
        <f>IF(VLOOKUP($B454,Q,14,FALSE)=0,"",(VLOOKUP($B454,Q,15,FALSE)))</f>
        <v/>
      </c>
      <c r="J454" s="2" t="str">
        <f>IF(VLOOKUP($B454,Q,14,FALSE)=0,"",(VLOOKUP($B454,Q,16,FALSE)))</f>
        <v/>
      </c>
      <c r="K454" s="2" t="str">
        <f>IF(VLOOKUP($B454,Q,14,FALSE)=0,"",(VLOOKUP($B454,Q,17,FALSE)))</f>
        <v/>
      </c>
    </row>
    <row r="455" spans="2:11" x14ac:dyDescent="0.6">
      <c r="B455" s="1">
        <v>458</v>
      </c>
      <c r="C455" s="2" t="str">
        <f>IF(VLOOKUP($B455,Q,2,FALSE)=0,"",(VLOOKUP($B455,Q,2,FALSE)))</f>
        <v/>
      </c>
      <c r="D455" s="2" t="str">
        <f>IF(VLOOKUP($B455,Q,3,FALSE)=0,"",(VLOOKUP($B455,Q,3,FALSE)))</f>
        <v/>
      </c>
      <c r="E455" s="2" t="str">
        <f>IF(VLOOKUP($B455,Q,8,FALSE)=0,"",(VLOOKUP($B455,Q,8,FALSE)))</f>
        <v/>
      </c>
      <c r="F455" s="19" t="str">
        <f>IF(VLOOKUP($B455,Q,9,FALSE)=0,"",(VLOOKUP($B455,Q,9,FALSE)))</f>
        <v/>
      </c>
      <c r="G455" s="2" t="str">
        <f>IF(VLOOKUP($B455,Q,10,FALSE)=0,"",(VLOOKUP($B455,Q,10,FALSE)))</f>
        <v/>
      </c>
      <c r="H455" s="2" t="str">
        <f>IF(VLOOKUP($B455,Q,14,FALSE)=0,"",(VLOOKUP($B455,Q,14,FALSE)))</f>
        <v/>
      </c>
      <c r="I455" s="2" t="str">
        <f>IF(VLOOKUP($B455,Q,14,FALSE)=0,"",(VLOOKUP($B455,Q,15,FALSE)))</f>
        <v/>
      </c>
      <c r="J455" s="2" t="str">
        <f>IF(VLOOKUP($B455,Q,14,FALSE)=0,"",(VLOOKUP($B455,Q,16,FALSE)))</f>
        <v/>
      </c>
      <c r="K455" s="2" t="str">
        <f>IF(VLOOKUP($B455,Q,14,FALSE)=0,"",(VLOOKUP($B455,Q,17,FALSE)))</f>
        <v/>
      </c>
    </row>
    <row r="456" spans="2:11" x14ac:dyDescent="0.6">
      <c r="B456" s="1">
        <v>459</v>
      </c>
      <c r="C456" s="2" t="str">
        <f>IF(VLOOKUP($B456,Q,2,FALSE)=0,"",(VLOOKUP($B456,Q,2,FALSE)))</f>
        <v/>
      </c>
      <c r="D456" s="2" t="str">
        <f>IF(VLOOKUP($B456,Q,3,FALSE)=0,"",(VLOOKUP($B456,Q,3,FALSE)))</f>
        <v/>
      </c>
      <c r="E456" s="2" t="str">
        <f>IF(VLOOKUP($B456,Q,8,FALSE)=0,"",(VLOOKUP($B456,Q,8,FALSE)))</f>
        <v/>
      </c>
      <c r="F456" s="19" t="str">
        <f>IF(VLOOKUP($B456,Q,9,FALSE)=0,"",(VLOOKUP($B456,Q,9,FALSE)))</f>
        <v/>
      </c>
      <c r="G456" s="2" t="str">
        <f>IF(VLOOKUP($B456,Q,10,FALSE)=0,"",(VLOOKUP($B456,Q,10,FALSE)))</f>
        <v/>
      </c>
      <c r="H456" s="2" t="str">
        <f>IF(VLOOKUP($B456,Q,14,FALSE)=0,"",(VLOOKUP($B456,Q,14,FALSE)))</f>
        <v/>
      </c>
      <c r="I456" s="2" t="str">
        <f>IF(VLOOKUP($B456,Q,14,FALSE)=0,"",(VLOOKUP($B456,Q,15,FALSE)))</f>
        <v/>
      </c>
      <c r="J456" s="2" t="str">
        <f>IF(VLOOKUP($B456,Q,14,FALSE)=0,"",(VLOOKUP($B456,Q,16,FALSE)))</f>
        <v/>
      </c>
      <c r="K456" s="2" t="str">
        <f>IF(VLOOKUP($B456,Q,14,FALSE)=0,"",(VLOOKUP($B456,Q,17,FALSE)))</f>
        <v/>
      </c>
    </row>
    <row r="457" spans="2:11" x14ac:dyDescent="0.6">
      <c r="B457" s="1">
        <v>460</v>
      </c>
      <c r="C457" s="2" t="str">
        <f>IF(VLOOKUP($B457,Q,2,FALSE)=0,"",(VLOOKUP($B457,Q,2,FALSE)))</f>
        <v/>
      </c>
      <c r="D457" s="2" t="str">
        <f>IF(VLOOKUP($B457,Q,3,FALSE)=0,"",(VLOOKUP($B457,Q,3,FALSE)))</f>
        <v/>
      </c>
      <c r="E457" s="2" t="str">
        <f>IF(VLOOKUP($B457,Q,8,FALSE)=0,"",(VLOOKUP($B457,Q,8,FALSE)))</f>
        <v/>
      </c>
      <c r="F457" s="19" t="str">
        <f>IF(VLOOKUP($B457,Q,9,FALSE)=0,"",(VLOOKUP($B457,Q,9,FALSE)))</f>
        <v/>
      </c>
      <c r="G457" s="2" t="str">
        <f>IF(VLOOKUP($B457,Q,10,FALSE)=0,"",(VLOOKUP($B457,Q,10,FALSE)))</f>
        <v/>
      </c>
      <c r="H457" s="2" t="str">
        <f>IF(VLOOKUP($B457,Q,14,FALSE)=0,"",(VLOOKUP($B457,Q,14,FALSE)))</f>
        <v/>
      </c>
      <c r="I457" s="2" t="str">
        <f>IF(VLOOKUP($B457,Q,14,FALSE)=0,"",(VLOOKUP($B457,Q,15,FALSE)))</f>
        <v/>
      </c>
      <c r="J457" s="2" t="str">
        <f>IF(VLOOKUP($B457,Q,14,FALSE)=0,"",(VLOOKUP($B457,Q,16,FALSE)))</f>
        <v/>
      </c>
      <c r="K457" s="2" t="str">
        <f>IF(VLOOKUP($B457,Q,14,FALSE)=0,"",(VLOOKUP($B457,Q,17,FALSE)))</f>
        <v/>
      </c>
    </row>
    <row r="458" spans="2:11" x14ac:dyDescent="0.6">
      <c r="B458" s="1">
        <v>461</v>
      </c>
      <c r="C458" s="2" t="str">
        <f>IF(VLOOKUP($B458,Q,2,FALSE)=0,"",(VLOOKUP($B458,Q,2,FALSE)))</f>
        <v/>
      </c>
      <c r="D458" s="2" t="str">
        <f>IF(VLOOKUP($B458,Q,3,FALSE)=0,"",(VLOOKUP($B458,Q,3,FALSE)))</f>
        <v/>
      </c>
      <c r="E458" s="2" t="str">
        <f>IF(VLOOKUP($B458,Q,8,FALSE)=0,"",(VLOOKUP($B458,Q,8,FALSE)))</f>
        <v/>
      </c>
      <c r="F458" s="19" t="str">
        <f>IF(VLOOKUP($B458,Q,9,FALSE)=0,"",(VLOOKUP($B458,Q,9,FALSE)))</f>
        <v/>
      </c>
      <c r="G458" s="2" t="str">
        <f>IF(VLOOKUP($B458,Q,10,FALSE)=0,"",(VLOOKUP($B458,Q,10,FALSE)))</f>
        <v/>
      </c>
      <c r="H458" s="2" t="str">
        <f>IF(VLOOKUP($B458,Q,14,FALSE)=0,"",(VLOOKUP($B458,Q,14,FALSE)))</f>
        <v/>
      </c>
      <c r="I458" s="2" t="str">
        <f>IF(VLOOKUP($B458,Q,14,FALSE)=0,"",(VLOOKUP($B458,Q,15,FALSE)))</f>
        <v/>
      </c>
      <c r="J458" s="2" t="str">
        <f>IF(VLOOKUP($B458,Q,14,FALSE)=0,"",(VLOOKUP($B458,Q,16,FALSE)))</f>
        <v/>
      </c>
      <c r="K458" s="2" t="str">
        <f>IF(VLOOKUP($B458,Q,14,FALSE)=0,"",(VLOOKUP($B458,Q,17,FALSE)))</f>
        <v/>
      </c>
    </row>
    <row r="459" spans="2:11" x14ac:dyDescent="0.6">
      <c r="B459" s="1">
        <v>462</v>
      </c>
      <c r="C459" s="2" t="str">
        <f>IF(VLOOKUP($B459,Q,2,FALSE)=0,"",(VLOOKUP($B459,Q,2,FALSE)))</f>
        <v/>
      </c>
      <c r="D459" s="2" t="str">
        <f>IF(VLOOKUP($B459,Q,3,FALSE)=0,"",(VLOOKUP($B459,Q,3,FALSE)))</f>
        <v/>
      </c>
      <c r="E459" s="2" t="str">
        <f>IF(VLOOKUP($B459,Q,8,FALSE)=0,"",(VLOOKUP($B459,Q,8,FALSE)))</f>
        <v/>
      </c>
      <c r="F459" s="19" t="str">
        <f>IF(VLOOKUP($B459,Q,9,FALSE)=0,"",(VLOOKUP($B459,Q,9,FALSE)))</f>
        <v/>
      </c>
      <c r="G459" s="2" t="str">
        <f>IF(VLOOKUP($B459,Q,10,FALSE)=0,"",(VLOOKUP($B459,Q,10,FALSE)))</f>
        <v/>
      </c>
      <c r="H459" s="2" t="str">
        <f>IF(VLOOKUP($B459,Q,14,FALSE)=0,"",(VLOOKUP($B459,Q,14,FALSE)))</f>
        <v/>
      </c>
      <c r="I459" s="2" t="str">
        <f>IF(VLOOKUP($B459,Q,14,FALSE)=0,"",(VLOOKUP($B459,Q,15,FALSE)))</f>
        <v/>
      </c>
      <c r="J459" s="2" t="str">
        <f>IF(VLOOKUP($B459,Q,14,FALSE)=0,"",(VLOOKUP($B459,Q,16,FALSE)))</f>
        <v/>
      </c>
      <c r="K459" s="2" t="str">
        <f>IF(VLOOKUP($B459,Q,14,FALSE)=0,"",(VLOOKUP($B459,Q,17,FALSE)))</f>
        <v/>
      </c>
    </row>
    <row r="460" spans="2:11" x14ac:dyDescent="0.6">
      <c r="B460" s="1">
        <v>463</v>
      </c>
      <c r="C460" s="2" t="str">
        <f>IF(VLOOKUP($B460,Q,2,FALSE)=0,"",(VLOOKUP($B460,Q,2,FALSE)))</f>
        <v/>
      </c>
      <c r="D460" s="2" t="str">
        <f>IF(VLOOKUP($B460,Q,3,FALSE)=0,"",(VLOOKUP($B460,Q,3,FALSE)))</f>
        <v/>
      </c>
      <c r="E460" s="2" t="str">
        <f>IF(VLOOKUP($B460,Q,8,FALSE)=0,"",(VLOOKUP($B460,Q,8,FALSE)))</f>
        <v/>
      </c>
      <c r="F460" s="19" t="str">
        <f>IF(VLOOKUP($B460,Q,9,FALSE)=0,"",(VLOOKUP($B460,Q,9,FALSE)))</f>
        <v/>
      </c>
      <c r="G460" s="2" t="str">
        <f>IF(VLOOKUP($B460,Q,10,FALSE)=0,"",(VLOOKUP($B460,Q,10,FALSE)))</f>
        <v/>
      </c>
      <c r="H460" s="2" t="str">
        <f>IF(VLOOKUP($B460,Q,14,FALSE)=0,"",(VLOOKUP($B460,Q,14,FALSE)))</f>
        <v/>
      </c>
      <c r="I460" s="2" t="str">
        <f>IF(VLOOKUP($B460,Q,14,FALSE)=0,"",(VLOOKUP($B460,Q,15,FALSE)))</f>
        <v/>
      </c>
      <c r="J460" s="2" t="str">
        <f>IF(VLOOKUP($B460,Q,14,FALSE)=0,"",(VLOOKUP($B460,Q,16,FALSE)))</f>
        <v/>
      </c>
      <c r="K460" s="2" t="str">
        <f>IF(VLOOKUP($B460,Q,14,FALSE)=0,"",(VLOOKUP($B460,Q,17,FALSE)))</f>
        <v/>
      </c>
    </row>
    <row r="461" spans="2:11" x14ac:dyDescent="0.6">
      <c r="B461" s="1">
        <v>464</v>
      </c>
      <c r="C461" s="2" t="str">
        <f>IF(VLOOKUP($B461,Q,2,FALSE)=0,"",(VLOOKUP($B461,Q,2,FALSE)))</f>
        <v/>
      </c>
      <c r="D461" s="2" t="str">
        <f>IF(VLOOKUP($B461,Q,3,FALSE)=0,"",(VLOOKUP($B461,Q,3,FALSE)))</f>
        <v/>
      </c>
      <c r="E461" s="2" t="str">
        <f>IF(VLOOKUP($B461,Q,8,FALSE)=0,"",(VLOOKUP($B461,Q,8,FALSE)))</f>
        <v/>
      </c>
      <c r="F461" s="19" t="str">
        <f>IF(VLOOKUP($B461,Q,9,FALSE)=0,"",(VLOOKUP($B461,Q,9,FALSE)))</f>
        <v/>
      </c>
      <c r="G461" s="2" t="str">
        <f>IF(VLOOKUP($B461,Q,10,FALSE)=0,"",(VLOOKUP($B461,Q,10,FALSE)))</f>
        <v/>
      </c>
      <c r="H461" s="2" t="str">
        <f>IF(VLOOKUP($B461,Q,14,FALSE)=0,"",(VLOOKUP($B461,Q,14,FALSE)))</f>
        <v/>
      </c>
      <c r="I461" s="2" t="str">
        <f>IF(VLOOKUP($B461,Q,14,FALSE)=0,"",(VLOOKUP($B461,Q,15,FALSE)))</f>
        <v/>
      </c>
      <c r="J461" s="2" t="str">
        <f>IF(VLOOKUP($B461,Q,14,FALSE)=0,"",(VLOOKUP($B461,Q,16,FALSE)))</f>
        <v/>
      </c>
      <c r="K461" s="2" t="str">
        <f>IF(VLOOKUP($B461,Q,14,FALSE)=0,"",(VLOOKUP($B461,Q,17,FALSE)))</f>
        <v/>
      </c>
    </row>
    <row r="462" spans="2:11" x14ac:dyDescent="0.6">
      <c r="B462" s="1">
        <v>465</v>
      </c>
      <c r="C462" s="2" t="str">
        <f>IF(VLOOKUP($B462,Q,2,FALSE)=0,"",(VLOOKUP($B462,Q,2,FALSE)))</f>
        <v/>
      </c>
      <c r="D462" s="2" t="str">
        <f>IF(VLOOKUP($B462,Q,3,FALSE)=0,"",(VLOOKUP($B462,Q,3,FALSE)))</f>
        <v/>
      </c>
      <c r="E462" s="2" t="str">
        <f>IF(VLOOKUP($B462,Q,8,FALSE)=0,"",(VLOOKUP($B462,Q,8,FALSE)))</f>
        <v/>
      </c>
      <c r="F462" s="19" t="str">
        <f>IF(VLOOKUP($B462,Q,9,FALSE)=0,"",(VLOOKUP($B462,Q,9,FALSE)))</f>
        <v/>
      </c>
      <c r="G462" s="2" t="str">
        <f>IF(VLOOKUP($B462,Q,10,FALSE)=0,"",(VLOOKUP($B462,Q,10,FALSE)))</f>
        <v/>
      </c>
      <c r="H462" s="2" t="str">
        <f>IF(VLOOKUP($B462,Q,14,FALSE)=0,"",(VLOOKUP($B462,Q,14,FALSE)))</f>
        <v/>
      </c>
      <c r="I462" s="2" t="str">
        <f>IF(VLOOKUP($B462,Q,14,FALSE)=0,"",(VLOOKUP($B462,Q,15,FALSE)))</f>
        <v/>
      </c>
      <c r="J462" s="2" t="str">
        <f>IF(VLOOKUP($B462,Q,14,FALSE)=0,"",(VLOOKUP($B462,Q,16,FALSE)))</f>
        <v/>
      </c>
      <c r="K462" s="2" t="str">
        <f>IF(VLOOKUP($B462,Q,14,FALSE)=0,"",(VLOOKUP($B462,Q,17,FALSE)))</f>
        <v/>
      </c>
    </row>
    <row r="463" spans="2:11" x14ac:dyDescent="0.6">
      <c r="B463" s="1">
        <v>466</v>
      </c>
      <c r="C463" s="2" t="str">
        <f>IF(VLOOKUP($B463,Q,2,FALSE)=0,"",(VLOOKUP($B463,Q,2,FALSE)))</f>
        <v/>
      </c>
      <c r="D463" s="2" t="str">
        <f>IF(VLOOKUP($B463,Q,3,FALSE)=0,"",(VLOOKUP($B463,Q,3,FALSE)))</f>
        <v/>
      </c>
      <c r="E463" s="2" t="str">
        <f>IF(VLOOKUP($B463,Q,8,FALSE)=0,"",(VLOOKUP($B463,Q,8,FALSE)))</f>
        <v/>
      </c>
      <c r="F463" s="19" t="str">
        <f>IF(VLOOKUP($B463,Q,9,FALSE)=0,"",(VLOOKUP($B463,Q,9,FALSE)))</f>
        <v/>
      </c>
      <c r="G463" s="2" t="str">
        <f>IF(VLOOKUP($B463,Q,10,FALSE)=0,"",(VLOOKUP($B463,Q,10,FALSE)))</f>
        <v/>
      </c>
      <c r="H463" s="2" t="str">
        <f>IF(VLOOKUP($B463,Q,14,FALSE)=0,"",(VLOOKUP($B463,Q,14,FALSE)))</f>
        <v/>
      </c>
      <c r="I463" s="2" t="str">
        <f>IF(VLOOKUP($B463,Q,14,FALSE)=0,"",(VLOOKUP($B463,Q,15,FALSE)))</f>
        <v/>
      </c>
      <c r="J463" s="2" t="str">
        <f>IF(VLOOKUP($B463,Q,14,FALSE)=0,"",(VLOOKUP($B463,Q,16,FALSE)))</f>
        <v/>
      </c>
      <c r="K463" s="2" t="str">
        <f>IF(VLOOKUP($B463,Q,14,FALSE)=0,"",(VLOOKUP($B463,Q,17,FALSE)))</f>
        <v/>
      </c>
    </row>
    <row r="464" spans="2:11" x14ac:dyDescent="0.6">
      <c r="B464" s="1">
        <v>467</v>
      </c>
      <c r="C464" s="2" t="str">
        <f>IF(VLOOKUP($B464,Q,2,FALSE)=0,"",(VLOOKUP($B464,Q,2,FALSE)))</f>
        <v/>
      </c>
      <c r="D464" s="2" t="str">
        <f>IF(VLOOKUP($B464,Q,3,FALSE)=0,"",(VLOOKUP($B464,Q,3,FALSE)))</f>
        <v/>
      </c>
      <c r="E464" s="2" t="str">
        <f>IF(VLOOKUP($B464,Q,8,FALSE)=0,"",(VLOOKUP($B464,Q,8,FALSE)))</f>
        <v/>
      </c>
      <c r="F464" s="19" t="str">
        <f>IF(VLOOKUP($B464,Q,9,FALSE)=0,"",(VLOOKUP($B464,Q,9,FALSE)))</f>
        <v/>
      </c>
      <c r="G464" s="2" t="str">
        <f>IF(VLOOKUP($B464,Q,10,FALSE)=0,"",(VLOOKUP($B464,Q,10,FALSE)))</f>
        <v/>
      </c>
      <c r="H464" s="2" t="str">
        <f>IF(VLOOKUP($B464,Q,14,FALSE)=0,"",(VLOOKUP($B464,Q,14,FALSE)))</f>
        <v/>
      </c>
      <c r="I464" s="2" t="str">
        <f>IF(VLOOKUP($B464,Q,14,FALSE)=0,"",(VLOOKUP($B464,Q,15,FALSE)))</f>
        <v/>
      </c>
      <c r="J464" s="2" t="str">
        <f>IF(VLOOKUP($B464,Q,14,FALSE)=0,"",(VLOOKUP($B464,Q,16,FALSE)))</f>
        <v/>
      </c>
      <c r="K464" s="2" t="str">
        <f>IF(VLOOKUP($B464,Q,14,FALSE)=0,"",(VLOOKUP($B464,Q,17,FALSE)))</f>
        <v/>
      </c>
    </row>
    <row r="465" spans="2:11" x14ac:dyDescent="0.6">
      <c r="B465" s="1">
        <v>468</v>
      </c>
      <c r="C465" s="2" t="str">
        <f>IF(VLOOKUP($B465,Q,2,FALSE)=0,"",(VLOOKUP($B465,Q,2,FALSE)))</f>
        <v/>
      </c>
      <c r="D465" s="2" t="str">
        <f>IF(VLOOKUP($B465,Q,3,FALSE)=0,"",(VLOOKUP($B465,Q,3,FALSE)))</f>
        <v/>
      </c>
      <c r="E465" s="2" t="str">
        <f>IF(VLOOKUP($B465,Q,8,FALSE)=0,"",(VLOOKUP($B465,Q,8,FALSE)))</f>
        <v/>
      </c>
      <c r="F465" s="19" t="str">
        <f>IF(VLOOKUP($B465,Q,9,FALSE)=0,"",(VLOOKUP($B465,Q,9,FALSE)))</f>
        <v/>
      </c>
      <c r="G465" s="2" t="str">
        <f>IF(VLOOKUP($B465,Q,10,FALSE)=0,"",(VLOOKUP($B465,Q,10,FALSE)))</f>
        <v/>
      </c>
      <c r="H465" s="2" t="str">
        <f>IF(VLOOKUP($B465,Q,14,FALSE)=0,"",(VLOOKUP($B465,Q,14,FALSE)))</f>
        <v/>
      </c>
      <c r="I465" s="2" t="str">
        <f>IF(VLOOKUP($B465,Q,14,FALSE)=0,"",(VLOOKUP($B465,Q,15,FALSE)))</f>
        <v/>
      </c>
      <c r="J465" s="2" t="str">
        <f>IF(VLOOKUP($B465,Q,14,FALSE)=0,"",(VLOOKUP($B465,Q,16,FALSE)))</f>
        <v/>
      </c>
      <c r="K465" s="2" t="str">
        <f>IF(VLOOKUP($B465,Q,14,FALSE)=0,"",(VLOOKUP($B465,Q,17,FALSE)))</f>
        <v/>
      </c>
    </row>
    <row r="466" spans="2:11" x14ac:dyDescent="0.6">
      <c r="B466" s="1">
        <v>469</v>
      </c>
      <c r="C466" s="2" t="str">
        <f>IF(VLOOKUP($B466,Q,2,FALSE)=0,"",(VLOOKUP($B466,Q,2,FALSE)))</f>
        <v/>
      </c>
      <c r="D466" s="2" t="str">
        <f>IF(VLOOKUP($B466,Q,3,FALSE)=0,"",(VLOOKUP($B466,Q,3,FALSE)))</f>
        <v/>
      </c>
      <c r="E466" s="2" t="str">
        <f>IF(VLOOKUP($B466,Q,8,FALSE)=0,"",(VLOOKUP($B466,Q,8,FALSE)))</f>
        <v/>
      </c>
      <c r="F466" s="19" t="str">
        <f>IF(VLOOKUP($B466,Q,9,FALSE)=0,"",(VLOOKUP($B466,Q,9,FALSE)))</f>
        <v/>
      </c>
      <c r="G466" s="2" t="str">
        <f>IF(VLOOKUP($B466,Q,10,FALSE)=0,"",(VLOOKUP($B466,Q,10,FALSE)))</f>
        <v/>
      </c>
      <c r="H466" s="2" t="str">
        <f>IF(VLOOKUP($B466,Q,14,FALSE)=0,"",(VLOOKUP($B466,Q,14,FALSE)))</f>
        <v/>
      </c>
      <c r="I466" s="2" t="str">
        <f>IF(VLOOKUP($B466,Q,14,FALSE)=0,"",(VLOOKUP($B466,Q,15,FALSE)))</f>
        <v/>
      </c>
      <c r="J466" s="2" t="str">
        <f>IF(VLOOKUP($B466,Q,14,FALSE)=0,"",(VLOOKUP($B466,Q,16,FALSE)))</f>
        <v/>
      </c>
      <c r="K466" s="2" t="str">
        <f>IF(VLOOKUP($B466,Q,14,FALSE)=0,"",(VLOOKUP($B466,Q,17,FALSE)))</f>
        <v/>
      </c>
    </row>
    <row r="467" spans="2:11" x14ac:dyDescent="0.6">
      <c r="B467" s="1">
        <v>470</v>
      </c>
      <c r="C467" s="2" t="str">
        <f>IF(VLOOKUP($B467,Q,2,FALSE)=0,"",(VLOOKUP($B467,Q,2,FALSE)))</f>
        <v/>
      </c>
      <c r="D467" s="2" t="str">
        <f>IF(VLOOKUP($B467,Q,3,FALSE)=0,"",(VLOOKUP($B467,Q,3,FALSE)))</f>
        <v/>
      </c>
      <c r="E467" s="2" t="str">
        <f>IF(VLOOKUP($B467,Q,8,FALSE)=0,"",(VLOOKUP($B467,Q,8,FALSE)))</f>
        <v/>
      </c>
      <c r="F467" s="19" t="str">
        <f>IF(VLOOKUP($B467,Q,9,FALSE)=0,"",(VLOOKUP($B467,Q,9,FALSE)))</f>
        <v/>
      </c>
      <c r="G467" s="2" t="str">
        <f>IF(VLOOKUP($B467,Q,10,FALSE)=0,"",(VLOOKUP($B467,Q,10,FALSE)))</f>
        <v/>
      </c>
      <c r="H467" s="2" t="str">
        <f>IF(VLOOKUP($B467,Q,14,FALSE)=0,"",(VLOOKUP($B467,Q,14,FALSE)))</f>
        <v/>
      </c>
      <c r="I467" s="2" t="str">
        <f>IF(VLOOKUP($B467,Q,14,FALSE)=0,"",(VLOOKUP($B467,Q,15,FALSE)))</f>
        <v/>
      </c>
      <c r="J467" s="2" t="str">
        <f>IF(VLOOKUP($B467,Q,14,FALSE)=0,"",(VLOOKUP($B467,Q,16,FALSE)))</f>
        <v/>
      </c>
      <c r="K467" s="2" t="str">
        <f>IF(VLOOKUP($B467,Q,14,FALSE)=0,"",(VLOOKUP($B467,Q,17,FALSE)))</f>
        <v/>
      </c>
    </row>
    <row r="468" spans="2:11" x14ac:dyDescent="0.6">
      <c r="B468" s="1">
        <v>471</v>
      </c>
      <c r="C468" s="2" t="str">
        <f>IF(VLOOKUP($B468,Q,2,FALSE)=0,"",(VLOOKUP($B468,Q,2,FALSE)))</f>
        <v/>
      </c>
      <c r="D468" s="2" t="str">
        <f>IF(VLOOKUP($B468,Q,3,FALSE)=0,"",(VLOOKUP($B468,Q,3,FALSE)))</f>
        <v/>
      </c>
      <c r="E468" s="2" t="str">
        <f>IF(VLOOKUP($B468,Q,8,FALSE)=0,"",(VLOOKUP($B468,Q,8,FALSE)))</f>
        <v/>
      </c>
      <c r="F468" s="19" t="str">
        <f>IF(VLOOKUP($B468,Q,9,FALSE)=0,"",(VLOOKUP($B468,Q,9,FALSE)))</f>
        <v/>
      </c>
      <c r="G468" s="2" t="str">
        <f>IF(VLOOKUP($B468,Q,10,FALSE)=0,"",(VLOOKUP($B468,Q,10,FALSE)))</f>
        <v/>
      </c>
      <c r="H468" s="2" t="str">
        <f>IF(VLOOKUP($B468,Q,14,FALSE)=0,"",(VLOOKUP($B468,Q,14,FALSE)))</f>
        <v/>
      </c>
      <c r="I468" s="2" t="str">
        <f>IF(VLOOKUP($B468,Q,14,FALSE)=0,"",(VLOOKUP($B468,Q,15,FALSE)))</f>
        <v/>
      </c>
      <c r="J468" s="2" t="str">
        <f>IF(VLOOKUP($B468,Q,14,FALSE)=0,"",(VLOOKUP($B468,Q,16,FALSE)))</f>
        <v/>
      </c>
      <c r="K468" s="2" t="str">
        <f>IF(VLOOKUP($B468,Q,14,FALSE)=0,"",(VLOOKUP($B468,Q,17,FALSE)))</f>
        <v/>
      </c>
    </row>
    <row r="469" spans="2:11" x14ac:dyDescent="0.6">
      <c r="B469" s="1">
        <v>472</v>
      </c>
      <c r="C469" s="2" t="str">
        <f>IF(VLOOKUP($B469,Q,2,FALSE)=0,"",(VLOOKUP($B469,Q,2,FALSE)))</f>
        <v/>
      </c>
      <c r="D469" s="2" t="str">
        <f>IF(VLOOKUP($B469,Q,3,FALSE)=0,"",(VLOOKUP($B469,Q,3,FALSE)))</f>
        <v/>
      </c>
      <c r="E469" s="2" t="str">
        <f>IF(VLOOKUP($B469,Q,8,FALSE)=0,"",(VLOOKUP($B469,Q,8,FALSE)))</f>
        <v/>
      </c>
      <c r="F469" s="19" t="str">
        <f>IF(VLOOKUP($B469,Q,9,FALSE)=0,"",(VLOOKUP($B469,Q,9,FALSE)))</f>
        <v/>
      </c>
      <c r="G469" s="2" t="str">
        <f>IF(VLOOKUP($B469,Q,10,FALSE)=0,"",(VLOOKUP($B469,Q,10,FALSE)))</f>
        <v/>
      </c>
      <c r="H469" s="2" t="str">
        <f>IF(VLOOKUP($B469,Q,14,FALSE)=0,"",(VLOOKUP($B469,Q,14,FALSE)))</f>
        <v/>
      </c>
      <c r="I469" s="2" t="str">
        <f>IF(VLOOKUP($B469,Q,14,FALSE)=0,"",(VLOOKUP($B469,Q,15,FALSE)))</f>
        <v/>
      </c>
      <c r="J469" s="2" t="str">
        <f>IF(VLOOKUP($B469,Q,14,FALSE)=0,"",(VLOOKUP($B469,Q,16,FALSE)))</f>
        <v/>
      </c>
      <c r="K469" s="2" t="str">
        <f>IF(VLOOKUP($B469,Q,14,FALSE)=0,"",(VLOOKUP($B469,Q,17,FALSE)))</f>
        <v/>
      </c>
    </row>
    <row r="470" spans="2:11" x14ac:dyDescent="0.6">
      <c r="B470" s="1">
        <v>473</v>
      </c>
      <c r="C470" s="2" t="str">
        <f>IF(VLOOKUP($B470,Q,2,FALSE)=0,"",(VLOOKUP($B470,Q,2,FALSE)))</f>
        <v/>
      </c>
      <c r="D470" s="2" t="str">
        <f>IF(VLOOKUP($B470,Q,3,FALSE)=0,"",(VLOOKUP($B470,Q,3,FALSE)))</f>
        <v/>
      </c>
      <c r="E470" s="2" t="str">
        <f>IF(VLOOKUP($B470,Q,8,FALSE)=0,"",(VLOOKUP($B470,Q,8,FALSE)))</f>
        <v/>
      </c>
      <c r="F470" s="19" t="str">
        <f>IF(VLOOKUP($B470,Q,9,FALSE)=0,"",(VLOOKUP($B470,Q,9,FALSE)))</f>
        <v/>
      </c>
      <c r="G470" s="2" t="str">
        <f>IF(VLOOKUP($B470,Q,10,FALSE)=0,"",(VLOOKUP($B470,Q,10,FALSE)))</f>
        <v/>
      </c>
      <c r="H470" s="2" t="str">
        <f>IF(VLOOKUP($B470,Q,14,FALSE)=0,"",(VLOOKUP($B470,Q,14,FALSE)))</f>
        <v/>
      </c>
      <c r="I470" s="2" t="str">
        <f>IF(VLOOKUP($B470,Q,14,FALSE)=0,"",(VLOOKUP($B470,Q,15,FALSE)))</f>
        <v/>
      </c>
      <c r="J470" s="2" t="str">
        <f>IF(VLOOKUP($B470,Q,14,FALSE)=0,"",(VLOOKUP($B470,Q,16,FALSE)))</f>
        <v/>
      </c>
      <c r="K470" s="2" t="str">
        <f>IF(VLOOKUP($B470,Q,14,FALSE)=0,"",(VLOOKUP($B470,Q,17,FALSE)))</f>
        <v/>
      </c>
    </row>
    <row r="471" spans="2:11" x14ac:dyDescent="0.6">
      <c r="B471" s="1">
        <v>474</v>
      </c>
      <c r="C471" s="2" t="str">
        <f>IF(VLOOKUP($B471,Q,2,FALSE)=0,"",(VLOOKUP($B471,Q,2,FALSE)))</f>
        <v/>
      </c>
      <c r="D471" s="2" t="str">
        <f>IF(VLOOKUP($B471,Q,3,FALSE)=0,"",(VLOOKUP($B471,Q,3,FALSE)))</f>
        <v/>
      </c>
      <c r="E471" s="2" t="str">
        <f>IF(VLOOKUP($B471,Q,8,FALSE)=0,"",(VLOOKUP($B471,Q,8,FALSE)))</f>
        <v/>
      </c>
      <c r="F471" s="19" t="str">
        <f>IF(VLOOKUP($B471,Q,9,FALSE)=0,"",(VLOOKUP($B471,Q,9,FALSE)))</f>
        <v/>
      </c>
      <c r="G471" s="2" t="str">
        <f>IF(VLOOKUP($B471,Q,10,FALSE)=0,"",(VLOOKUP($B471,Q,10,FALSE)))</f>
        <v/>
      </c>
      <c r="H471" s="2" t="str">
        <f>IF(VLOOKUP($B471,Q,14,FALSE)=0,"",(VLOOKUP($B471,Q,14,FALSE)))</f>
        <v/>
      </c>
      <c r="I471" s="2" t="str">
        <f>IF(VLOOKUP($B471,Q,14,FALSE)=0,"",(VLOOKUP($B471,Q,15,FALSE)))</f>
        <v/>
      </c>
      <c r="J471" s="2" t="str">
        <f>IF(VLOOKUP($B471,Q,14,FALSE)=0,"",(VLOOKUP($B471,Q,16,FALSE)))</f>
        <v/>
      </c>
      <c r="K471" s="2" t="str">
        <f>IF(VLOOKUP($B471,Q,14,FALSE)=0,"",(VLOOKUP($B471,Q,17,FALSE)))</f>
        <v/>
      </c>
    </row>
    <row r="472" spans="2:11" x14ac:dyDescent="0.6">
      <c r="B472" s="1">
        <v>475</v>
      </c>
      <c r="C472" s="2" t="str">
        <f>IF(VLOOKUP($B472,Q,2,FALSE)=0,"",(VLOOKUP($B472,Q,2,FALSE)))</f>
        <v/>
      </c>
      <c r="D472" s="2" t="str">
        <f>IF(VLOOKUP($B472,Q,3,FALSE)=0,"",(VLOOKUP($B472,Q,3,FALSE)))</f>
        <v/>
      </c>
      <c r="E472" s="2" t="str">
        <f>IF(VLOOKUP($B472,Q,8,FALSE)=0,"",(VLOOKUP($B472,Q,8,FALSE)))</f>
        <v/>
      </c>
      <c r="F472" s="19" t="str">
        <f>IF(VLOOKUP($B472,Q,9,FALSE)=0,"",(VLOOKUP($B472,Q,9,FALSE)))</f>
        <v/>
      </c>
      <c r="G472" s="2" t="str">
        <f>IF(VLOOKUP($B472,Q,10,FALSE)=0,"",(VLOOKUP($B472,Q,10,FALSE)))</f>
        <v/>
      </c>
      <c r="H472" s="2" t="str">
        <f>IF(VLOOKUP($B472,Q,14,FALSE)=0,"",(VLOOKUP($B472,Q,14,FALSE)))</f>
        <v/>
      </c>
      <c r="I472" s="2" t="str">
        <f>IF(VLOOKUP($B472,Q,14,FALSE)=0,"",(VLOOKUP($B472,Q,15,FALSE)))</f>
        <v/>
      </c>
      <c r="J472" s="2" t="str">
        <f>IF(VLOOKUP($B472,Q,14,FALSE)=0,"",(VLOOKUP($B472,Q,16,FALSE)))</f>
        <v/>
      </c>
      <c r="K472" s="2" t="str">
        <f>IF(VLOOKUP($B472,Q,14,FALSE)=0,"",(VLOOKUP($B472,Q,17,FALSE)))</f>
        <v/>
      </c>
    </row>
    <row r="473" spans="2:11" x14ac:dyDescent="0.6">
      <c r="B473" s="1">
        <v>476</v>
      </c>
      <c r="C473" s="2" t="str">
        <f>IF(VLOOKUP($B473,Q,2,FALSE)=0,"",(VLOOKUP($B473,Q,2,FALSE)))</f>
        <v/>
      </c>
      <c r="D473" s="2" t="str">
        <f>IF(VLOOKUP($B473,Q,3,FALSE)=0,"",(VLOOKUP($B473,Q,3,FALSE)))</f>
        <v/>
      </c>
      <c r="E473" s="2" t="str">
        <f>IF(VLOOKUP($B473,Q,8,FALSE)=0,"",(VLOOKUP($B473,Q,8,FALSE)))</f>
        <v/>
      </c>
      <c r="F473" s="19" t="str">
        <f>IF(VLOOKUP($B473,Q,9,FALSE)=0,"",(VLOOKUP($B473,Q,9,FALSE)))</f>
        <v/>
      </c>
      <c r="G473" s="2" t="str">
        <f>IF(VLOOKUP($B473,Q,10,FALSE)=0,"",(VLOOKUP($B473,Q,10,FALSE)))</f>
        <v/>
      </c>
      <c r="H473" s="2" t="str">
        <f>IF(VLOOKUP($B473,Q,14,FALSE)=0,"",(VLOOKUP($B473,Q,14,FALSE)))</f>
        <v/>
      </c>
      <c r="I473" s="2" t="str">
        <f>IF(VLOOKUP($B473,Q,14,FALSE)=0,"",(VLOOKUP($B473,Q,15,FALSE)))</f>
        <v/>
      </c>
      <c r="J473" s="2" t="str">
        <f>IF(VLOOKUP($B473,Q,14,FALSE)=0,"",(VLOOKUP($B473,Q,16,FALSE)))</f>
        <v/>
      </c>
      <c r="K473" s="2" t="str">
        <f>IF(VLOOKUP($B473,Q,14,FALSE)=0,"",(VLOOKUP($B473,Q,17,FALSE)))</f>
        <v/>
      </c>
    </row>
    <row r="474" spans="2:11" x14ac:dyDescent="0.6">
      <c r="B474" s="1">
        <v>477</v>
      </c>
      <c r="C474" s="2" t="str">
        <f>IF(VLOOKUP($B474,Q,2,FALSE)=0,"",(VLOOKUP($B474,Q,2,FALSE)))</f>
        <v/>
      </c>
      <c r="D474" s="2" t="str">
        <f>IF(VLOOKUP($B474,Q,3,FALSE)=0,"",(VLOOKUP($B474,Q,3,FALSE)))</f>
        <v/>
      </c>
      <c r="E474" s="2" t="str">
        <f>IF(VLOOKUP($B474,Q,8,FALSE)=0,"",(VLOOKUP($B474,Q,8,FALSE)))</f>
        <v/>
      </c>
      <c r="F474" s="19" t="str">
        <f>IF(VLOOKUP($B474,Q,9,FALSE)=0,"",(VLOOKUP($B474,Q,9,FALSE)))</f>
        <v/>
      </c>
      <c r="G474" s="2" t="str">
        <f>IF(VLOOKUP($B474,Q,10,FALSE)=0,"",(VLOOKUP($B474,Q,10,FALSE)))</f>
        <v/>
      </c>
      <c r="H474" s="2" t="str">
        <f>IF(VLOOKUP($B474,Q,14,FALSE)=0,"",(VLOOKUP($B474,Q,14,FALSE)))</f>
        <v/>
      </c>
      <c r="I474" s="2" t="str">
        <f>IF(VLOOKUP($B474,Q,14,FALSE)=0,"",(VLOOKUP($B474,Q,15,FALSE)))</f>
        <v/>
      </c>
      <c r="J474" s="2" t="str">
        <f>IF(VLOOKUP($B474,Q,14,FALSE)=0,"",(VLOOKUP($B474,Q,16,FALSE)))</f>
        <v/>
      </c>
      <c r="K474" s="2" t="str">
        <f>IF(VLOOKUP($B474,Q,14,FALSE)=0,"",(VLOOKUP($B474,Q,17,FALSE)))</f>
        <v/>
      </c>
    </row>
    <row r="475" spans="2:11" x14ac:dyDescent="0.6">
      <c r="B475" s="1">
        <v>478</v>
      </c>
      <c r="C475" s="2" t="str">
        <f>IF(VLOOKUP($B475,Q,2,FALSE)=0,"",(VLOOKUP($B475,Q,2,FALSE)))</f>
        <v/>
      </c>
      <c r="D475" s="2" t="str">
        <f>IF(VLOOKUP($B475,Q,3,FALSE)=0,"",(VLOOKUP($B475,Q,3,FALSE)))</f>
        <v/>
      </c>
      <c r="E475" s="2" t="str">
        <f>IF(VLOOKUP($B475,Q,8,FALSE)=0,"",(VLOOKUP($B475,Q,8,FALSE)))</f>
        <v/>
      </c>
      <c r="F475" s="19" t="str">
        <f>IF(VLOOKUP($B475,Q,9,FALSE)=0,"",(VLOOKUP($B475,Q,9,FALSE)))</f>
        <v/>
      </c>
      <c r="G475" s="2" t="str">
        <f>IF(VLOOKUP($B475,Q,10,FALSE)=0,"",(VLOOKUP($B475,Q,10,FALSE)))</f>
        <v/>
      </c>
      <c r="H475" s="2" t="str">
        <f>IF(VLOOKUP($B475,Q,14,FALSE)=0,"",(VLOOKUP($B475,Q,14,FALSE)))</f>
        <v/>
      </c>
      <c r="I475" s="2" t="str">
        <f>IF(VLOOKUP($B475,Q,14,FALSE)=0,"",(VLOOKUP($B475,Q,15,FALSE)))</f>
        <v/>
      </c>
      <c r="J475" s="2" t="str">
        <f>IF(VLOOKUP($B475,Q,14,FALSE)=0,"",(VLOOKUP($B475,Q,16,FALSE)))</f>
        <v/>
      </c>
      <c r="K475" s="2" t="str">
        <f>IF(VLOOKUP($B475,Q,14,FALSE)=0,"",(VLOOKUP($B475,Q,17,FALSE)))</f>
        <v/>
      </c>
    </row>
    <row r="476" spans="2:11" x14ac:dyDescent="0.6">
      <c r="B476" s="1">
        <v>479</v>
      </c>
      <c r="C476" s="2" t="str">
        <f>IF(VLOOKUP($B476,Q,2,FALSE)=0,"",(VLOOKUP($B476,Q,2,FALSE)))</f>
        <v/>
      </c>
      <c r="D476" s="2" t="str">
        <f>IF(VLOOKUP($B476,Q,3,FALSE)=0,"",(VLOOKUP($B476,Q,3,FALSE)))</f>
        <v/>
      </c>
      <c r="E476" s="2" t="str">
        <f>IF(VLOOKUP($B476,Q,8,FALSE)=0,"",(VLOOKUP($B476,Q,8,FALSE)))</f>
        <v/>
      </c>
      <c r="F476" s="19" t="str">
        <f>IF(VLOOKUP($B476,Q,9,FALSE)=0,"",(VLOOKUP($B476,Q,9,FALSE)))</f>
        <v/>
      </c>
      <c r="G476" s="2" t="str">
        <f>IF(VLOOKUP($B476,Q,10,FALSE)=0,"",(VLOOKUP($B476,Q,10,FALSE)))</f>
        <v/>
      </c>
      <c r="H476" s="2" t="str">
        <f>IF(VLOOKUP($B476,Q,14,FALSE)=0,"",(VLOOKUP($B476,Q,14,FALSE)))</f>
        <v/>
      </c>
      <c r="I476" s="2" t="str">
        <f>IF(VLOOKUP($B476,Q,14,FALSE)=0,"",(VLOOKUP($B476,Q,15,FALSE)))</f>
        <v/>
      </c>
      <c r="J476" s="2" t="str">
        <f>IF(VLOOKUP($B476,Q,14,FALSE)=0,"",(VLOOKUP($B476,Q,16,FALSE)))</f>
        <v/>
      </c>
      <c r="K476" s="2" t="str">
        <f>IF(VLOOKUP($B476,Q,14,FALSE)=0,"",(VLOOKUP($B476,Q,17,FALSE)))</f>
        <v/>
      </c>
    </row>
    <row r="477" spans="2:11" x14ac:dyDescent="0.6">
      <c r="B477" s="1">
        <v>480</v>
      </c>
      <c r="C477" s="2" t="str">
        <f>IF(VLOOKUP($B477,Q,2,FALSE)=0,"",(VLOOKUP($B477,Q,2,FALSE)))</f>
        <v/>
      </c>
      <c r="D477" s="2" t="str">
        <f>IF(VLOOKUP($B477,Q,3,FALSE)=0,"",(VLOOKUP($B477,Q,3,FALSE)))</f>
        <v/>
      </c>
      <c r="E477" s="2" t="str">
        <f>IF(VLOOKUP($B477,Q,8,FALSE)=0,"",(VLOOKUP($B477,Q,8,FALSE)))</f>
        <v/>
      </c>
      <c r="F477" s="19" t="str">
        <f>IF(VLOOKUP($B477,Q,9,FALSE)=0,"",(VLOOKUP($B477,Q,9,FALSE)))</f>
        <v/>
      </c>
      <c r="G477" s="2" t="str">
        <f>IF(VLOOKUP($B477,Q,10,FALSE)=0,"",(VLOOKUP($B477,Q,10,FALSE)))</f>
        <v/>
      </c>
      <c r="H477" s="2" t="str">
        <f>IF(VLOOKUP($B477,Q,14,FALSE)=0,"",(VLOOKUP($B477,Q,14,FALSE)))</f>
        <v/>
      </c>
      <c r="I477" s="2" t="str">
        <f>IF(VLOOKUP($B477,Q,14,FALSE)=0,"",(VLOOKUP($B477,Q,15,FALSE)))</f>
        <v/>
      </c>
      <c r="J477" s="2" t="str">
        <f>IF(VLOOKUP($B477,Q,14,FALSE)=0,"",(VLOOKUP($B477,Q,16,FALSE)))</f>
        <v/>
      </c>
      <c r="K477" s="2" t="str">
        <f>IF(VLOOKUP($B477,Q,14,FALSE)=0,"",(VLOOKUP($B477,Q,17,FALSE)))</f>
        <v/>
      </c>
    </row>
    <row r="478" spans="2:11" x14ac:dyDescent="0.6">
      <c r="B478" s="1">
        <v>481</v>
      </c>
      <c r="C478" s="2" t="str">
        <f>IF(VLOOKUP($B478,Q,2,FALSE)=0,"",(VLOOKUP($B478,Q,2,FALSE)))</f>
        <v/>
      </c>
      <c r="D478" s="2" t="str">
        <f>IF(VLOOKUP($B478,Q,3,FALSE)=0,"",(VLOOKUP($B478,Q,3,FALSE)))</f>
        <v/>
      </c>
      <c r="E478" s="2" t="str">
        <f>IF(VLOOKUP($B478,Q,8,FALSE)=0,"",(VLOOKUP($B478,Q,8,FALSE)))</f>
        <v/>
      </c>
      <c r="F478" s="19" t="str">
        <f>IF(VLOOKUP($B478,Q,9,FALSE)=0,"",(VLOOKUP($B478,Q,9,FALSE)))</f>
        <v/>
      </c>
      <c r="G478" s="2" t="str">
        <f>IF(VLOOKUP($B478,Q,10,FALSE)=0,"",(VLOOKUP($B478,Q,10,FALSE)))</f>
        <v/>
      </c>
      <c r="H478" s="2" t="str">
        <f>IF(VLOOKUP($B478,Q,14,FALSE)=0,"",(VLOOKUP($B478,Q,14,FALSE)))</f>
        <v/>
      </c>
      <c r="I478" s="2" t="str">
        <f>IF(VLOOKUP($B478,Q,14,FALSE)=0,"",(VLOOKUP($B478,Q,15,FALSE)))</f>
        <v/>
      </c>
      <c r="J478" s="2" t="str">
        <f>IF(VLOOKUP($B478,Q,14,FALSE)=0,"",(VLOOKUP($B478,Q,16,FALSE)))</f>
        <v/>
      </c>
      <c r="K478" s="2" t="str">
        <f>IF(VLOOKUP($B478,Q,14,FALSE)=0,"",(VLOOKUP($B478,Q,17,FALSE)))</f>
        <v/>
      </c>
    </row>
    <row r="479" spans="2:11" x14ac:dyDescent="0.6">
      <c r="B479" s="1">
        <v>482</v>
      </c>
      <c r="C479" s="2" t="str">
        <f>IF(VLOOKUP($B479,Q,2,FALSE)=0,"",(VLOOKUP($B479,Q,2,FALSE)))</f>
        <v/>
      </c>
      <c r="D479" s="2" t="str">
        <f>IF(VLOOKUP($B479,Q,3,FALSE)=0,"",(VLOOKUP($B479,Q,3,FALSE)))</f>
        <v/>
      </c>
      <c r="E479" s="2" t="str">
        <f>IF(VLOOKUP($B479,Q,8,FALSE)=0,"",(VLOOKUP($B479,Q,8,FALSE)))</f>
        <v/>
      </c>
      <c r="F479" s="19" t="str">
        <f>IF(VLOOKUP($B479,Q,9,FALSE)=0,"",(VLOOKUP($B479,Q,9,FALSE)))</f>
        <v/>
      </c>
      <c r="G479" s="2" t="str">
        <f>IF(VLOOKUP($B479,Q,10,FALSE)=0,"",(VLOOKUP($B479,Q,10,FALSE)))</f>
        <v/>
      </c>
      <c r="H479" s="2" t="str">
        <f>IF(VLOOKUP($B479,Q,14,FALSE)=0,"",(VLOOKUP($B479,Q,14,FALSE)))</f>
        <v/>
      </c>
      <c r="I479" s="2" t="str">
        <f>IF(VLOOKUP($B479,Q,14,FALSE)=0,"",(VLOOKUP($B479,Q,15,FALSE)))</f>
        <v/>
      </c>
      <c r="J479" s="2" t="str">
        <f>IF(VLOOKUP($B479,Q,14,FALSE)=0,"",(VLOOKUP($B479,Q,16,FALSE)))</f>
        <v/>
      </c>
      <c r="K479" s="2" t="str">
        <f>IF(VLOOKUP($B479,Q,14,FALSE)=0,"",(VLOOKUP($B479,Q,17,FALSE)))</f>
        <v/>
      </c>
    </row>
    <row r="480" spans="2:11" x14ac:dyDescent="0.6">
      <c r="B480" s="1">
        <v>483</v>
      </c>
      <c r="C480" s="2" t="str">
        <f>IF(VLOOKUP($B480,Q,2,FALSE)=0,"",(VLOOKUP($B480,Q,2,FALSE)))</f>
        <v/>
      </c>
      <c r="D480" s="2" t="str">
        <f>IF(VLOOKUP($B480,Q,3,FALSE)=0,"",(VLOOKUP($B480,Q,3,FALSE)))</f>
        <v/>
      </c>
      <c r="E480" s="2" t="str">
        <f>IF(VLOOKUP($B480,Q,8,FALSE)=0,"",(VLOOKUP($B480,Q,8,FALSE)))</f>
        <v/>
      </c>
      <c r="F480" s="19" t="str">
        <f>IF(VLOOKUP($B480,Q,9,FALSE)=0,"",(VLOOKUP($B480,Q,9,FALSE)))</f>
        <v/>
      </c>
      <c r="G480" s="2" t="str">
        <f>IF(VLOOKUP($B480,Q,10,FALSE)=0,"",(VLOOKUP($B480,Q,10,FALSE)))</f>
        <v/>
      </c>
      <c r="H480" s="2" t="str">
        <f>IF(VLOOKUP($B480,Q,14,FALSE)=0,"",(VLOOKUP($B480,Q,14,FALSE)))</f>
        <v/>
      </c>
      <c r="I480" s="2" t="str">
        <f>IF(VLOOKUP($B480,Q,14,FALSE)=0,"",(VLOOKUP($B480,Q,15,FALSE)))</f>
        <v/>
      </c>
      <c r="J480" s="2" t="str">
        <f>IF(VLOOKUP($B480,Q,14,FALSE)=0,"",(VLOOKUP($B480,Q,16,FALSE)))</f>
        <v/>
      </c>
      <c r="K480" s="2" t="str">
        <f>IF(VLOOKUP($B480,Q,14,FALSE)=0,"",(VLOOKUP($B480,Q,17,FALSE)))</f>
        <v/>
      </c>
    </row>
    <row r="481" spans="2:11" x14ac:dyDescent="0.6">
      <c r="B481" s="1">
        <v>484</v>
      </c>
      <c r="C481" s="2" t="str">
        <f>IF(VLOOKUP($B481,Q,2,FALSE)=0,"",(VLOOKUP($B481,Q,2,FALSE)))</f>
        <v/>
      </c>
      <c r="D481" s="2" t="str">
        <f>IF(VLOOKUP($B481,Q,3,FALSE)=0,"",(VLOOKUP($B481,Q,3,FALSE)))</f>
        <v/>
      </c>
      <c r="E481" s="2" t="str">
        <f>IF(VLOOKUP($B481,Q,8,FALSE)=0,"",(VLOOKUP($B481,Q,8,FALSE)))</f>
        <v/>
      </c>
      <c r="F481" s="19" t="str">
        <f>IF(VLOOKUP($B481,Q,9,FALSE)=0,"",(VLOOKUP($B481,Q,9,FALSE)))</f>
        <v/>
      </c>
      <c r="G481" s="2" t="str">
        <f>IF(VLOOKUP($B481,Q,10,FALSE)=0,"",(VLOOKUP($B481,Q,10,FALSE)))</f>
        <v/>
      </c>
      <c r="H481" s="2" t="str">
        <f>IF(VLOOKUP($B481,Q,14,FALSE)=0,"",(VLOOKUP($B481,Q,14,FALSE)))</f>
        <v/>
      </c>
      <c r="I481" s="2" t="str">
        <f>IF(VLOOKUP($B481,Q,14,FALSE)=0,"",(VLOOKUP($B481,Q,15,FALSE)))</f>
        <v/>
      </c>
      <c r="J481" s="2" t="str">
        <f>IF(VLOOKUP($B481,Q,14,FALSE)=0,"",(VLOOKUP($B481,Q,16,FALSE)))</f>
        <v/>
      </c>
      <c r="K481" s="2" t="str">
        <f>IF(VLOOKUP($B481,Q,14,FALSE)=0,"",(VLOOKUP($B481,Q,17,FALSE)))</f>
        <v/>
      </c>
    </row>
    <row r="482" spans="2:11" x14ac:dyDescent="0.6">
      <c r="B482" s="1">
        <v>485</v>
      </c>
      <c r="C482" s="2" t="str">
        <f>IF(VLOOKUP($B482,Q,2,FALSE)=0,"",(VLOOKUP($B482,Q,2,FALSE)))</f>
        <v/>
      </c>
      <c r="D482" s="2" t="str">
        <f>IF(VLOOKUP($B482,Q,3,FALSE)=0,"",(VLOOKUP($B482,Q,3,FALSE)))</f>
        <v/>
      </c>
      <c r="E482" s="2" t="str">
        <f>IF(VLOOKUP($B482,Q,8,FALSE)=0,"",(VLOOKUP($B482,Q,8,FALSE)))</f>
        <v/>
      </c>
      <c r="F482" s="19" t="str">
        <f>IF(VLOOKUP($B482,Q,9,FALSE)=0,"",(VLOOKUP($B482,Q,9,FALSE)))</f>
        <v/>
      </c>
      <c r="G482" s="2" t="str">
        <f>IF(VLOOKUP($B482,Q,10,FALSE)=0,"",(VLOOKUP($B482,Q,10,FALSE)))</f>
        <v/>
      </c>
      <c r="H482" s="2" t="str">
        <f>IF(VLOOKUP($B482,Q,14,FALSE)=0,"",(VLOOKUP($B482,Q,14,FALSE)))</f>
        <v/>
      </c>
      <c r="I482" s="2" t="str">
        <f>IF(VLOOKUP($B482,Q,14,FALSE)=0,"",(VLOOKUP($B482,Q,15,FALSE)))</f>
        <v/>
      </c>
      <c r="J482" s="2" t="str">
        <f>IF(VLOOKUP($B482,Q,14,FALSE)=0,"",(VLOOKUP($B482,Q,16,FALSE)))</f>
        <v/>
      </c>
      <c r="K482" s="2" t="str">
        <f>IF(VLOOKUP($B482,Q,14,FALSE)=0,"",(VLOOKUP($B482,Q,17,FALSE)))</f>
        <v/>
      </c>
    </row>
    <row r="483" spans="2:11" x14ac:dyDescent="0.6">
      <c r="B483" s="1">
        <v>486</v>
      </c>
      <c r="C483" s="2" t="str">
        <f>IF(VLOOKUP($B483,Q,2,FALSE)=0,"",(VLOOKUP($B483,Q,2,FALSE)))</f>
        <v/>
      </c>
      <c r="D483" s="2" t="str">
        <f>IF(VLOOKUP($B483,Q,3,FALSE)=0,"",(VLOOKUP($B483,Q,3,FALSE)))</f>
        <v/>
      </c>
      <c r="E483" s="2" t="str">
        <f>IF(VLOOKUP($B483,Q,8,FALSE)=0,"",(VLOOKUP($B483,Q,8,FALSE)))</f>
        <v/>
      </c>
      <c r="F483" s="19" t="str">
        <f>IF(VLOOKUP($B483,Q,9,FALSE)=0,"",(VLOOKUP($B483,Q,9,FALSE)))</f>
        <v/>
      </c>
      <c r="G483" s="2" t="str">
        <f>IF(VLOOKUP($B483,Q,10,FALSE)=0,"",(VLOOKUP($B483,Q,10,FALSE)))</f>
        <v/>
      </c>
      <c r="H483" s="2" t="str">
        <f>IF(VLOOKUP($B483,Q,14,FALSE)=0,"",(VLOOKUP($B483,Q,14,FALSE)))</f>
        <v/>
      </c>
      <c r="I483" s="2" t="str">
        <f>IF(VLOOKUP($B483,Q,14,FALSE)=0,"",(VLOOKUP($B483,Q,15,FALSE)))</f>
        <v/>
      </c>
      <c r="J483" s="2" t="str">
        <f>IF(VLOOKUP($B483,Q,14,FALSE)=0,"",(VLOOKUP($B483,Q,16,FALSE)))</f>
        <v/>
      </c>
      <c r="K483" s="2" t="str">
        <f>IF(VLOOKUP($B483,Q,14,FALSE)=0,"",(VLOOKUP($B483,Q,17,FALSE)))</f>
        <v/>
      </c>
    </row>
    <row r="484" spans="2:11" x14ac:dyDescent="0.6">
      <c r="B484" s="1">
        <v>487</v>
      </c>
      <c r="C484" s="2" t="str">
        <f>IF(VLOOKUP($B484,Q,2,FALSE)=0,"",(VLOOKUP($B484,Q,2,FALSE)))</f>
        <v/>
      </c>
      <c r="D484" s="2" t="str">
        <f>IF(VLOOKUP($B484,Q,3,FALSE)=0,"",(VLOOKUP($B484,Q,3,FALSE)))</f>
        <v/>
      </c>
      <c r="E484" s="2" t="str">
        <f>IF(VLOOKUP($B484,Q,8,FALSE)=0,"",(VLOOKUP($B484,Q,8,FALSE)))</f>
        <v/>
      </c>
      <c r="F484" s="19" t="str">
        <f>IF(VLOOKUP($B484,Q,9,FALSE)=0,"",(VLOOKUP($B484,Q,9,FALSE)))</f>
        <v/>
      </c>
      <c r="G484" s="2" t="str">
        <f>IF(VLOOKUP($B484,Q,10,FALSE)=0,"",(VLOOKUP($B484,Q,10,FALSE)))</f>
        <v/>
      </c>
      <c r="H484" s="2" t="str">
        <f>IF(VLOOKUP($B484,Q,14,FALSE)=0,"",(VLOOKUP($B484,Q,14,FALSE)))</f>
        <v/>
      </c>
      <c r="I484" s="2" t="str">
        <f>IF(VLOOKUP($B484,Q,14,FALSE)=0,"",(VLOOKUP($B484,Q,15,FALSE)))</f>
        <v/>
      </c>
      <c r="J484" s="2" t="str">
        <f>IF(VLOOKUP($B484,Q,14,FALSE)=0,"",(VLOOKUP($B484,Q,16,FALSE)))</f>
        <v/>
      </c>
      <c r="K484" s="2" t="str">
        <f>IF(VLOOKUP($B484,Q,14,FALSE)=0,"",(VLOOKUP($B484,Q,17,FALSE)))</f>
        <v/>
      </c>
    </row>
    <row r="485" spans="2:11" x14ac:dyDescent="0.6">
      <c r="B485" s="1">
        <v>488</v>
      </c>
      <c r="C485" s="2" t="str">
        <f>IF(VLOOKUP($B485,Q,2,FALSE)=0,"",(VLOOKUP($B485,Q,2,FALSE)))</f>
        <v/>
      </c>
      <c r="D485" s="2" t="str">
        <f>IF(VLOOKUP($B485,Q,3,FALSE)=0,"",(VLOOKUP($B485,Q,3,FALSE)))</f>
        <v/>
      </c>
      <c r="E485" s="2" t="str">
        <f>IF(VLOOKUP($B485,Q,8,FALSE)=0,"",(VLOOKUP($B485,Q,8,FALSE)))</f>
        <v/>
      </c>
      <c r="F485" s="19" t="str">
        <f>IF(VLOOKUP($B485,Q,9,FALSE)=0,"",(VLOOKUP($B485,Q,9,FALSE)))</f>
        <v/>
      </c>
      <c r="G485" s="2" t="str">
        <f>IF(VLOOKUP($B485,Q,10,FALSE)=0,"",(VLOOKUP($B485,Q,10,FALSE)))</f>
        <v/>
      </c>
      <c r="H485" s="2" t="str">
        <f>IF(VLOOKUP($B485,Q,14,FALSE)=0,"",(VLOOKUP($B485,Q,14,FALSE)))</f>
        <v/>
      </c>
      <c r="I485" s="2" t="str">
        <f>IF(VLOOKUP($B485,Q,14,FALSE)=0,"",(VLOOKUP($B485,Q,15,FALSE)))</f>
        <v/>
      </c>
      <c r="J485" s="2" t="str">
        <f>IF(VLOOKUP($B485,Q,14,FALSE)=0,"",(VLOOKUP($B485,Q,16,FALSE)))</f>
        <v/>
      </c>
      <c r="K485" s="2" t="str">
        <f>IF(VLOOKUP($B485,Q,14,FALSE)=0,"",(VLOOKUP($B485,Q,17,FALSE)))</f>
        <v/>
      </c>
    </row>
    <row r="486" spans="2:11" x14ac:dyDescent="0.6">
      <c r="B486" s="1">
        <v>489</v>
      </c>
      <c r="C486" s="2" t="str">
        <f>IF(VLOOKUP($B486,Q,2,FALSE)=0,"",(VLOOKUP($B486,Q,2,FALSE)))</f>
        <v/>
      </c>
      <c r="D486" s="2" t="str">
        <f>IF(VLOOKUP($B486,Q,3,FALSE)=0,"",(VLOOKUP($B486,Q,3,FALSE)))</f>
        <v/>
      </c>
      <c r="E486" s="2" t="str">
        <f>IF(VLOOKUP($B486,Q,8,FALSE)=0,"",(VLOOKUP($B486,Q,8,FALSE)))</f>
        <v/>
      </c>
      <c r="F486" s="19" t="str">
        <f>IF(VLOOKUP($B486,Q,9,FALSE)=0,"",(VLOOKUP($B486,Q,9,FALSE)))</f>
        <v/>
      </c>
      <c r="G486" s="2" t="str">
        <f>IF(VLOOKUP($B486,Q,10,FALSE)=0,"",(VLOOKUP($B486,Q,10,FALSE)))</f>
        <v/>
      </c>
      <c r="H486" s="2" t="str">
        <f>IF(VLOOKUP($B486,Q,14,FALSE)=0,"",(VLOOKUP($B486,Q,14,FALSE)))</f>
        <v/>
      </c>
      <c r="I486" s="2" t="str">
        <f>IF(VLOOKUP($B486,Q,14,FALSE)=0,"",(VLOOKUP($B486,Q,15,FALSE)))</f>
        <v/>
      </c>
      <c r="J486" s="2" t="str">
        <f>IF(VLOOKUP($B486,Q,14,FALSE)=0,"",(VLOOKUP($B486,Q,16,FALSE)))</f>
        <v/>
      </c>
      <c r="K486" s="2" t="str">
        <f>IF(VLOOKUP($B486,Q,14,FALSE)=0,"",(VLOOKUP($B486,Q,17,FALSE)))</f>
        <v/>
      </c>
    </row>
    <row r="487" spans="2:11" x14ac:dyDescent="0.6">
      <c r="B487" s="1">
        <v>490</v>
      </c>
      <c r="C487" s="2" t="str">
        <f>IF(VLOOKUP($B487,Q,2,FALSE)=0,"",(VLOOKUP($B487,Q,2,FALSE)))</f>
        <v/>
      </c>
      <c r="D487" s="2" t="str">
        <f>IF(VLOOKUP($B487,Q,3,FALSE)=0,"",(VLOOKUP($B487,Q,3,FALSE)))</f>
        <v/>
      </c>
      <c r="E487" s="2" t="str">
        <f>IF(VLOOKUP($B487,Q,8,FALSE)=0,"",(VLOOKUP($B487,Q,8,FALSE)))</f>
        <v/>
      </c>
      <c r="F487" s="19" t="str">
        <f>IF(VLOOKUP($B487,Q,9,FALSE)=0,"",(VLOOKUP($B487,Q,9,FALSE)))</f>
        <v/>
      </c>
      <c r="G487" s="2" t="str">
        <f>IF(VLOOKUP($B487,Q,10,FALSE)=0,"",(VLOOKUP($B487,Q,10,FALSE)))</f>
        <v/>
      </c>
      <c r="H487" s="2" t="str">
        <f>IF(VLOOKUP($B487,Q,14,FALSE)=0,"",(VLOOKUP($B487,Q,14,FALSE)))</f>
        <v/>
      </c>
      <c r="I487" s="2" t="str">
        <f>IF(VLOOKUP($B487,Q,14,FALSE)=0,"",(VLOOKUP($B487,Q,15,FALSE)))</f>
        <v/>
      </c>
      <c r="J487" s="2" t="str">
        <f>IF(VLOOKUP($B487,Q,14,FALSE)=0,"",(VLOOKUP($B487,Q,16,FALSE)))</f>
        <v/>
      </c>
      <c r="K487" s="2" t="str">
        <f>IF(VLOOKUP($B487,Q,14,FALSE)=0,"",(VLOOKUP($B487,Q,17,FALSE)))</f>
        <v/>
      </c>
    </row>
    <row r="488" spans="2:11" x14ac:dyDescent="0.6">
      <c r="B488" s="1">
        <v>491</v>
      </c>
      <c r="C488" s="2" t="str">
        <f>IF(VLOOKUP($B488,Q,2,FALSE)=0,"",(VLOOKUP($B488,Q,2,FALSE)))</f>
        <v/>
      </c>
      <c r="D488" s="2" t="str">
        <f>IF(VLOOKUP($B488,Q,3,FALSE)=0,"",(VLOOKUP($B488,Q,3,FALSE)))</f>
        <v/>
      </c>
      <c r="E488" s="2" t="str">
        <f>IF(VLOOKUP($B488,Q,8,FALSE)=0,"",(VLOOKUP($B488,Q,8,FALSE)))</f>
        <v/>
      </c>
      <c r="F488" s="19" t="str">
        <f>IF(VLOOKUP($B488,Q,9,FALSE)=0,"",(VLOOKUP($B488,Q,9,FALSE)))</f>
        <v/>
      </c>
      <c r="G488" s="2" t="str">
        <f>IF(VLOOKUP($B488,Q,10,FALSE)=0,"",(VLOOKUP($B488,Q,10,FALSE)))</f>
        <v/>
      </c>
      <c r="H488" s="2" t="str">
        <f>IF(VLOOKUP($B488,Q,14,FALSE)=0,"",(VLOOKUP($B488,Q,14,FALSE)))</f>
        <v/>
      </c>
      <c r="I488" s="2" t="str">
        <f>IF(VLOOKUP($B488,Q,14,FALSE)=0,"",(VLOOKUP($B488,Q,15,FALSE)))</f>
        <v/>
      </c>
      <c r="J488" s="2" t="str">
        <f>IF(VLOOKUP($B488,Q,14,FALSE)=0,"",(VLOOKUP($B488,Q,16,FALSE)))</f>
        <v/>
      </c>
      <c r="K488" s="2" t="str">
        <f>IF(VLOOKUP($B488,Q,14,FALSE)=0,"",(VLOOKUP($B488,Q,17,FALSE)))</f>
        <v/>
      </c>
    </row>
    <row r="489" spans="2:11" x14ac:dyDescent="0.6">
      <c r="B489" s="1">
        <v>492</v>
      </c>
      <c r="C489" s="2" t="str">
        <f>IF(VLOOKUP($B489,Q,2,FALSE)=0,"",(VLOOKUP($B489,Q,2,FALSE)))</f>
        <v/>
      </c>
      <c r="D489" s="2" t="str">
        <f>IF(VLOOKUP($B489,Q,3,FALSE)=0,"",(VLOOKUP($B489,Q,3,FALSE)))</f>
        <v/>
      </c>
      <c r="E489" s="2" t="str">
        <f>IF(VLOOKUP($B489,Q,8,FALSE)=0,"",(VLOOKUP($B489,Q,8,FALSE)))</f>
        <v/>
      </c>
      <c r="F489" s="19" t="str">
        <f>IF(VLOOKUP($B489,Q,9,FALSE)=0,"",(VLOOKUP($B489,Q,9,FALSE)))</f>
        <v/>
      </c>
      <c r="G489" s="2" t="str">
        <f>IF(VLOOKUP($B489,Q,10,FALSE)=0,"",(VLOOKUP($B489,Q,10,FALSE)))</f>
        <v/>
      </c>
      <c r="H489" s="2" t="str">
        <f>IF(VLOOKUP($B489,Q,14,FALSE)=0,"",(VLOOKUP($B489,Q,14,FALSE)))</f>
        <v/>
      </c>
      <c r="I489" s="2" t="str">
        <f>IF(VLOOKUP($B489,Q,14,FALSE)=0,"",(VLOOKUP($B489,Q,15,FALSE)))</f>
        <v/>
      </c>
      <c r="J489" s="2" t="str">
        <f>IF(VLOOKUP($B489,Q,14,FALSE)=0,"",(VLOOKUP($B489,Q,16,FALSE)))</f>
        <v/>
      </c>
      <c r="K489" s="2" t="str">
        <f>IF(VLOOKUP($B489,Q,14,FALSE)=0,"",(VLOOKUP($B489,Q,17,FALSE)))</f>
        <v/>
      </c>
    </row>
    <row r="490" spans="2:11" x14ac:dyDescent="0.6">
      <c r="B490" s="1">
        <v>493</v>
      </c>
      <c r="C490" s="2" t="str">
        <f>IF(VLOOKUP($B490,Q,2,FALSE)=0,"",(VLOOKUP($B490,Q,2,FALSE)))</f>
        <v/>
      </c>
      <c r="D490" s="2" t="str">
        <f>IF(VLOOKUP($B490,Q,3,FALSE)=0,"",(VLOOKUP($B490,Q,3,FALSE)))</f>
        <v/>
      </c>
      <c r="E490" s="2" t="str">
        <f>IF(VLOOKUP($B490,Q,8,FALSE)=0,"",(VLOOKUP($B490,Q,8,FALSE)))</f>
        <v/>
      </c>
      <c r="F490" s="19" t="str">
        <f>IF(VLOOKUP($B490,Q,9,FALSE)=0,"",(VLOOKUP($B490,Q,9,FALSE)))</f>
        <v/>
      </c>
      <c r="G490" s="2" t="str">
        <f>IF(VLOOKUP($B490,Q,10,FALSE)=0,"",(VLOOKUP($B490,Q,10,FALSE)))</f>
        <v/>
      </c>
      <c r="H490" s="2" t="str">
        <f>IF(VLOOKUP($B490,Q,14,FALSE)=0,"",(VLOOKUP($B490,Q,14,FALSE)))</f>
        <v/>
      </c>
      <c r="I490" s="2" t="str">
        <f>IF(VLOOKUP($B490,Q,14,FALSE)=0,"",(VLOOKUP($B490,Q,15,FALSE)))</f>
        <v/>
      </c>
      <c r="J490" s="2" t="str">
        <f>IF(VLOOKUP($B490,Q,14,FALSE)=0,"",(VLOOKUP($B490,Q,16,FALSE)))</f>
        <v/>
      </c>
      <c r="K490" s="2" t="str">
        <f>IF(VLOOKUP($B490,Q,14,FALSE)=0,"",(VLOOKUP($B490,Q,17,FALSE)))</f>
        <v/>
      </c>
    </row>
    <row r="491" spans="2:11" x14ac:dyDescent="0.6">
      <c r="B491" s="1">
        <v>494</v>
      </c>
      <c r="C491" s="2" t="str">
        <f>IF(VLOOKUP($B491,Q,2,FALSE)=0,"",(VLOOKUP($B491,Q,2,FALSE)))</f>
        <v/>
      </c>
      <c r="D491" s="2" t="str">
        <f>IF(VLOOKUP($B491,Q,3,FALSE)=0,"",(VLOOKUP($B491,Q,3,FALSE)))</f>
        <v/>
      </c>
      <c r="E491" s="2" t="str">
        <f>IF(VLOOKUP($B491,Q,8,FALSE)=0,"",(VLOOKUP($B491,Q,8,FALSE)))</f>
        <v/>
      </c>
      <c r="F491" s="19" t="str">
        <f>IF(VLOOKUP($B491,Q,9,FALSE)=0,"",(VLOOKUP($B491,Q,9,FALSE)))</f>
        <v/>
      </c>
      <c r="G491" s="2" t="str">
        <f>IF(VLOOKUP($B491,Q,10,FALSE)=0,"",(VLOOKUP($B491,Q,10,FALSE)))</f>
        <v/>
      </c>
      <c r="H491" s="2" t="str">
        <f>IF(VLOOKUP($B491,Q,14,FALSE)=0,"",(VLOOKUP($B491,Q,14,FALSE)))</f>
        <v/>
      </c>
      <c r="I491" s="2" t="str">
        <f>IF(VLOOKUP($B491,Q,14,FALSE)=0,"",(VLOOKUP($B491,Q,15,FALSE)))</f>
        <v/>
      </c>
      <c r="J491" s="2" t="str">
        <f>IF(VLOOKUP($B491,Q,14,FALSE)=0,"",(VLOOKUP($B491,Q,16,FALSE)))</f>
        <v/>
      </c>
      <c r="K491" s="2" t="str">
        <f>IF(VLOOKUP($B491,Q,14,FALSE)=0,"",(VLOOKUP($B491,Q,17,FALSE)))</f>
        <v/>
      </c>
    </row>
    <row r="492" spans="2:11" x14ac:dyDescent="0.6">
      <c r="B492" s="1">
        <v>495</v>
      </c>
      <c r="C492" s="2" t="str">
        <f>IF(VLOOKUP($B492,Q,2,FALSE)=0,"",(VLOOKUP($B492,Q,2,FALSE)))</f>
        <v/>
      </c>
      <c r="D492" s="2" t="str">
        <f>IF(VLOOKUP($B492,Q,3,FALSE)=0,"",(VLOOKUP($B492,Q,3,FALSE)))</f>
        <v/>
      </c>
      <c r="E492" s="2" t="str">
        <f>IF(VLOOKUP($B492,Q,8,FALSE)=0,"",(VLOOKUP($B492,Q,8,FALSE)))</f>
        <v/>
      </c>
      <c r="F492" s="19" t="str">
        <f>IF(VLOOKUP($B492,Q,9,FALSE)=0,"",(VLOOKUP($B492,Q,9,FALSE)))</f>
        <v/>
      </c>
      <c r="G492" s="2" t="str">
        <f>IF(VLOOKUP($B492,Q,10,FALSE)=0,"",(VLOOKUP($B492,Q,10,FALSE)))</f>
        <v/>
      </c>
      <c r="H492" s="2" t="str">
        <f>IF(VLOOKUP($B492,Q,14,FALSE)=0,"",(VLOOKUP($B492,Q,14,FALSE)))</f>
        <v/>
      </c>
      <c r="I492" s="2" t="str">
        <f>IF(VLOOKUP($B492,Q,14,FALSE)=0,"",(VLOOKUP($B492,Q,15,FALSE)))</f>
        <v/>
      </c>
      <c r="J492" s="2" t="str">
        <f>IF(VLOOKUP($B492,Q,14,FALSE)=0,"",(VLOOKUP($B492,Q,16,FALSE)))</f>
        <v/>
      </c>
      <c r="K492" s="2" t="str">
        <f>IF(VLOOKUP($B492,Q,14,FALSE)=0,"",(VLOOKUP($B492,Q,17,FALSE)))</f>
        <v/>
      </c>
    </row>
    <row r="493" spans="2:11" x14ac:dyDescent="0.6">
      <c r="B493" s="1">
        <v>496</v>
      </c>
      <c r="C493" s="2" t="str">
        <f>IF(VLOOKUP($B493,Q,2,FALSE)=0,"",(VLOOKUP($B493,Q,2,FALSE)))</f>
        <v/>
      </c>
      <c r="D493" s="2" t="str">
        <f>IF(VLOOKUP($B493,Q,3,FALSE)=0,"",(VLOOKUP($B493,Q,3,FALSE)))</f>
        <v/>
      </c>
      <c r="E493" s="2" t="str">
        <f>IF(VLOOKUP($B493,Q,8,FALSE)=0,"",(VLOOKUP($B493,Q,8,FALSE)))</f>
        <v/>
      </c>
      <c r="F493" s="19" t="str">
        <f>IF(VLOOKUP($B493,Q,9,FALSE)=0,"",(VLOOKUP($B493,Q,9,FALSE)))</f>
        <v/>
      </c>
      <c r="G493" s="2" t="str">
        <f>IF(VLOOKUP($B493,Q,10,FALSE)=0,"",(VLOOKUP($B493,Q,10,FALSE)))</f>
        <v/>
      </c>
      <c r="H493" s="2" t="str">
        <f>IF(VLOOKUP($B493,Q,14,FALSE)=0,"",(VLOOKUP($B493,Q,14,FALSE)))</f>
        <v/>
      </c>
      <c r="I493" s="2" t="str">
        <f>IF(VLOOKUP($B493,Q,14,FALSE)=0,"",(VLOOKUP($B493,Q,15,FALSE)))</f>
        <v/>
      </c>
      <c r="J493" s="2" t="str">
        <f>IF(VLOOKUP($B493,Q,14,FALSE)=0,"",(VLOOKUP($B493,Q,16,FALSE)))</f>
        <v/>
      </c>
      <c r="K493" s="2" t="str">
        <f>IF(VLOOKUP($B493,Q,14,FALSE)=0,"",(VLOOKUP($B493,Q,17,FALSE)))</f>
        <v/>
      </c>
    </row>
    <row r="494" spans="2:11" x14ac:dyDescent="0.6">
      <c r="B494" s="1">
        <v>497</v>
      </c>
      <c r="C494" s="2" t="str">
        <f>IF(VLOOKUP($B494,Q,2,FALSE)=0,"",(VLOOKUP($B494,Q,2,FALSE)))</f>
        <v/>
      </c>
      <c r="D494" s="2" t="str">
        <f>IF(VLOOKUP($B494,Q,3,FALSE)=0,"",(VLOOKUP($B494,Q,3,FALSE)))</f>
        <v/>
      </c>
      <c r="E494" s="2" t="str">
        <f>IF(VLOOKUP($B494,Q,8,FALSE)=0,"",(VLOOKUP($B494,Q,8,FALSE)))</f>
        <v/>
      </c>
      <c r="F494" s="19" t="str">
        <f>IF(VLOOKUP($B494,Q,9,FALSE)=0,"",(VLOOKUP($B494,Q,9,FALSE)))</f>
        <v/>
      </c>
      <c r="G494" s="2" t="str">
        <f>IF(VLOOKUP($B494,Q,10,FALSE)=0,"",(VLOOKUP($B494,Q,10,FALSE)))</f>
        <v/>
      </c>
      <c r="H494" s="2" t="str">
        <f>IF(VLOOKUP($B494,Q,14,FALSE)=0,"",(VLOOKUP($B494,Q,14,FALSE)))</f>
        <v/>
      </c>
      <c r="I494" s="2" t="str">
        <f>IF(VLOOKUP($B494,Q,14,FALSE)=0,"",(VLOOKUP($B494,Q,15,FALSE)))</f>
        <v/>
      </c>
      <c r="J494" s="2" t="str">
        <f>IF(VLOOKUP($B494,Q,14,FALSE)=0,"",(VLOOKUP($B494,Q,16,FALSE)))</f>
        <v/>
      </c>
      <c r="K494" s="2" t="str">
        <f>IF(VLOOKUP($B494,Q,14,FALSE)=0,"",(VLOOKUP($B494,Q,17,FALSE)))</f>
        <v/>
      </c>
    </row>
    <row r="495" spans="2:11" x14ac:dyDescent="0.6">
      <c r="B495" s="1">
        <v>498</v>
      </c>
      <c r="C495" s="2" t="str">
        <f>IF(VLOOKUP($B495,Q,2,FALSE)=0,"",(VLOOKUP($B495,Q,2,FALSE)))</f>
        <v/>
      </c>
      <c r="D495" s="2" t="str">
        <f>IF(VLOOKUP($B495,Q,3,FALSE)=0,"",(VLOOKUP($B495,Q,3,FALSE)))</f>
        <v/>
      </c>
      <c r="E495" s="2" t="str">
        <f>IF(VLOOKUP($B495,Q,8,FALSE)=0,"",(VLOOKUP($B495,Q,8,FALSE)))</f>
        <v/>
      </c>
      <c r="F495" s="19" t="str">
        <f>IF(VLOOKUP($B495,Q,9,FALSE)=0,"",(VLOOKUP($B495,Q,9,FALSE)))</f>
        <v/>
      </c>
      <c r="G495" s="2" t="str">
        <f>IF(VLOOKUP($B495,Q,10,FALSE)=0,"",(VLOOKUP($B495,Q,10,FALSE)))</f>
        <v/>
      </c>
      <c r="H495" s="2" t="str">
        <f>IF(VLOOKUP($B495,Q,14,FALSE)=0,"",(VLOOKUP($B495,Q,14,FALSE)))</f>
        <v/>
      </c>
      <c r="I495" s="2" t="str">
        <f>IF(VLOOKUP($B495,Q,14,FALSE)=0,"",(VLOOKUP($B495,Q,15,FALSE)))</f>
        <v/>
      </c>
      <c r="J495" s="2" t="str">
        <f>IF(VLOOKUP($B495,Q,14,FALSE)=0,"",(VLOOKUP($B495,Q,16,FALSE)))</f>
        <v/>
      </c>
      <c r="K495" s="2" t="str">
        <f>IF(VLOOKUP($B495,Q,14,FALSE)=0,"",(VLOOKUP($B495,Q,17,FALSE)))</f>
        <v/>
      </c>
    </row>
    <row r="496" spans="2:11" x14ac:dyDescent="0.6">
      <c r="B496" s="1">
        <v>499</v>
      </c>
      <c r="C496" s="2" t="str">
        <f>IF(VLOOKUP($B496,Q,2,FALSE)=0,"",(VLOOKUP($B496,Q,2,FALSE)))</f>
        <v/>
      </c>
      <c r="D496" s="2" t="str">
        <f>IF(VLOOKUP($B496,Q,3,FALSE)=0,"",(VLOOKUP($B496,Q,3,FALSE)))</f>
        <v/>
      </c>
      <c r="E496" s="2" t="str">
        <f>IF(VLOOKUP($B496,Q,8,FALSE)=0,"",(VLOOKUP($B496,Q,8,FALSE)))</f>
        <v/>
      </c>
      <c r="F496" s="19" t="str">
        <f>IF(VLOOKUP($B496,Q,9,FALSE)=0,"",(VLOOKUP($B496,Q,9,FALSE)))</f>
        <v/>
      </c>
      <c r="G496" s="2" t="str">
        <f>IF(VLOOKUP($B496,Q,10,FALSE)=0,"",(VLOOKUP($B496,Q,10,FALSE)))</f>
        <v/>
      </c>
      <c r="H496" s="2" t="str">
        <f>IF(VLOOKUP($B496,Q,14,FALSE)=0,"",(VLOOKUP($B496,Q,14,FALSE)))</f>
        <v/>
      </c>
      <c r="I496" s="2" t="str">
        <f>IF(VLOOKUP($B496,Q,14,FALSE)=0,"",(VLOOKUP($B496,Q,15,FALSE)))</f>
        <v/>
      </c>
      <c r="J496" s="2" t="str">
        <f>IF(VLOOKUP($B496,Q,14,FALSE)=0,"",(VLOOKUP($B496,Q,16,FALSE)))</f>
        <v/>
      </c>
      <c r="K496" s="2" t="str">
        <f>IF(VLOOKUP($B496,Q,14,FALSE)=0,"",(VLOOKUP($B496,Q,17,FALSE)))</f>
        <v/>
      </c>
    </row>
    <row r="497" spans="2:11" x14ac:dyDescent="0.6">
      <c r="B497" s="1">
        <v>500</v>
      </c>
      <c r="C497" s="2" t="str">
        <f>IF(VLOOKUP($B497,Q,2,FALSE)=0,"",(VLOOKUP($B497,Q,2,FALSE)))</f>
        <v/>
      </c>
      <c r="D497" s="2" t="str">
        <f>IF(VLOOKUP($B497,Q,3,FALSE)=0,"",(VLOOKUP($B497,Q,3,FALSE)))</f>
        <v/>
      </c>
      <c r="E497" s="2" t="str">
        <f>IF(VLOOKUP($B497,Q,8,FALSE)=0,"",(VLOOKUP($B497,Q,8,FALSE)))</f>
        <v/>
      </c>
      <c r="F497" s="19" t="str">
        <f>IF(VLOOKUP($B497,Q,9,FALSE)=0,"",(VLOOKUP($B497,Q,9,FALSE)))</f>
        <v/>
      </c>
      <c r="G497" s="2" t="str">
        <f>IF(VLOOKUP($B497,Q,10,FALSE)=0,"",(VLOOKUP($B497,Q,10,FALSE)))</f>
        <v/>
      </c>
      <c r="H497" s="2" t="str">
        <f>IF(VLOOKUP($B497,Q,14,FALSE)=0,"",(VLOOKUP($B497,Q,14,FALSE)))</f>
        <v/>
      </c>
      <c r="I497" s="2" t="str">
        <f>IF(VLOOKUP($B497,Q,14,FALSE)=0,"",(VLOOKUP($B497,Q,15,FALSE)))</f>
        <v/>
      </c>
      <c r="J497" s="2" t="str">
        <f>IF(VLOOKUP($B497,Q,14,FALSE)=0,"",(VLOOKUP($B497,Q,16,FALSE)))</f>
        <v/>
      </c>
      <c r="K497" s="2" t="str">
        <f>IF(VLOOKUP($B497,Q,14,FALSE)=0,"",(VLOOKUP($B497,Q,17,FALSE)))</f>
        <v/>
      </c>
    </row>
    <row r="498" spans="2:11" x14ac:dyDescent="0.6">
      <c r="B498" s="1">
        <v>501</v>
      </c>
      <c r="C498" s="2" t="str">
        <f>IF(VLOOKUP($B498,Q,2,FALSE)=0,"",(VLOOKUP($B498,Q,2,FALSE)))</f>
        <v/>
      </c>
      <c r="D498" s="2" t="str">
        <f>IF(VLOOKUP($B498,Q,3,FALSE)=0,"",(VLOOKUP($B498,Q,3,FALSE)))</f>
        <v/>
      </c>
      <c r="E498" s="2" t="str">
        <f>IF(VLOOKUP($B498,Q,8,FALSE)=0,"",(VLOOKUP($B498,Q,8,FALSE)))</f>
        <v/>
      </c>
      <c r="F498" s="19" t="str">
        <f>IF(VLOOKUP($B498,Q,9,FALSE)=0,"",(VLOOKUP($B498,Q,9,FALSE)))</f>
        <v/>
      </c>
      <c r="G498" s="2" t="str">
        <f>IF(VLOOKUP($B498,Q,10,FALSE)=0,"",(VLOOKUP($B498,Q,10,FALSE)))</f>
        <v/>
      </c>
      <c r="H498" s="2" t="str">
        <f>IF(VLOOKUP($B498,Q,14,FALSE)=0,"",(VLOOKUP($B498,Q,14,FALSE)))</f>
        <v/>
      </c>
      <c r="I498" s="2" t="str">
        <f>IF(VLOOKUP($B498,Q,14,FALSE)=0,"",(VLOOKUP($B498,Q,15,FALSE)))</f>
        <v/>
      </c>
      <c r="J498" s="2" t="str">
        <f>IF(VLOOKUP($B498,Q,14,FALSE)=0,"",(VLOOKUP($B498,Q,16,FALSE)))</f>
        <v/>
      </c>
      <c r="K498" s="2" t="str">
        <f>IF(VLOOKUP($B498,Q,14,FALSE)=0,"",(VLOOKUP($B498,Q,17,FALSE)))</f>
        <v/>
      </c>
    </row>
    <row r="499" spans="2:11" x14ac:dyDescent="0.6">
      <c r="B499" s="1">
        <v>502</v>
      </c>
      <c r="C499" s="2" t="str">
        <f>IF(VLOOKUP($B499,Q,2,FALSE)=0,"",(VLOOKUP($B499,Q,2,FALSE)))</f>
        <v/>
      </c>
      <c r="D499" s="2" t="str">
        <f>IF(VLOOKUP($B499,Q,3,FALSE)=0,"",(VLOOKUP($B499,Q,3,FALSE)))</f>
        <v/>
      </c>
      <c r="E499" s="2" t="str">
        <f>IF(VLOOKUP($B499,Q,8,FALSE)=0,"",(VLOOKUP($B499,Q,8,FALSE)))</f>
        <v/>
      </c>
      <c r="F499" s="19" t="str">
        <f>IF(VLOOKUP($B499,Q,9,FALSE)=0,"",(VLOOKUP($B499,Q,9,FALSE)))</f>
        <v/>
      </c>
      <c r="G499" s="2" t="str">
        <f>IF(VLOOKUP($B499,Q,10,FALSE)=0,"",(VLOOKUP($B499,Q,10,FALSE)))</f>
        <v/>
      </c>
      <c r="H499" s="2" t="str">
        <f>IF(VLOOKUP($B499,Q,14,FALSE)=0,"",(VLOOKUP($B499,Q,14,FALSE)))</f>
        <v/>
      </c>
      <c r="I499" s="2" t="str">
        <f>IF(VLOOKUP($B499,Q,14,FALSE)=0,"",(VLOOKUP($B499,Q,15,FALSE)))</f>
        <v/>
      </c>
      <c r="J499" s="2" t="str">
        <f>IF(VLOOKUP($B499,Q,14,FALSE)=0,"",(VLOOKUP($B499,Q,16,FALSE)))</f>
        <v/>
      </c>
      <c r="K499" s="2" t="str">
        <f>IF(VLOOKUP($B499,Q,14,FALSE)=0,"",(VLOOKUP($B499,Q,17,FALSE)))</f>
        <v/>
      </c>
    </row>
    <row r="500" spans="2:11" x14ac:dyDescent="0.6">
      <c r="B500" s="1">
        <v>503</v>
      </c>
      <c r="C500" s="2" t="str">
        <f>IF(VLOOKUP($B500,Q,2,FALSE)=0,"",(VLOOKUP($B500,Q,2,FALSE)))</f>
        <v/>
      </c>
      <c r="D500" s="2" t="str">
        <f>IF(VLOOKUP($B500,Q,3,FALSE)=0,"",(VLOOKUP($B500,Q,3,FALSE)))</f>
        <v/>
      </c>
      <c r="E500" s="2" t="str">
        <f>IF(VLOOKUP($B500,Q,8,FALSE)=0,"",(VLOOKUP($B500,Q,8,FALSE)))</f>
        <v/>
      </c>
      <c r="F500" s="19" t="str">
        <f>IF(VLOOKUP($B500,Q,9,FALSE)=0,"",(VLOOKUP($B500,Q,9,FALSE)))</f>
        <v/>
      </c>
      <c r="G500" s="2" t="str">
        <f>IF(VLOOKUP($B500,Q,10,FALSE)=0,"",(VLOOKUP($B500,Q,10,FALSE)))</f>
        <v/>
      </c>
      <c r="H500" s="2" t="str">
        <f>IF(VLOOKUP($B500,Q,14,FALSE)=0,"",(VLOOKUP($B500,Q,14,FALSE)))</f>
        <v/>
      </c>
      <c r="I500" s="2" t="str">
        <f>IF(VLOOKUP($B500,Q,14,FALSE)=0,"",(VLOOKUP($B500,Q,15,FALSE)))</f>
        <v/>
      </c>
      <c r="J500" s="2" t="str">
        <f>IF(VLOOKUP($B500,Q,14,FALSE)=0,"",(VLOOKUP($B500,Q,16,FALSE)))</f>
        <v/>
      </c>
      <c r="K500" s="2" t="str">
        <f>IF(VLOOKUP($B500,Q,14,FALSE)=0,"",(VLOOKUP($B500,Q,17,FALSE)))</f>
        <v/>
      </c>
    </row>
    <row r="501" spans="2:11" x14ac:dyDescent="0.6">
      <c r="B501" s="1">
        <v>504</v>
      </c>
      <c r="C501" s="2" t="str">
        <f>IF(VLOOKUP($B501,Q,2,FALSE)=0,"",(VLOOKUP($B501,Q,2,FALSE)))</f>
        <v/>
      </c>
      <c r="D501" s="2" t="str">
        <f>IF(VLOOKUP($B501,Q,3,FALSE)=0,"",(VLOOKUP($B501,Q,3,FALSE)))</f>
        <v/>
      </c>
      <c r="E501" s="2" t="str">
        <f>IF(VLOOKUP($B501,Q,8,FALSE)=0,"",(VLOOKUP($B501,Q,8,FALSE)))</f>
        <v/>
      </c>
      <c r="F501" s="19" t="str">
        <f>IF(VLOOKUP($B501,Q,9,FALSE)=0,"",(VLOOKUP($B501,Q,9,FALSE)))</f>
        <v/>
      </c>
      <c r="G501" s="2" t="str">
        <f>IF(VLOOKUP($B501,Q,10,FALSE)=0,"",(VLOOKUP($B501,Q,10,FALSE)))</f>
        <v/>
      </c>
      <c r="H501" s="2" t="str">
        <f>IF(VLOOKUP($B501,Q,14,FALSE)=0,"",(VLOOKUP($B501,Q,14,FALSE)))</f>
        <v/>
      </c>
      <c r="I501" s="2" t="str">
        <f>IF(VLOOKUP($B501,Q,14,FALSE)=0,"",(VLOOKUP($B501,Q,15,FALSE)))</f>
        <v/>
      </c>
      <c r="J501" s="2" t="str">
        <f>IF(VLOOKUP($B501,Q,14,FALSE)=0,"",(VLOOKUP($B501,Q,16,FALSE)))</f>
        <v/>
      </c>
      <c r="K501" s="2" t="str">
        <f>IF(VLOOKUP($B501,Q,14,FALSE)=0,"",(VLOOKUP($B501,Q,17,FALSE)))</f>
        <v/>
      </c>
    </row>
    <row r="502" spans="2:11" x14ac:dyDescent="0.6">
      <c r="B502" s="1">
        <v>505</v>
      </c>
      <c r="C502" s="2" t="str">
        <f>IF(VLOOKUP($B502,Q,2,FALSE)=0,"",(VLOOKUP($B502,Q,2,FALSE)))</f>
        <v/>
      </c>
      <c r="D502" s="2" t="str">
        <f>IF(VLOOKUP($B502,Q,3,FALSE)=0,"",(VLOOKUP($B502,Q,3,FALSE)))</f>
        <v/>
      </c>
      <c r="E502" s="2" t="str">
        <f>IF(VLOOKUP($B502,Q,8,FALSE)=0,"",(VLOOKUP($B502,Q,8,FALSE)))</f>
        <v/>
      </c>
      <c r="F502" s="19" t="str">
        <f>IF(VLOOKUP($B502,Q,9,FALSE)=0,"",(VLOOKUP($B502,Q,9,FALSE)))</f>
        <v/>
      </c>
      <c r="G502" s="2" t="str">
        <f>IF(VLOOKUP($B502,Q,10,FALSE)=0,"",(VLOOKUP($B502,Q,10,FALSE)))</f>
        <v/>
      </c>
      <c r="H502" s="2" t="str">
        <f>IF(VLOOKUP($B502,Q,14,FALSE)=0,"",(VLOOKUP($B502,Q,14,FALSE)))</f>
        <v/>
      </c>
      <c r="I502" s="2" t="str">
        <f>IF(VLOOKUP($B502,Q,14,FALSE)=0,"",(VLOOKUP($B502,Q,15,FALSE)))</f>
        <v/>
      </c>
      <c r="J502" s="2" t="str">
        <f>IF(VLOOKUP($B502,Q,14,FALSE)=0,"",(VLOOKUP($B502,Q,16,FALSE)))</f>
        <v/>
      </c>
      <c r="K502" s="2" t="str">
        <f>IF(VLOOKUP($B502,Q,14,FALSE)=0,"",(VLOOKUP($B502,Q,17,FALSE)))</f>
        <v/>
      </c>
    </row>
    <row r="503" spans="2:11" x14ac:dyDescent="0.6">
      <c r="B503" s="1">
        <v>506</v>
      </c>
      <c r="C503" s="2" t="str">
        <f>IF(VLOOKUP($B503,Q,2,FALSE)=0,"",(VLOOKUP($B503,Q,2,FALSE)))</f>
        <v/>
      </c>
      <c r="D503" s="2" t="str">
        <f>IF(VLOOKUP($B503,Q,3,FALSE)=0,"",(VLOOKUP($B503,Q,3,FALSE)))</f>
        <v/>
      </c>
      <c r="E503" s="2" t="str">
        <f>IF(VLOOKUP($B503,Q,8,FALSE)=0,"",(VLOOKUP($B503,Q,8,FALSE)))</f>
        <v/>
      </c>
      <c r="F503" s="19" t="str">
        <f>IF(VLOOKUP($B503,Q,9,FALSE)=0,"",(VLOOKUP($B503,Q,9,FALSE)))</f>
        <v/>
      </c>
      <c r="G503" s="2" t="str">
        <f>IF(VLOOKUP($B503,Q,10,FALSE)=0,"",(VLOOKUP($B503,Q,10,FALSE)))</f>
        <v/>
      </c>
      <c r="H503" s="2" t="str">
        <f>IF(VLOOKUP($B503,Q,14,FALSE)=0,"",(VLOOKUP($B503,Q,14,FALSE)))</f>
        <v/>
      </c>
      <c r="I503" s="2" t="str">
        <f>IF(VLOOKUP($B503,Q,14,FALSE)=0,"",(VLOOKUP($B503,Q,15,FALSE)))</f>
        <v/>
      </c>
      <c r="J503" s="2" t="str">
        <f>IF(VLOOKUP($B503,Q,14,FALSE)=0,"",(VLOOKUP($B503,Q,16,FALSE)))</f>
        <v/>
      </c>
      <c r="K503" s="2" t="str">
        <f>IF(VLOOKUP($B503,Q,14,FALSE)=0,"",(VLOOKUP($B503,Q,17,FALSE)))</f>
        <v/>
      </c>
    </row>
    <row r="504" spans="2:11" x14ac:dyDescent="0.6">
      <c r="B504" s="1">
        <v>507</v>
      </c>
      <c r="C504" s="2" t="str">
        <f>IF(VLOOKUP($B504,Q,2,FALSE)=0,"",(VLOOKUP($B504,Q,2,FALSE)))</f>
        <v/>
      </c>
      <c r="D504" s="2" t="str">
        <f>IF(VLOOKUP($B504,Q,3,FALSE)=0,"",(VLOOKUP($B504,Q,3,FALSE)))</f>
        <v/>
      </c>
      <c r="E504" s="2" t="str">
        <f>IF(VLOOKUP($B504,Q,8,FALSE)=0,"",(VLOOKUP($B504,Q,8,FALSE)))</f>
        <v/>
      </c>
      <c r="F504" s="19" t="str">
        <f>IF(VLOOKUP($B504,Q,9,FALSE)=0,"",(VLOOKUP($B504,Q,9,FALSE)))</f>
        <v/>
      </c>
      <c r="G504" s="2" t="str">
        <f>IF(VLOOKUP($B504,Q,10,FALSE)=0,"",(VLOOKUP($B504,Q,10,FALSE)))</f>
        <v/>
      </c>
      <c r="H504" s="2" t="str">
        <f>IF(VLOOKUP($B504,Q,14,FALSE)=0,"",(VLOOKUP($B504,Q,14,FALSE)))</f>
        <v/>
      </c>
      <c r="I504" s="2" t="str">
        <f>IF(VLOOKUP($B504,Q,14,FALSE)=0,"",(VLOOKUP($B504,Q,15,FALSE)))</f>
        <v/>
      </c>
      <c r="J504" s="2" t="str">
        <f>IF(VLOOKUP($B504,Q,14,FALSE)=0,"",(VLOOKUP($B504,Q,16,FALSE)))</f>
        <v/>
      </c>
      <c r="K504" s="2" t="str">
        <f>IF(VLOOKUP($B504,Q,14,FALSE)=0,"",(VLOOKUP($B504,Q,17,FALSE)))</f>
        <v/>
      </c>
    </row>
    <row r="505" spans="2:11" x14ac:dyDescent="0.6">
      <c r="B505" s="1">
        <v>508</v>
      </c>
      <c r="C505" s="2" t="str">
        <f>IF(VLOOKUP($B505,Q,2,FALSE)=0,"",(VLOOKUP($B505,Q,2,FALSE)))</f>
        <v/>
      </c>
      <c r="D505" s="2" t="str">
        <f>IF(VLOOKUP($B505,Q,3,FALSE)=0,"",(VLOOKUP($B505,Q,3,FALSE)))</f>
        <v/>
      </c>
      <c r="E505" s="2" t="str">
        <f>IF(VLOOKUP($B505,Q,8,FALSE)=0,"",(VLOOKUP($B505,Q,8,FALSE)))</f>
        <v/>
      </c>
      <c r="F505" s="19" t="str">
        <f>IF(VLOOKUP($B505,Q,9,FALSE)=0,"",(VLOOKUP($B505,Q,9,FALSE)))</f>
        <v/>
      </c>
      <c r="G505" s="2" t="str">
        <f>IF(VLOOKUP($B505,Q,10,FALSE)=0,"",(VLOOKUP($B505,Q,10,FALSE)))</f>
        <v/>
      </c>
      <c r="H505" s="2" t="str">
        <f>IF(VLOOKUP($B505,Q,14,FALSE)=0,"",(VLOOKUP($B505,Q,14,FALSE)))</f>
        <v/>
      </c>
      <c r="I505" s="2" t="str">
        <f>IF(VLOOKUP($B505,Q,14,FALSE)=0,"",(VLOOKUP($B505,Q,15,FALSE)))</f>
        <v/>
      </c>
      <c r="J505" s="2" t="str">
        <f>IF(VLOOKUP($B505,Q,14,FALSE)=0,"",(VLOOKUP($B505,Q,16,FALSE)))</f>
        <v/>
      </c>
      <c r="K505" s="2" t="str">
        <f>IF(VLOOKUP($B505,Q,14,FALSE)=0,"",(VLOOKUP($B505,Q,17,FALSE)))</f>
        <v/>
      </c>
    </row>
    <row r="506" spans="2:11" x14ac:dyDescent="0.6">
      <c r="B506" s="1">
        <v>509</v>
      </c>
      <c r="C506" s="2" t="str">
        <f>IF(VLOOKUP($B506,Q,2,FALSE)=0,"",(VLOOKUP($B506,Q,2,FALSE)))</f>
        <v/>
      </c>
      <c r="D506" s="2" t="str">
        <f>IF(VLOOKUP($B506,Q,3,FALSE)=0,"",(VLOOKUP($B506,Q,3,FALSE)))</f>
        <v/>
      </c>
      <c r="E506" s="2" t="str">
        <f>IF(VLOOKUP($B506,Q,8,FALSE)=0,"",(VLOOKUP($B506,Q,8,FALSE)))</f>
        <v/>
      </c>
      <c r="F506" s="19" t="str">
        <f>IF(VLOOKUP($B506,Q,9,FALSE)=0,"",(VLOOKUP($B506,Q,9,FALSE)))</f>
        <v/>
      </c>
      <c r="G506" s="2" t="str">
        <f>IF(VLOOKUP($B506,Q,10,FALSE)=0,"",(VLOOKUP($B506,Q,10,FALSE)))</f>
        <v/>
      </c>
      <c r="H506" s="2" t="str">
        <f>IF(VLOOKUP($B506,Q,14,FALSE)=0,"",(VLOOKUP($B506,Q,14,FALSE)))</f>
        <v/>
      </c>
      <c r="I506" s="2" t="str">
        <f>IF(VLOOKUP($B506,Q,14,FALSE)=0,"",(VLOOKUP($B506,Q,15,FALSE)))</f>
        <v/>
      </c>
      <c r="J506" s="2" t="str">
        <f>IF(VLOOKUP($B506,Q,14,FALSE)=0,"",(VLOOKUP($B506,Q,16,FALSE)))</f>
        <v/>
      </c>
      <c r="K506" s="2" t="str">
        <f>IF(VLOOKUP($B506,Q,14,FALSE)=0,"",(VLOOKUP($B506,Q,17,FALSE)))</f>
        <v/>
      </c>
    </row>
    <row r="507" spans="2:11" x14ac:dyDescent="0.6">
      <c r="B507" s="1">
        <v>510</v>
      </c>
      <c r="C507" s="2" t="str">
        <f>IF(VLOOKUP($B507,Q,2,FALSE)=0,"",(VLOOKUP($B507,Q,2,FALSE)))</f>
        <v/>
      </c>
      <c r="D507" s="2" t="str">
        <f>IF(VLOOKUP($B507,Q,3,FALSE)=0,"",(VLOOKUP($B507,Q,3,FALSE)))</f>
        <v/>
      </c>
      <c r="E507" s="2" t="str">
        <f>IF(VLOOKUP($B507,Q,8,FALSE)=0,"",(VLOOKUP($B507,Q,8,FALSE)))</f>
        <v/>
      </c>
      <c r="F507" s="19" t="str">
        <f>IF(VLOOKUP($B507,Q,9,FALSE)=0,"",(VLOOKUP($B507,Q,9,FALSE)))</f>
        <v/>
      </c>
      <c r="G507" s="2" t="str">
        <f>IF(VLOOKUP($B507,Q,10,FALSE)=0,"",(VLOOKUP($B507,Q,10,FALSE)))</f>
        <v/>
      </c>
      <c r="H507" s="2" t="str">
        <f>IF(VLOOKUP($B507,Q,14,FALSE)=0,"",(VLOOKUP($B507,Q,14,FALSE)))</f>
        <v/>
      </c>
      <c r="I507" s="2" t="str">
        <f>IF(VLOOKUP($B507,Q,14,FALSE)=0,"",(VLOOKUP($B507,Q,15,FALSE)))</f>
        <v/>
      </c>
      <c r="J507" s="2" t="str">
        <f>IF(VLOOKUP($B507,Q,14,FALSE)=0,"",(VLOOKUP($B507,Q,16,FALSE)))</f>
        <v/>
      </c>
      <c r="K507" s="2" t="str">
        <f>IF(VLOOKUP($B507,Q,14,FALSE)=0,"",(VLOOKUP($B507,Q,17,FALSE)))</f>
        <v/>
      </c>
    </row>
    <row r="508" spans="2:11" x14ac:dyDescent="0.6">
      <c r="B508" s="1">
        <v>511</v>
      </c>
      <c r="C508" s="2" t="str">
        <f>IF(VLOOKUP($B508,Q,2,FALSE)=0,"",(VLOOKUP($B508,Q,2,FALSE)))</f>
        <v/>
      </c>
      <c r="D508" s="2" t="str">
        <f>IF(VLOOKUP($B508,Q,3,FALSE)=0,"",(VLOOKUP($B508,Q,3,FALSE)))</f>
        <v/>
      </c>
      <c r="E508" s="2" t="str">
        <f>IF(VLOOKUP($B508,Q,8,FALSE)=0,"",(VLOOKUP($B508,Q,8,FALSE)))</f>
        <v/>
      </c>
      <c r="F508" s="19" t="str">
        <f>IF(VLOOKUP($B508,Q,9,FALSE)=0,"",(VLOOKUP($B508,Q,9,FALSE)))</f>
        <v/>
      </c>
      <c r="G508" s="2" t="str">
        <f>IF(VLOOKUP($B508,Q,10,FALSE)=0,"",(VLOOKUP($B508,Q,10,FALSE)))</f>
        <v/>
      </c>
      <c r="H508" s="2" t="str">
        <f>IF(VLOOKUP($B508,Q,14,FALSE)=0,"",(VLOOKUP($B508,Q,14,FALSE)))</f>
        <v/>
      </c>
      <c r="I508" s="2" t="str">
        <f>IF(VLOOKUP($B508,Q,14,FALSE)=0,"",(VLOOKUP($B508,Q,15,FALSE)))</f>
        <v/>
      </c>
      <c r="J508" s="2" t="str">
        <f>IF(VLOOKUP($B508,Q,14,FALSE)=0,"",(VLOOKUP($B508,Q,16,FALSE)))</f>
        <v/>
      </c>
      <c r="K508" s="2" t="str">
        <f>IF(VLOOKUP($B508,Q,14,FALSE)=0,"",(VLOOKUP($B508,Q,17,FALSE)))</f>
        <v/>
      </c>
    </row>
    <row r="509" spans="2:11" x14ac:dyDescent="0.6">
      <c r="B509" s="1">
        <v>512</v>
      </c>
      <c r="C509" s="2" t="str">
        <f>IF(VLOOKUP($B509,Q,2,FALSE)=0,"",(VLOOKUP($B509,Q,2,FALSE)))</f>
        <v/>
      </c>
      <c r="D509" s="2" t="str">
        <f>IF(VLOOKUP($B509,Q,3,FALSE)=0,"",(VLOOKUP($B509,Q,3,FALSE)))</f>
        <v/>
      </c>
      <c r="E509" s="2" t="str">
        <f>IF(VLOOKUP($B509,Q,8,FALSE)=0,"",(VLOOKUP($B509,Q,8,FALSE)))</f>
        <v/>
      </c>
      <c r="F509" s="19" t="str">
        <f>IF(VLOOKUP($B509,Q,9,FALSE)=0,"",(VLOOKUP($B509,Q,9,FALSE)))</f>
        <v/>
      </c>
      <c r="G509" s="2" t="str">
        <f>IF(VLOOKUP($B509,Q,10,FALSE)=0,"",(VLOOKUP($B509,Q,10,FALSE)))</f>
        <v/>
      </c>
      <c r="H509" s="2" t="str">
        <f>IF(VLOOKUP($B509,Q,14,FALSE)=0,"",(VLOOKUP($B509,Q,14,FALSE)))</f>
        <v/>
      </c>
      <c r="I509" s="2" t="str">
        <f>IF(VLOOKUP($B509,Q,14,FALSE)=0,"",(VLOOKUP($B509,Q,15,FALSE)))</f>
        <v/>
      </c>
      <c r="J509" s="2" t="str">
        <f>IF(VLOOKUP($B509,Q,14,FALSE)=0,"",(VLOOKUP($B509,Q,16,FALSE)))</f>
        <v/>
      </c>
      <c r="K509" s="2" t="str">
        <f>IF(VLOOKUP($B509,Q,14,FALSE)=0,"",(VLOOKUP($B509,Q,17,FALSE)))</f>
        <v/>
      </c>
    </row>
    <row r="510" spans="2:11" x14ac:dyDescent="0.6">
      <c r="B510" s="1">
        <v>513</v>
      </c>
      <c r="C510" s="2" t="str">
        <f>IF(VLOOKUP($B510,Q,2,FALSE)=0,"",(VLOOKUP($B510,Q,2,FALSE)))</f>
        <v/>
      </c>
      <c r="D510" s="2" t="str">
        <f>IF(VLOOKUP($B510,Q,3,FALSE)=0,"",(VLOOKUP($B510,Q,3,FALSE)))</f>
        <v/>
      </c>
      <c r="E510" s="2" t="str">
        <f>IF(VLOOKUP($B510,Q,8,FALSE)=0,"",(VLOOKUP($B510,Q,8,FALSE)))</f>
        <v/>
      </c>
      <c r="F510" s="19" t="str">
        <f>IF(VLOOKUP($B510,Q,9,FALSE)=0,"",(VLOOKUP($B510,Q,9,FALSE)))</f>
        <v/>
      </c>
      <c r="G510" s="2" t="str">
        <f>IF(VLOOKUP($B510,Q,10,FALSE)=0,"",(VLOOKUP($B510,Q,10,FALSE)))</f>
        <v/>
      </c>
      <c r="H510" s="2" t="str">
        <f>IF(VLOOKUP($B510,Q,14,FALSE)=0,"",(VLOOKUP($B510,Q,14,FALSE)))</f>
        <v/>
      </c>
      <c r="I510" s="2" t="str">
        <f>IF(VLOOKUP($B510,Q,14,FALSE)=0,"",(VLOOKUP($B510,Q,15,FALSE)))</f>
        <v/>
      </c>
      <c r="J510" s="2" t="str">
        <f>IF(VLOOKUP($B510,Q,14,FALSE)=0,"",(VLOOKUP($B510,Q,16,FALSE)))</f>
        <v/>
      </c>
      <c r="K510" s="2" t="str">
        <f>IF(VLOOKUP($B510,Q,14,FALSE)=0,"",(VLOOKUP($B510,Q,17,FALSE)))</f>
        <v/>
      </c>
    </row>
    <row r="511" spans="2:11" x14ac:dyDescent="0.6">
      <c r="B511" s="1">
        <v>514</v>
      </c>
      <c r="C511" s="2" t="str">
        <f>IF(VLOOKUP($B511,Q,2,FALSE)=0,"",(VLOOKUP($B511,Q,2,FALSE)))</f>
        <v/>
      </c>
      <c r="D511" s="2" t="str">
        <f>IF(VLOOKUP($B511,Q,3,FALSE)=0,"",(VLOOKUP($B511,Q,3,FALSE)))</f>
        <v/>
      </c>
      <c r="E511" s="2" t="str">
        <f>IF(VLOOKUP($B511,Q,8,FALSE)=0,"",(VLOOKUP($B511,Q,8,FALSE)))</f>
        <v/>
      </c>
      <c r="F511" s="19" t="str">
        <f>IF(VLOOKUP($B511,Q,9,FALSE)=0,"",(VLOOKUP($B511,Q,9,FALSE)))</f>
        <v/>
      </c>
      <c r="G511" s="2" t="str">
        <f>IF(VLOOKUP($B511,Q,10,FALSE)=0,"",(VLOOKUP($B511,Q,10,FALSE)))</f>
        <v/>
      </c>
      <c r="H511" s="2" t="str">
        <f>IF(VLOOKUP($B511,Q,14,FALSE)=0,"",(VLOOKUP($B511,Q,14,FALSE)))</f>
        <v/>
      </c>
      <c r="I511" s="2" t="str">
        <f>IF(VLOOKUP($B511,Q,14,FALSE)=0,"",(VLOOKUP($B511,Q,15,FALSE)))</f>
        <v/>
      </c>
      <c r="J511" s="2" t="str">
        <f>IF(VLOOKUP($B511,Q,14,FALSE)=0,"",(VLOOKUP($B511,Q,16,FALSE)))</f>
        <v/>
      </c>
      <c r="K511" s="2" t="str">
        <f>IF(VLOOKUP($B511,Q,14,FALSE)=0,"",(VLOOKUP($B511,Q,17,FALSE)))</f>
        <v/>
      </c>
    </row>
    <row r="512" spans="2:11" x14ac:dyDescent="0.6">
      <c r="B512" s="1">
        <v>515</v>
      </c>
      <c r="C512" s="2" t="str">
        <f>IF(VLOOKUP($B512,Q,2,FALSE)=0,"",(VLOOKUP($B512,Q,2,FALSE)))</f>
        <v/>
      </c>
      <c r="D512" s="2" t="str">
        <f>IF(VLOOKUP($B512,Q,3,FALSE)=0,"",(VLOOKUP($B512,Q,3,FALSE)))</f>
        <v/>
      </c>
      <c r="E512" s="2" t="str">
        <f>IF(VLOOKUP($B512,Q,8,FALSE)=0,"",(VLOOKUP($B512,Q,8,FALSE)))</f>
        <v/>
      </c>
      <c r="F512" s="19" t="str">
        <f>IF(VLOOKUP($B512,Q,9,FALSE)=0,"",(VLOOKUP($B512,Q,9,FALSE)))</f>
        <v/>
      </c>
      <c r="G512" s="2" t="str">
        <f>IF(VLOOKUP($B512,Q,10,FALSE)=0,"",(VLOOKUP($B512,Q,10,FALSE)))</f>
        <v/>
      </c>
      <c r="H512" s="2" t="str">
        <f>IF(VLOOKUP($B512,Q,14,FALSE)=0,"",(VLOOKUP($B512,Q,14,FALSE)))</f>
        <v/>
      </c>
      <c r="I512" s="2" t="str">
        <f>IF(VLOOKUP($B512,Q,14,FALSE)=0,"",(VLOOKUP($B512,Q,15,FALSE)))</f>
        <v/>
      </c>
      <c r="J512" s="2" t="str">
        <f>IF(VLOOKUP($B512,Q,14,FALSE)=0,"",(VLOOKUP($B512,Q,16,FALSE)))</f>
        <v/>
      </c>
      <c r="K512" s="2" t="str">
        <f>IF(VLOOKUP($B512,Q,14,FALSE)=0,"",(VLOOKUP($B512,Q,17,FALSE)))</f>
        <v/>
      </c>
    </row>
    <row r="513" spans="2:11" x14ac:dyDescent="0.6">
      <c r="B513" s="1">
        <v>516</v>
      </c>
      <c r="C513" s="2" t="str">
        <f>IF(VLOOKUP($B513,Q,2,FALSE)=0,"",(VLOOKUP($B513,Q,2,FALSE)))</f>
        <v/>
      </c>
      <c r="D513" s="2" t="str">
        <f>IF(VLOOKUP($B513,Q,3,FALSE)=0,"",(VLOOKUP($B513,Q,3,FALSE)))</f>
        <v/>
      </c>
      <c r="E513" s="2" t="str">
        <f>IF(VLOOKUP($B513,Q,8,FALSE)=0,"",(VLOOKUP($B513,Q,8,FALSE)))</f>
        <v/>
      </c>
      <c r="F513" s="19" t="str">
        <f>IF(VLOOKUP($B513,Q,9,FALSE)=0,"",(VLOOKUP($B513,Q,9,FALSE)))</f>
        <v/>
      </c>
      <c r="G513" s="2" t="str">
        <f>IF(VLOOKUP($B513,Q,10,FALSE)=0,"",(VLOOKUP($B513,Q,10,FALSE)))</f>
        <v/>
      </c>
      <c r="H513" s="2" t="str">
        <f>IF(VLOOKUP($B513,Q,14,FALSE)=0,"",(VLOOKUP($B513,Q,14,FALSE)))</f>
        <v/>
      </c>
      <c r="I513" s="2" t="str">
        <f>IF(VLOOKUP($B513,Q,14,FALSE)=0,"",(VLOOKUP($B513,Q,15,FALSE)))</f>
        <v/>
      </c>
      <c r="J513" s="2" t="str">
        <f>IF(VLOOKUP($B513,Q,14,FALSE)=0,"",(VLOOKUP($B513,Q,16,FALSE)))</f>
        <v/>
      </c>
      <c r="K513" s="2" t="str">
        <f>IF(VLOOKUP($B513,Q,14,FALSE)=0,"",(VLOOKUP($B513,Q,17,FALSE)))</f>
        <v/>
      </c>
    </row>
    <row r="514" spans="2:11" x14ac:dyDescent="0.6">
      <c r="B514" s="1">
        <v>517</v>
      </c>
      <c r="C514" s="2" t="str">
        <f>IF(VLOOKUP($B514,Q,2,FALSE)=0,"",(VLOOKUP($B514,Q,2,FALSE)))</f>
        <v/>
      </c>
      <c r="D514" s="2" t="str">
        <f>IF(VLOOKUP($B514,Q,3,FALSE)=0,"",(VLOOKUP($B514,Q,3,FALSE)))</f>
        <v/>
      </c>
      <c r="E514" s="2" t="str">
        <f>IF(VLOOKUP($B514,Q,8,FALSE)=0,"",(VLOOKUP($B514,Q,8,FALSE)))</f>
        <v/>
      </c>
      <c r="F514" s="19" t="str">
        <f>IF(VLOOKUP($B514,Q,9,FALSE)=0,"",(VLOOKUP($B514,Q,9,FALSE)))</f>
        <v/>
      </c>
      <c r="G514" s="2" t="str">
        <f>IF(VLOOKUP($B514,Q,10,FALSE)=0,"",(VLOOKUP($B514,Q,10,FALSE)))</f>
        <v/>
      </c>
      <c r="H514" s="2" t="str">
        <f>IF(VLOOKUP($B514,Q,14,FALSE)=0,"",(VLOOKUP($B514,Q,14,FALSE)))</f>
        <v/>
      </c>
      <c r="I514" s="2" t="str">
        <f>IF(VLOOKUP($B514,Q,14,FALSE)=0,"",(VLOOKUP($B514,Q,15,FALSE)))</f>
        <v/>
      </c>
      <c r="J514" s="2" t="str">
        <f>IF(VLOOKUP($B514,Q,14,FALSE)=0,"",(VLOOKUP($B514,Q,16,FALSE)))</f>
        <v/>
      </c>
      <c r="K514" s="2" t="str">
        <f>IF(VLOOKUP($B514,Q,14,FALSE)=0,"",(VLOOKUP($B514,Q,17,FALSE)))</f>
        <v/>
      </c>
    </row>
    <row r="515" spans="2:11" x14ac:dyDescent="0.6">
      <c r="B515" s="1">
        <v>518</v>
      </c>
      <c r="C515" s="2" t="str">
        <f>IF(VLOOKUP($B515,Q,2,FALSE)=0,"",(VLOOKUP($B515,Q,2,FALSE)))</f>
        <v/>
      </c>
      <c r="D515" s="2" t="str">
        <f>IF(VLOOKUP($B515,Q,3,FALSE)=0,"",(VLOOKUP($B515,Q,3,FALSE)))</f>
        <v/>
      </c>
      <c r="E515" s="2" t="str">
        <f>IF(VLOOKUP($B515,Q,8,FALSE)=0,"",(VLOOKUP($B515,Q,8,FALSE)))</f>
        <v/>
      </c>
      <c r="F515" s="19" t="str">
        <f>IF(VLOOKUP($B515,Q,9,FALSE)=0,"",(VLOOKUP($B515,Q,9,FALSE)))</f>
        <v/>
      </c>
      <c r="G515" s="2" t="str">
        <f>IF(VLOOKUP($B515,Q,10,FALSE)=0,"",(VLOOKUP($B515,Q,10,FALSE)))</f>
        <v/>
      </c>
      <c r="H515" s="2" t="str">
        <f>IF(VLOOKUP($B515,Q,14,FALSE)=0,"",(VLOOKUP($B515,Q,14,FALSE)))</f>
        <v/>
      </c>
      <c r="I515" s="2" t="str">
        <f>IF(VLOOKUP($B515,Q,14,FALSE)=0,"",(VLOOKUP($B515,Q,15,FALSE)))</f>
        <v/>
      </c>
      <c r="J515" s="2" t="str">
        <f>IF(VLOOKUP($B515,Q,14,FALSE)=0,"",(VLOOKUP($B515,Q,16,FALSE)))</f>
        <v/>
      </c>
      <c r="K515" s="2" t="str">
        <f>IF(VLOOKUP($B515,Q,14,FALSE)=0,"",(VLOOKUP($B515,Q,17,FALSE)))</f>
        <v/>
      </c>
    </row>
    <row r="516" spans="2:11" x14ac:dyDescent="0.6">
      <c r="B516" s="1">
        <v>519</v>
      </c>
      <c r="C516" s="2" t="str">
        <f>IF(VLOOKUP($B516,Q,2,FALSE)=0,"",(VLOOKUP($B516,Q,2,FALSE)))</f>
        <v/>
      </c>
      <c r="D516" s="2" t="str">
        <f>IF(VLOOKUP($B516,Q,3,FALSE)=0,"",(VLOOKUP($B516,Q,3,FALSE)))</f>
        <v/>
      </c>
      <c r="E516" s="2" t="str">
        <f>IF(VLOOKUP($B516,Q,8,FALSE)=0,"",(VLOOKUP($B516,Q,8,FALSE)))</f>
        <v/>
      </c>
      <c r="F516" s="19" t="str">
        <f>IF(VLOOKUP($B516,Q,9,FALSE)=0,"",(VLOOKUP($B516,Q,9,FALSE)))</f>
        <v/>
      </c>
      <c r="G516" s="2" t="str">
        <f>IF(VLOOKUP($B516,Q,10,FALSE)=0,"",(VLOOKUP($B516,Q,10,FALSE)))</f>
        <v/>
      </c>
      <c r="H516" s="2" t="str">
        <f>IF(VLOOKUP($B516,Q,14,FALSE)=0,"",(VLOOKUP($B516,Q,14,FALSE)))</f>
        <v/>
      </c>
      <c r="I516" s="2" t="str">
        <f>IF(VLOOKUP($B516,Q,14,FALSE)=0,"",(VLOOKUP($B516,Q,15,FALSE)))</f>
        <v/>
      </c>
      <c r="J516" s="2" t="str">
        <f>IF(VLOOKUP($B516,Q,14,FALSE)=0,"",(VLOOKUP($B516,Q,16,FALSE)))</f>
        <v/>
      </c>
      <c r="K516" s="2" t="str">
        <f>IF(VLOOKUP($B516,Q,14,FALSE)=0,"",(VLOOKUP($B516,Q,17,FALSE)))</f>
        <v/>
      </c>
    </row>
    <row r="517" spans="2:11" x14ac:dyDescent="0.6">
      <c r="B517" s="1">
        <v>520</v>
      </c>
      <c r="C517" s="2" t="str">
        <f>IF(VLOOKUP($B517,Q,2,FALSE)=0,"",(VLOOKUP($B517,Q,2,FALSE)))</f>
        <v/>
      </c>
      <c r="D517" s="2" t="str">
        <f>IF(VLOOKUP($B517,Q,3,FALSE)=0,"",(VLOOKUP($B517,Q,3,FALSE)))</f>
        <v/>
      </c>
      <c r="E517" s="2" t="str">
        <f>IF(VLOOKUP($B517,Q,8,FALSE)=0,"",(VLOOKUP($B517,Q,8,FALSE)))</f>
        <v/>
      </c>
      <c r="F517" s="19" t="str">
        <f>IF(VLOOKUP($B517,Q,9,FALSE)=0,"",(VLOOKUP($B517,Q,9,FALSE)))</f>
        <v/>
      </c>
      <c r="G517" s="2" t="str">
        <f>IF(VLOOKUP($B517,Q,10,FALSE)=0,"",(VLOOKUP($B517,Q,10,FALSE)))</f>
        <v/>
      </c>
      <c r="H517" s="2" t="str">
        <f>IF(VLOOKUP($B517,Q,14,FALSE)=0,"",(VLOOKUP($B517,Q,14,FALSE)))</f>
        <v/>
      </c>
      <c r="I517" s="2" t="str">
        <f>IF(VLOOKUP($B517,Q,14,FALSE)=0,"",(VLOOKUP($B517,Q,15,FALSE)))</f>
        <v/>
      </c>
      <c r="J517" s="2" t="str">
        <f>IF(VLOOKUP($B517,Q,14,FALSE)=0,"",(VLOOKUP($B517,Q,16,FALSE)))</f>
        <v/>
      </c>
      <c r="K517" s="2" t="str">
        <f>IF(VLOOKUP($B517,Q,14,FALSE)=0,"",(VLOOKUP($B517,Q,17,FALSE)))</f>
        <v/>
      </c>
    </row>
    <row r="518" spans="2:11" x14ac:dyDescent="0.6">
      <c r="B518" s="1">
        <v>521</v>
      </c>
      <c r="C518" s="2" t="str">
        <f>IF(VLOOKUP($B518,Q,2,FALSE)=0,"",(VLOOKUP($B518,Q,2,FALSE)))</f>
        <v/>
      </c>
      <c r="D518" s="2" t="str">
        <f>IF(VLOOKUP($B518,Q,3,FALSE)=0,"",(VLOOKUP($B518,Q,3,FALSE)))</f>
        <v/>
      </c>
      <c r="E518" s="2" t="str">
        <f>IF(VLOOKUP($B518,Q,8,FALSE)=0,"",(VLOOKUP($B518,Q,8,FALSE)))</f>
        <v/>
      </c>
      <c r="F518" s="19" t="str">
        <f>IF(VLOOKUP($B518,Q,9,FALSE)=0,"",(VLOOKUP($B518,Q,9,FALSE)))</f>
        <v/>
      </c>
      <c r="G518" s="2" t="str">
        <f>IF(VLOOKUP($B518,Q,10,FALSE)=0,"",(VLOOKUP($B518,Q,10,FALSE)))</f>
        <v/>
      </c>
      <c r="H518" s="2" t="str">
        <f>IF(VLOOKUP($B518,Q,14,FALSE)=0,"",(VLOOKUP($B518,Q,14,FALSE)))</f>
        <v/>
      </c>
      <c r="I518" s="2" t="str">
        <f>IF(VLOOKUP($B518,Q,14,FALSE)=0,"",(VLOOKUP($B518,Q,15,FALSE)))</f>
        <v/>
      </c>
      <c r="J518" s="2" t="str">
        <f>IF(VLOOKUP($B518,Q,14,FALSE)=0,"",(VLOOKUP($B518,Q,16,FALSE)))</f>
        <v/>
      </c>
      <c r="K518" s="2" t="str">
        <f>IF(VLOOKUP($B518,Q,14,FALSE)=0,"",(VLOOKUP($B518,Q,17,FALSE)))</f>
        <v/>
      </c>
    </row>
    <row r="519" spans="2:11" x14ac:dyDescent="0.6">
      <c r="B519" s="1">
        <v>522</v>
      </c>
      <c r="C519" s="2" t="str">
        <f>IF(VLOOKUP($B519,Q,2,FALSE)=0,"",(VLOOKUP($B519,Q,2,FALSE)))</f>
        <v/>
      </c>
      <c r="D519" s="2" t="str">
        <f>IF(VLOOKUP($B519,Q,3,FALSE)=0,"",(VLOOKUP($B519,Q,3,FALSE)))</f>
        <v/>
      </c>
      <c r="E519" s="2" t="str">
        <f>IF(VLOOKUP($B519,Q,8,FALSE)=0,"",(VLOOKUP($B519,Q,8,FALSE)))</f>
        <v/>
      </c>
      <c r="F519" s="19" t="str">
        <f>IF(VLOOKUP($B519,Q,9,FALSE)=0,"",(VLOOKUP($B519,Q,9,FALSE)))</f>
        <v/>
      </c>
      <c r="G519" s="2" t="str">
        <f>IF(VLOOKUP($B519,Q,10,FALSE)=0,"",(VLOOKUP($B519,Q,10,FALSE)))</f>
        <v/>
      </c>
      <c r="H519" s="2" t="str">
        <f>IF(VLOOKUP($B519,Q,14,FALSE)=0,"",(VLOOKUP($B519,Q,14,FALSE)))</f>
        <v/>
      </c>
      <c r="I519" s="2" t="str">
        <f>IF(VLOOKUP($B519,Q,14,FALSE)=0,"",(VLOOKUP($B519,Q,15,FALSE)))</f>
        <v/>
      </c>
      <c r="J519" s="2" t="str">
        <f>IF(VLOOKUP($B519,Q,14,FALSE)=0,"",(VLOOKUP($B519,Q,16,FALSE)))</f>
        <v/>
      </c>
      <c r="K519" s="2" t="str">
        <f>IF(VLOOKUP($B519,Q,14,FALSE)=0,"",(VLOOKUP($B519,Q,17,FALSE)))</f>
        <v/>
      </c>
    </row>
    <row r="520" spans="2:11" x14ac:dyDescent="0.6">
      <c r="B520" s="1">
        <v>523</v>
      </c>
      <c r="C520" s="2" t="str">
        <f>IF(VLOOKUP($B520,Q,2,FALSE)=0,"",(VLOOKUP($B520,Q,2,FALSE)))</f>
        <v/>
      </c>
      <c r="D520" s="2" t="str">
        <f>IF(VLOOKUP($B520,Q,3,FALSE)=0,"",(VLOOKUP($B520,Q,3,FALSE)))</f>
        <v/>
      </c>
      <c r="E520" s="2" t="str">
        <f>IF(VLOOKUP($B520,Q,8,FALSE)=0,"",(VLOOKUP($B520,Q,8,FALSE)))</f>
        <v/>
      </c>
      <c r="F520" s="19" t="str">
        <f>IF(VLOOKUP($B520,Q,9,FALSE)=0,"",(VLOOKUP($B520,Q,9,FALSE)))</f>
        <v/>
      </c>
      <c r="G520" s="2" t="str">
        <f>IF(VLOOKUP($B520,Q,10,FALSE)=0,"",(VLOOKUP($B520,Q,10,FALSE)))</f>
        <v/>
      </c>
      <c r="H520" s="2" t="str">
        <f>IF(VLOOKUP($B520,Q,14,FALSE)=0,"",(VLOOKUP($B520,Q,14,FALSE)))</f>
        <v/>
      </c>
      <c r="I520" s="2" t="str">
        <f>IF(VLOOKUP($B520,Q,14,FALSE)=0,"",(VLOOKUP($B520,Q,15,FALSE)))</f>
        <v/>
      </c>
      <c r="J520" s="2" t="str">
        <f>IF(VLOOKUP($B520,Q,14,FALSE)=0,"",(VLOOKUP($B520,Q,16,FALSE)))</f>
        <v/>
      </c>
      <c r="K520" s="2" t="str">
        <f>IF(VLOOKUP($B520,Q,14,FALSE)=0,"",(VLOOKUP($B520,Q,17,FALSE)))</f>
        <v/>
      </c>
    </row>
    <row r="521" spans="2:11" x14ac:dyDescent="0.6">
      <c r="B521" s="1">
        <v>524</v>
      </c>
      <c r="C521" s="2" t="str">
        <f>IF(VLOOKUP($B521,Q,2,FALSE)=0,"",(VLOOKUP($B521,Q,2,FALSE)))</f>
        <v/>
      </c>
      <c r="D521" s="2" t="str">
        <f>IF(VLOOKUP($B521,Q,3,FALSE)=0,"",(VLOOKUP($B521,Q,3,FALSE)))</f>
        <v/>
      </c>
      <c r="E521" s="2" t="str">
        <f>IF(VLOOKUP($B521,Q,8,FALSE)=0,"",(VLOOKUP($B521,Q,8,FALSE)))</f>
        <v/>
      </c>
      <c r="F521" s="19" t="str">
        <f>IF(VLOOKUP($B521,Q,9,FALSE)=0,"",(VLOOKUP($B521,Q,9,FALSE)))</f>
        <v/>
      </c>
      <c r="G521" s="2" t="str">
        <f>IF(VLOOKUP($B521,Q,10,FALSE)=0,"",(VLOOKUP($B521,Q,10,FALSE)))</f>
        <v/>
      </c>
      <c r="H521" s="2" t="str">
        <f>IF(VLOOKUP($B521,Q,14,FALSE)=0,"",(VLOOKUP($B521,Q,14,FALSE)))</f>
        <v/>
      </c>
      <c r="I521" s="2" t="str">
        <f>IF(VLOOKUP($B521,Q,14,FALSE)=0,"",(VLOOKUP($B521,Q,15,FALSE)))</f>
        <v/>
      </c>
      <c r="J521" s="2" t="str">
        <f>IF(VLOOKUP($B521,Q,14,FALSE)=0,"",(VLOOKUP($B521,Q,16,FALSE)))</f>
        <v/>
      </c>
      <c r="K521" s="2" t="str">
        <f>IF(VLOOKUP($B521,Q,14,FALSE)=0,"",(VLOOKUP($B521,Q,17,FALSE)))</f>
        <v/>
      </c>
    </row>
    <row r="522" spans="2:11" x14ac:dyDescent="0.6">
      <c r="B522" s="1">
        <v>525</v>
      </c>
      <c r="C522" s="2" t="str">
        <f>IF(VLOOKUP($B522,Q,2,FALSE)=0,"",(VLOOKUP($B522,Q,2,FALSE)))</f>
        <v/>
      </c>
      <c r="D522" s="2" t="str">
        <f>IF(VLOOKUP($B522,Q,3,FALSE)=0,"",(VLOOKUP($B522,Q,3,FALSE)))</f>
        <v/>
      </c>
      <c r="E522" s="2" t="str">
        <f>IF(VLOOKUP($B522,Q,8,FALSE)=0,"",(VLOOKUP($B522,Q,8,FALSE)))</f>
        <v/>
      </c>
      <c r="F522" s="19" t="str">
        <f>IF(VLOOKUP($B522,Q,9,FALSE)=0,"",(VLOOKUP($B522,Q,9,FALSE)))</f>
        <v/>
      </c>
      <c r="G522" s="2" t="str">
        <f>IF(VLOOKUP($B522,Q,10,FALSE)=0,"",(VLOOKUP($B522,Q,10,FALSE)))</f>
        <v/>
      </c>
      <c r="H522" s="2" t="str">
        <f>IF(VLOOKUP($B522,Q,14,FALSE)=0,"",(VLOOKUP($B522,Q,14,FALSE)))</f>
        <v/>
      </c>
      <c r="I522" s="2" t="str">
        <f>IF(VLOOKUP($B522,Q,14,FALSE)=0,"",(VLOOKUP($B522,Q,15,FALSE)))</f>
        <v/>
      </c>
      <c r="J522" s="2" t="str">
        <f>IF(VLOOKUP($B522,Q,14,FALSE)=0,"",(VLOOKUP($B522,Q,16,FALSE)))</f>
        <v/>
      </c>
      <c r="K522" s="2" t="str">
        <f>IF(VLOOKUP($B522,Q,14,FALSE)=0,"",(VLOOKUP($B522,Q,17,FALSE)))</f>
        <v/>
      </c>
    </row>
    <row r="523" spans="2:11" x14ac:dyDescent="0.6">
      <c r="B523" s="1">
        <v>526</v>
      </c>
      <c r="C523" s="2" t="str">
        <f>IF(VLOOKUP($B523,Q,2,FALSE)=0,"",(VLOOKUP($B523,Q,2,FALSE)))</f>
        <v/>
      </c>
      <c r="D523" s="2" t="str">
        <f>IF(VLOOKUP($B523,Q,3,FALSE)=0,"",(VLOOKUP($B523,Q,3,FALSE)))</f>
        <v/>
      </c>
      <c r="E523" s="2" t="str">
        <f>IF(VLOOKUP($B523,Q,8,FALSE)=0,"",(VLOOKUP($B523,Q,8,FALSE)))</f>
        <v/>
      </c>
      <c r="F523" s="19" t="str">
        <f>IF(VLOOKUP($B523,Q,9,FALSE)=0,"",(VLOOKUP($B523,Q,9,FALSE)))</f>
        <v/>
      </c>
      <c r="G523" s="2" t="str">
        <f>IF(VLOOKUP($B523,Q,10,FALSE)=0,"",(VLOOKUP($B523,Q,10,FALSE)))</f>
        <v/>
      </c>
      <c r="H523" s="2" t="str">
        <f>IF(VLOOKUP($B523,Q,14,FALSE)=0,"",(VLOOKUP($B523,Q,14,FALSE)))</f>
        <v/>
      </c>
      <c r="I523" s="2" t="str">
        <f>IF(VLOOKUP($B523,Q,14,FALSE)=0,"",(VLOOKUP($B523,Q,15,FALSE)))</f>
        <v/>
      </c>
      <c r="J523" s="2" t="str">
        <f>IF(VLOOKUP($B523,Q,14,FALSE)=0,"",(VLOOKUP($B523,Q,16,FALSE)))</f>
        <v/>
      </c>
      <c r="K523" s="2" t="str">
        <f>IF(VLOOKUP($B523,Q,14,FALSE)=0,"",(VLOOKUP($B523,Q,17,FALSE)))</f>
        <v/>
      </c>
    </row>
    <row r="524" spans="2:11" x14ac:dyDescent="0.6">
      <c r="B524" s="1">
        <v>527</v>
      </c>
      <c r="C524" s="2" t="str">
        <f>IF(VLOOKUP($B524,Q,2,FALSE)=0,"",(VLOOKUP($B524,Q,2,FALSE)))</f>
        <v/>
      </c>
      <c r="D524" s="2" t="str">
        <f>IF(VLOOKUP($B524,Q,3,FALSE)=0,"",(VLOOKUP($B524,Q,3,FALSE)))</f>
        <v/>
      </c>
      <c r="E524" s="2" t="str">
        <f>IF(VLOOKUP($B524,Q,8,FALSE)=0,"",(VLOOKUP($B524,Q,8,FALSE)))</f>
        <v/>
      </c>
      <c r="F524" s="19" t="str">
        <f>IF(VLOOKUP($B524,Q,9,FALSE)=0,"",(VLOOKUP($B524,Q,9,FALSE)))</f>
        <v/>
      </c>
      <c r="G524" s="2" t="str">
        <f>IF(VLOOKUP($B524,Q,10,FALSE)=0,"",(VLOOKUP($B524,Q,10,FALSE)))</f>
        <v/>
      </c>
      <c r="H524" s="2" t="str">
        <f>IF(VLOOKUP($B524,Q,14,FALSE)=0,"",(VLOOKUP($B524,Q,14,FALSE)))</f>
        <v/>
      </c>
      <c r="I524" s="2" t="str">
        <f>IF(VLOOKUP($B524,Q,14,FALSE)=0,"",(VLOOKUP($B524,Q,15,FALSE)))</f>
        <v/>
      </c>
      <c r="J524" s="2" t="str">
        <f>IF(VLOOKUP($B524,Q,14,FALSE)=0,"",(VLOOKUP($B524,Q,16,FALSE)))</f>
        <v/>
      </c>
      <c r="K524" s="2" t="str">
        <f>IF(VLOOKUP($B524,Q,14,FALSE)=0,"",(VLOOKUP($B524,Q,17,FALSE)))</f>
        <v/>
      </c>
    </row>
    <row r="525" spans="2:11" x14ac:dyDescent="0.6">
      <c r="B525" s="1">
        <v>528</v>
      </c>
      <c r="C525" s="2" t="str">
        <f>IF(VLOOKUP($B525,Q,2,FALSE)=0,"",(VLOOKUP($B525,Q,2,FALSE)))</f>
        <v/>
      </c>
      <c r="D525" s="2" t="str">
        <f>IF(VLOOKUP($B525,Q,3,FALSE)=0,"",(VLOOKUP($B525,Q,3,FALSE)))</f>
        <v/>
      </c>
      <c r="E525" s="2" t="str">
        <f>IF(VLOOKUP($B525,Q,8,FALSE)=0,"",(VLOOKUP($B525,Q,8,FALSE)))</f>
        <v/>
      </c>
      <c r="F525" s="19" t="str">
        <f>IF(VLOOKUP($B525,Q,9,FALSE)=0,"",(VLOOKUP($B525,Q,9,FALSE)))</f>
        <v/>
      </c>
      <c r="G525" s="2" t="str">
        <f>IF(VLOOKUP($B525,Q,10,FALSE)=0,"",(VLOOKUP($B525,Q,10,FALSE)))</f>
        <v/>
      </c>
      <c r="H525" s="2" t="str">
        <f>IF(VLOOKUP($B525,Q,14,FALSE)=0,"",(VLOOKUP($B525,Q,14,FALSE)))</f>
        <v/>
      </c>
      <c r="I525" s="2" t="str">
        <f>IF(VLOOKUP($B525,Q,14,FALSE)=0,"",(VLOOKUP($B525,Q,15,FALSE)))</f>
        <v/>
      </c>
      <c r="J525" s="2" t="str">
        <f>IF(VLOOKUP($B525,Q,14,FALSE)=0,"",(VLOOKUP($B525,Q,16,FALSE)))</f>
        <v/>
      </c>
      <c r="K525" s="2" t="str">
        <f>IF(VLOOKUP($B525,Q,14,FALSE)=0,"",(VLOOKUP($B525,Q,17,FALSE)))</f>
        <v/>
      </c>
    </row>
    <row r="526" spans="2:11" x14ac:dyDescent="0.6">
      <c r="B526" s="1">
        <v>529</v>
      </c>
      <c r="C526" s="2" t="str">
        <f>IF(VLOOKUP($B526,Q,2,FALSE)=0,"",(VLOOKUP($B526,Q,2,FALSE)))</f>
        <v/>
      </c>
      <c r="D526" s="2" t="str">
        <f>IF(VLOOKUP($B526,Q,3,FALSE)=0,"",(VLOOKUP($B526,Q,3,FALSE)))</f>
        <v/>
      </c>
      <c r="E526" s="2" t="str">
        <f>IF(VLOOKUP($B526,Q,8,FALSE)=0,"",(VLOOKUP($B526,Q,8,FALSE)))</f>
        <v/>
      </c>
      <c r="F526" s="19" t="str">
        <f>IF(VLOOKUP($B526,Q,9,FALSE)=0,"",(VLOOKUP($B526,Q,9,FALSE)))</f>
        <v/>
      </c>
      <c r="G526" s="2" t="str">
        <f>IF(VLOOKUP($B526,Q,10,FALSE)=0,"",(VLOOKUP($B526,Q,10,FALSE)))</f>
        <v/>
      </c>
      <c r="H526" s="2" t="str">
        <f>IF(VLOOKUP($B526,Q,14,FALSE)=0,"",(VLOOKUP($B526,Q,14,FALSE)))</f>
        <v/>
      </c>
      <c r="I526" s="2" t="str">
        <f>IF(VLOOKUP($B526,Q,14,FALSE)=0,"",(VLOOKUP($B526,Q,15,FALSE)))</f>
        <v/>
      </c>
      <c r="J526" s="2" t="str">
        <f>IF(VLOOKUP($B526,Q,14,FALSE)=0,"",(VLOOKUP($B526,Q,16,FALSE)))</f>
        <v/>
      </c>
      <c r="K526" s="2" t="str">
        <f>IF(VLOOKUP($B526,Q,14,FALSE)=0,"",(VLOOKUP($B526,Q,17,FALSE)))</f>
        <v/>
      </c>
    </row>
    <row r="527" spans="2:11" x14ac:dyDescent="0.6">
      <c r="B527" s="1">
        <v>530</v>
      </c>
      <c r="C527" s="2" t="str">
        <f>IF(VLOOKUP($B527,Q,2,FALSE)=0,"",(VLOOKUP($B527,Q,2,FALSE)))</f>
        <v/>
      </c>
      <c r="D527" s="2" t="str">
        <f>IF(VLOOKUP($B527,Q,3,FALSE)=0,"",(VLOOKUP($B527,Q,3,FALSE)))</f>
        <v/>
      </c>
      <c r="E527" s="2" t="str">
        <f>IF(VLOOKUP($B527,Q,8,FALSE)=0,"",(VLOOKUP($B527,Q,8,FALSE)))</f>
        <v/>
      </c>
      <c r="F527" s="19" t="str">
        <f>IF(VLOOKUP($B527,Q,9,FALSE)=0,"",(VLOOKUP($B527,Q,9,FALSE)))</f>
        <v/>
      </c>
      <c r="G527" s="2" t="str">
        <f>IF(VLOOKUP($B527,Q,10,FALSE)=0,"",(VLOOKUP($B527,Q,10,FALSE)))</f>
        <v/>
      </c>
      <c r="H527" s="2" t="str">
        <f>IF(VLOOKUP($B527,Q,14,FALSE)=0,"",(VLOOKUP($B527,Q,14,FALSE)))</f>
        <v/>
      </c>
      <c r="I527" s="2" t="str">
        <f>IF(VLOOKUP($B527,Q,14,FALSE)=0,"",(VLOOKUP($B527,Q,15,FALSE)))</f>
        <v/>
      </c>
      <c r="J527" s="2" t="str">
        <f>IF(VLOOKUP($B527,Q,14,FALSE)=0,"",(VLOOKUP($B527,Q,16,FALSE)))</f>
        <v/>
      </c>
      <c r="K527" s="2" t="str">
        <f>IF(VLOOKUP($B527,Q,14,FALSE)=0,"",(VLOOKUP($B527,Q,17,FALSE)))</f>
        <v/>
      </c>
    </row>
    <row r="528" spans="2:11" x14ac:dyDescent="0.6">
      <c r="B528" s="1">
        <v>531</v>
      </c>
      <c r="C528" s="2" t="str">
        <f>IF(VLOOKUP($B528,Q,2,FALSE)=0,"",(VLOOKUP($B528,Q,2,FALSE)))</f>
        <v/>
      </c>
      <c r="D528" s="2" t="str">
        <f>IF(VLOOKUP($B528,Q,3,FALSE)=0,"",(VLOOKUP($B528,Q,3,FALSE)))</f>
        <v/>
      </c>
      <c r="E528" s="2" t="str">
        <f>IF(VLOOKUP($B528,Q,8,FALSE)=0,"",(VLOOKUP($B528,Q,8,FALSE)))</f>
        <v/>
      </c>
      <c r="F528" s="19" t="str">
        <f>IF(VLOOKUP($B528,Q,9,FALSE)=0,"",(VLOOKUP($B528,Q,9,FALSE)))</f>
        <v/>
      </c>
      <c r="G528" s="2" t="str">
        <f>IF(VLOOKUP($B528,Q,10,FALSE)=0,"",(VLOOKUP($B528,Q,10,FALSE)))</f>
        <v/>
      </c>
      <c r="H528" s="2" t="str">
        <f>IF(VLOOKUP($B528,Q,14,FALSE)=0,"",(VLOOKUP($B528,Q,14,FALSE)))</f>
        <v/>
      </c>
      <c r="I528" s="2" t="str">
        <f>IF(VLOOKUP($B528,Q,14,FALSE)=0,"",(VLOOKUP($B528,Q,15,FALSE)))</f>
        <v/>
      </c>
      <c r="J528" s="2" t="str">
        <f>IF(VLOOKUP($B528,Q,14,FALSE)=0,"",(VLOOKUP($B528,Q,16,FALSE)))</f>
        <v/>
      </c>
      <c r="K528" s="2" t="str">
        <f>IF(VLOOKUP($B528,Q,14,FALSE)=0,"",(VLOOKUP($B528,Q,17,FALSE)))</f>
        <v/>
      </c>
    </row>
    <row r="529" spans="2:11" x14ac:dyDescent="0.6">
      <c r="B529" s="1">
        <v>532</v>
      </c>
      <c r="C529" s="2" t="str">
        <f>IF(VLOOKUP($B529,Q,2,FALSE)=0,"",(VLOOKUP($B529,Q,2,FALSE)))</f>
        <v/>
      </c>
      <c r="D529" s="2" t="str">
        <f>IF(VLOOKUP($B529,Q,3,FALSE)=0,"",(VLOOKUP($B529,Q,3,FALSE)))</f>
        <v/>
      </c>
      <c r="E529" s="2" t="str">
        <f>IF(VLOOKUP($B529,Q,8,FALSE)=0,"",(VLOOKUP($B529,Q,8,FALSE)))</f>
        <v/>
      </c>
      <c r="F529" s="19" t="str">
        <f>IF(VLOOKUP($B529,Q,9,FALSE)=0,"",(VLOOKUP($B529,Q,9,FALSE)))</f>
        <v/>
      </c>
      <c r="G529" s="2" t="str">
        <f>IF(VLOOKUP($B529,Q,10,FALSE)=0,"",(VLOOKUP($B529,Q,10,FALSE)))</f>
        <v/>
      </c>
      <c r="H529" s="2" t="str">
        <f>IF(VLOOKUP($B529,Q,14,FALSE)=0,"",(VLOOKUP($B529,Q,14,FALSE)))</f>
        <v/>
      </c>
      <c r="I529" s="2" t="str">
        <f>IF(VLOOKUP($B529,Q,14,FALSE)=0,"",(VLOOKUP($B529,Q,15,FALSE)))</f>
        <v/>
      </c>
      <c r="J529" s="2" t="str">
        <f>IF(VLOOKUP($B529,Q,14,FALSE)=0,"",(VLOOKUP($B529,Q,16,FALSE)))</f>
        <v/>
      </c>
      <c r="K529" s="2" t="str">
        <f>IF(VLOOKUP($B529,Q,14,FALSE)=0,"",(VLOOKUP($B529,Q,17,FALSE)))</f>
        <v/>
      </c>
    </row>
    <row r="530" spans="2:11" x14ac:dyDescent="0.6">
      <c r="B530" s="1">
        <v>533</v>
      </c>
      <c r="C530" s="2" t="str">
        <f>IF(VLOOKUP($B530,Q,2,FALSE)=0,"",(VLOOKUP($B530,Q,2,FALSE)))</f>
        <v/>
      </c>
      <c r="D530" s="2" t="str">
        <f>IF(VLOOKUP($B530,Q,3,FALSE)=0,"",(VLOOKUP($B530,Q,3,FALSE)))</f>
        <v/>
      </c>
      <c r="E530" s="2" t="str">
        <f>IF(VLOOKUP($B530,Q,8,FALSE)=0,"",(VLOOKUP($B530,Q,8,FALSE)))</f>
        <v/>
      </c>
      <c r="F530" s="19" t="str">
        <f>IF(VLOOKUP($B530,Q,9,FALSE)=0,"",(VLOOKUP($B530,Q,9,FALSE)))</f>
        <v/>
      </c>
      <c r="G530" s="2" t="str">
        <f>IF(VLOOKUP($B530,Q,10,FALSE)=0,"",(VLOOKUP($B530,Q,10,FALSE)))</f>
        <v/>
      </c>
      <c r="H530" s="2" t="str">
        <f>IF(VLOOKUP($B530,Q,14,FALSE)=0,"",(VLOOKUP($B530,Q,14,FALSE)))</f>
        <v/>
      </c>
      <c r="I530" s="2" t="str">
        <f>IF(VLOOKUP($B530,Q,14,FALSE)=0,"",(VLOOKUP($B530,Q,15,FALSE)))</f>
        <v/>
      </c>
      <c r="J530" s="2" t="str">
        <f>IF(VLOOKUP($B530,Q,14,FALSE)=0,"",(VLOOKUP($B530,Q,16,FALSE)))</f>
        <v/>
      </c>
      <c r="K530" s="2" t="str">
        <f>IF(VLOOKUP($B530,Q,14,FALSE)=0,"",(VLOOKUP($B530,Q,17,FALSE)))</f>
        <v/>
      </c>
    </row>
    <row r="531" spans="2:11" x14ac:dyDescent="0.6">
      <c r="B531" s="1">
        <v>534</v>
      </c>
      <c r="C531" s="2" t="str">
        <f>IF(VLOOKUP($B531,Q,2,FALSE)=0,"",(VLOOKUP($B531,Q,2,FALSE)))</f>
        <v/>
      </c>
      <c r="D531" s="2" t="str">
        <f>IF(VLOOKUP($B531,Q,3,FALSE)=0,"",(VLOOKUP($B531,Q,3,FALSE)))</f>
        <v/>
      </c>
      <c r="E531" s="2" t="str">
        <f>IF(VLOOKUP($B531,Q,8,FALSE)=0,"",(VLOOKUP($B531,Q,8,FALSE)))</f>
        <v/>
      </c>
      <c r="F531" s="19" t="str">
        <f>IF(VLOOKUP($B531,Q,9,FALSE)=0,"",(VLOOKUP($B531,Q,9,FALSE)))</f>
        <v/>
      </c>
      <c r="G531" s="2" t="str">
        <f>IF(VLOOKUP($B531,Q,10,FALSE)=0,"",(VLOOKUP($B531,Q,10,FALSE)))</f>
        <v/>
      </c>
      <c r="H531" s="2" t="str">
        <f>IF(VLOOKUP($B531,Q,14,FALSE)=0,"",(VLOOKUP($B531,Q,14,FALSE)))</f>
        <v/>
      </c>
      <c r="I531" s="2" t="str">
        <f>IF(VLOOKUP($B531,Q,14,FALSE)=0,"",(VLOOKUP($B531,Q,15,FALSE)))</f>
        <v/>
      </c>
      <c r="J531" s="2" t="str">
        <f>IF(VLOOKUP($B531,Q,14,FALSE)=0,"",(VLOOKUP($B531,Q,16,FALSE)))</f>
        <v/>
      </c>
      <c r="K531" s="2" t="str">
        <f>IF(VLOOKUP($B531,Q,14,FALSE)=0,"",(VLOOKUP($B531,Q,17,FALSE)))</f>
        <v/>
      </c>
    </row>
    <row r="532" spans="2:11" x14ac:dyDescent="0.6">
      <c r="B532" s="1">
        <v>535</v>
      </c>
      <c r="C532" s="2" t="str">
        <f>IF(VLOOKUP($B532,Q,2,FALSE)=0,"",(VLOOKUP($B532,Q,2,FALSE)))</f>
        <v/>
      </c>
      <c r="D532" s="2" t="str">
        <f>IF(VLOOKUP($B532,Q,3,FALSE)=0,"",(VLOOKUP($B532,Q,3,FALSE)))</f>
        <v/>
      </c>
      <c r="E532" s="2" t="str">
        <f>IF(VLOOKUP($B532,Q,8,FALSE)=0,"",(VLOOKUP($B532,Q,8,FALSE)))</f>
        <v/>
      </c>
      <c r="F532" s="19" t="str">
        <f>IF(VLOOKUP($B532,Q,9,FALSE)=0,"",(VLOOKUP($B532,Q,9,FALSE)))</f>
        <v/>
      </c>
      <c r="G532" s="2" t="str">
        <f>IF(VLOOKUP($B532,Q,10,FALSE)=0,"",(VLOOKUP($B532,Q,10,FALSE)))</f>
        <v/>
      </c>
      <c r="H532" s="2" t="str">
        <f>IF(VLOOKUP($B532,Q,14,FALSE)=0,"",(VLOOKUP($B532,Q,14,FALSE)))</f>
        <v/>
      </c>
      <c r="I532" s="2" t="str">
        <f>IF(VLOOKUP($B532,Q,14,FALSE)=0,"",(VLOOKUP($B532,Q,15,FALSE)))</f>
        <v/>
      </c>
      <c r="J532" s="2" t="str">
        <f>IF(VLOOKUP($B532,Q,14,FALSE)=0,"",(VLOOKUP($B532,Q,16,FALSE)))</f>
        <v/>
      </c>
      <c r="K532" s="2" t="str">
        <f>IF(VLOOKUP($B532,Q,14,FALSE)=0,"",(VLOOKUP($B532,Q,17,FALSE)))</f>
        <v/>
      </c>
    </row>
    <row r="533" spans="2:11" x14ac:dyDescent="0.6">
      <c r="B533" s="1">
        <v>536</v>
      </c>
      <c r="C533" s="2" t="str">
        <f>IF(VLOOKUP($B533,Q,2,FALSE)=0,"",(VLOOKUP($B533,Q,2,FALSE)))</f>
        <v/>
      </c>
      <c r="D533" s="2" t="str">
        <f>IF(VLOOKUP($B533,Q,3,FALSE)=0,"",(VLOOKUP($B533,Q,3,FALSE)))</f>
        <v/>
      </c>
      <c r="E533" s="2" t="str">
        <f>IF(VLOOKUP($B533,Q,8,FALSE)=0,"",(VLOOKUP($B533,Q,8,FALSE)))</f>
        <v/>
      </c>
      <c r="F533" s="19" t="str">
        <f>IF(VLOOKUP($B533,Q,9,FALSE)=0,"",(VLOOKUP($B533,Q,9,FALSE)))</f>
        <v/>
      </c>
      <c r="G533" s="2" t="str">
        <f>IF(VLOOKUP($B533,Q,10,FALSE)=0,"",(VLOOKUP($B533,Q,10,FALSE)))</f>
        <v/>
      </c>
      <c r="H533" s="2" t="str">
        <f>IF(VLOOKUP($B533,Q,14,FALSE)=0,"",(VLOOKUP($B533,Q,14,FALSE)))</f>
        <v/>
      </c>
      <c r="I533" s="2" t="str">
        <f>IF(VLOOKUP($B533,Q,14,FALSE)=0,"",(VLOOKUP($B533,Q,15,FALSE)))</f>
        <v/>
      </c>
      <c r="J533" s="2" t="str">
        <f>IF(VLOOKUP($B533,Q,14,FALSE)=0,"",(VLOOKUP($B533,Q,16,FALSE)))</f>
        <v/>
      </c>
      <c r="K533" s="2" t="str">
        <f>IF(VLOOKUP($B533,Q,14,FALSE)=0,"",(VLOOKUP($B533,Q,17,FALSE)))</f>
        <v/>
      </c>
    </row>
    <row r="534" spans="2:11" x14ac:dyDescent="0.6">
      <c r="B534" s="1">
        <v>537</v>
      </c>
      <c r="C534" s="2" t="str">
        <f>IF(VLOOKUP($B534,Q,2,FALSE)=0,"",(VLOOKUP($B534,Q,2,FALSE)))</f>
        <v/>
      </c>
      <c r="D534" s="2" t="str">
        <f>IF(VLOOKUP($B534,Q,3,FALSE)=0,"",(VLOOKUP($B534,Q,3,FALSE)))</f>
        <v/>
      </c>
      <c r="E534" s="2" t="str">
        <f>IF(VLOOKUP($B534,Q,8,FALSE)=0,"",(VLOOKUP($B534,Q,8,FALSE)))</f>
        <v/>
      </c>
      <c r="F534" s="19" t="str">
        <f>IF(VLOOKUP($B534,Q,9,FALSE)=0,"",(VLOOKUP($B534,Q,9,FALSE)))</f>
        <v/>
      </c>
      <c r="G534" s="2" t="str">
        <f>IF(VLOOKUP($B534,Q,10,FALSE)=0,"",(VLOOKUP($B534,Q,10,FALSE)))</f>
        <v/>
      </c>
      <c r="H534" s="2" t="str">
        <f>IF(VLOOKUP($B534,Q,14,FALSE)=0,"",(VLOOKUP($B534,Q,14,FALSE)))</f>
        <v/>
      </c>
      <c r="I534" s="2" t="str">
        <f>IF(VLOOKUP($B534,Q,14,FALSE)=0,"",(VLOOKUP($B534,Q,15,FALSE)))</f>
        <v/>
      </c>
      <c r="J534" s="2" t="str">
        <f>IF(VLOOKUP($B534,Q,14,FALSE)=0,"",(VLOOKUP($B534,Q,16,FALSE)))</f>
        <v/>
      </c>
      <c r="K534" s="2" t="str">
        <f>IF(VLOOKUP($B534,Q,14,FALSE)=0,"",(VLOOKUP($B534,Q,17,FALSE)))</f>
        <v/>
      </c>
    </row>
    <row r="535" spans="2:11" x14ac:dyDescent="0.6">
      <c r="B535" s="1">
        <v>538</v>
      </c>
      <c r="C535" s="2" t="str">
        <f>IF(VLOOKUP($B535,Q,2,FALSE)=0,"",(VLOOKUP($B535,Q,2,FALSE)))</f>
        <v/>
      </c>
      <c r="D535" s="2" t="str">
        <f>IF(VLOOKUP($B535,Q,3,FALSE)=0,"",(VLOOKUP($B535,Q,3,FALSE)))</f>
        <v/>
      </c>
      <c r="E535" s="2" t="str">
        <f>IF(VLOOKUP($B535,Q,8,FALSE)=0,"",(VLOOKUP($B535,Q,8,FALSE)))</f>
        <v/>
      </c>
      <c r="F535" s="19" t="str">
        <f>IF(VLOOKUP($B535,Q,9,FALSE)=0,"",(VLOOKUP($B535,Q,9,FALSE)))</f>
        <v/>
      </c>
      <c r="G535" s="2" t="str">
        <f>IF(VLOOKUP($B535,Q,10,FALSE)=0,"",(VLOOKUP($B535,Q,10,FALSE)))</f>
        <v/>
      </c>
      <c r="H535" s="2" t="str">
        <f>IF(VLOOKUP($B535,Q,14,FALSE)=0,"",(VLOOKUP($B535,Q,14,FALSE)))</f>
        <v/>
      </c>
      <c r="I535" s="2" t="str">
        <f>IF(VLOOKUP($B535,Q,14,FALSE)=0,"",(VLOOKUP($B535,Q,15,FALSE)))</f>
        <v/>
      </c>
      <c r="J535" s="2" t="str">
        <f>IF(VLOOKUP($B535,Q,14,FALSE)=0,"",(VLOOKUP($B535,Q,16,FALSE)))</f>
        <v/>
      </c>
      <c r="K535" s="2" t="str">
        <f>IF(VLOOKUP($B535,Q,14,FALSE)=0,"",(VLOOKUP($B535,Q,17,FALSE)))</f>
        <v/>
      </c>
    </row>
    <row r="536" spans="2:11" x14ac:dyDescent="0.6">
      <c r="B536" s="1">
        <v>539</v>
      </c>
      <c r="C536" s="2" t="str">
        <f>IF(VLOOKUP($B536,Q,2,FALSE)=0,"",(VLOOKUP($B536,Q,2,FALSE)))</f>
        <v/>
      </c>
      <c r="D536" s="2" t="str">
        <f>IF(VLOOKUP($B536,Q,3,FALSE)=0,"",(VLOOKUP($B536,Q,3,FALSE)))</f>
        <v/>
      </c>
      <c r="E536" s="2" t="str">
        <f>IF(VLOOKUP($B536,Q,8,FALSE)=0,"",(VLOOKUP($B536,Q,8,FALSE)))</f>
        <v/>
      </c>
      <c r="F536" s="19" t="str">
        <f>IF(VLOOKUP($B536,Q,9,FALSE)=0,"",(VLOOKUP($B536,Q,9,FALSE)))</f>
        <v/>
      </c>
      <c r="G536" s="2" t="str">
        <f>IF(VLOOKUP($B536,Q,10,FALSE)=0,"",(VLOOKUP($B536,Q,10,FALSE)))</f>
        <v/>
      </c>
      <c r="H536" s="2" t="str">
        <f>IF(VLOOKUP($B536,Q,14,FALSE)=0,"",(VLOOKUP($B536,Q,14,FALSE)))</f>
        <v/>
      </c>
      <c r="I536" s="2" t="str">
        <f>IF(VLOOKUP($B536,Q,14,FALSE)=0,"",(VLOOKUP($B536,Q,15,FALSE)))</f>
        <v/>
      </c>
      <c r="J536" s="2" t="str">
        <f>IF(VLOOKUP($B536,Q,14,FALSE)=0,"",(VLOOKUP($B536,Q,16,FALSE)))</f>
        <v/>
      </c>
      <c r="K536" s="2" t="str">
        <f>IF(VLOOKUP($B536,Q,14,FALSE)=0,"",(VLOOKUP($B536,Q,17,FALSE)))</f>
        <v/>
      </c>
    </row>
    <row r="537" spans="2:11" x14ac:dyDescent="0.6">
      <c r="B537" s="1">
        <v>540</v>
      </c>
      <c r="C537" s="2" t="str">
        <f>IF(VLOOKUP($B537,Q,2,FALSE)=0,"",(VLOOKUP($B537,Q,2,FALSE)))</f>
        <v/>
      </c>
      <c r="D537" s="2" t="str">
        <f>IF(VLOOKUP($B537,Q,3,FALSE)=0,"",(VLOOKUP($B537,Q,3,FALSE)))</f>
        <v/>
      </c>
      <c r="E537" s="2" t="str">
        <f>IF(VLOOKUP($B537,Q,8,FALSE)=0,"",(VLOOKUP($B537,Q,8,FALSE)))</f>
        <v/>
      </c>
      <c r="F537" s="19" t="str">
        <f>IF(VLOOKUP($B537,Q,9,FALSE)=0,"",(VLOOKUP($B537,Q,9,FALSE)))</f>
        <v/>
      </c>
      <c r="G537" s="2" t="str">
        <f>IF(VLOOKUP($B537,Q,10,FALSE)=0,"",(VLOOKUP($B537,Q,10,FALSE)))</f>
        <v/>
      </c>
      <c r="H537" s="2" t="str">
        <f>IF(VLOOKUP($B537,Q,14,FALSE)=0,"",(VLOOKUP($B537,Q,14,FALSE)))</f>
        <v/>
      </c>
      <c r="I537" s="2" t="str">
        <f>IF(VLOOKUP($B537,Q,14,FALSE)=0,"",(VLOOKUP($B537,Q,15,FALSE)))</f>
        <v/>
      </c>
      <c r="J537" s="2" t="str">
        <f>IF(VLOOKUP($B537,Q,14,FALSE)=0,"",(VLOOKUP($B537,Q,16,FALSE)))</f>
        <v/>
      </c>
      <c r="K537" s="2" t="str">
        <f>IF(VLOOKUP($B537,Q,14,FALSE)=0,"",(VLOOKUP($B537,Q,17,FALSE)))</f>
        <v/>
      </c>
    </row>
    <row r="538" spans="2:11" x14ac:dyDescent="0.6">
      <c r="B538" s="1">
        <v>541</v>
      </c>
      <c r="C538" s="2" t="str">
        <f>IF(VLOOKUP($B538,Q,2,FALSE)=0,"",(VLOOKUP($B538,Q,2,FALSE)))</f>
        <v/>
      </c>
      <c r="D538" s="2" t="str">
        <f>IF(VLOOKUP($B538,Q,3,FALSE)=0,"",(VLOOKUP($B538,Q,3,FALSE)))</f>
        <v/>
      </c>
      <c r="E538" s="2" t="str">
        <f>IF(VLOOKUP($B538,Q,8,FALSE)=0,"",(VLOOKUP($B538,Q,8,FALSE)))</f>
        <v/>
      </c>
      <c r="F538" s="19" t="str">
        <f>IF(VLOOKUP($B538,Q,9,FALSE)=0,"",(VLOOKUP($B538,Q,9,FALSE)))</f>
        <v/>
      </c>
      <c r="G538" s="2" t="str">
        <f>IF(VLOOKUP($B538,Q,10,FALSE)=0,"",(VLOOKUP($B538,Q,10,FALSE)))</f>
        <v/>
      </c>
      <c r="H538" s="2" t="str">
        <f>IF(VLOOKUP($B538,Q,14,FALSE)=0,"",(VLOOKUP($B538,Q,14,FALSE)))</f>
        <v/>
      </c>
      <c r="I538" s="2" t="str">
        <f>IF(VLOOKUP($B538,Q,14,FALSE)=0,"",(VLOOKUP($B538,Q,15,FALSE)))</f>
        <v/>
      </c>
      <c r="J538" s="2" t="str">
        <f>IF(VLOOKUP($B538,Q,14,FALSE)=0,"",(VLOOKUP($B538,Q,16,FALSE)))</f>
        <v/>
      </c>
      <c r="K538" s="2" t="str">
        <f>IF(VLOOKUP($B538,Q,14,FALSE)=0,"",(VLOOKUP($B538,Q,17,FALSE)))</f>
        <v/>
      </c>
    </row>
    <row r="539" spans="2:11" x14ac:dyDescent="0.6">
      <c r="B539" s="1">
        <v>542</v>
      </c>
      <c r="C539" s="2" t="str">
        <f>IF(VLOOKUP($B539,Q,2,FALSE)=0,"",(VLOOKUP($B539,Q,2,FALSE)))</f>
        <v/>
      </c>
      <c r="D539" s="2" t="str">
        <f>IF(VLOOKUP($B539,Q,3,FALSE)=0,"",(VLOOKUP($B539,Q,3,FALSE)))</f>
        <v/>
      </c>
      <c r="E539" s="2" t="str">
        <f>IF(VLOOKUP($B539,Q,8,FALSE)=0,"",(VLOOKUP($B539,Q,8,FALSE)))</f>
        <v/>
      </c>
      <c r="F539" s="19" t="str">
        <f>IF(VLOOKUP($B539,Q,9,FALSE)=0,"",(VLOOKUP($B539,Q,9,FALSE)))</f>
        <v/>
      </c>
      <c r="G539" s="2" t="str">
        <f>IF(VLOOKUP($B539,Q,10,FALSE)=0,"",(VLOOKUP($B539,Q,10,FALSE)))</f>
        <v/>
      </c>
      <c r="H539" s="2" t="str">
        <f>IF(VLOOKUP($B539,Q,14,FALSE)=0,"",(VLOOKUP($B539,Q,14,FALSE)))</f>
        <v/>
      </c>
      <c r="I539" s="2" t="str">
        <f>IF(VLOOKUP($B539,Q,14,FALSE)=0,"",(VLOOKUP($B539,Q,15,FALSE)))</f>
        <v/>
      </c>
      <c r="J539" s="2" t="str">
        <f>IF(VLOOKUP($B539,Q,14,FALSE)=0,"",(VLOOKUP($B539,Q,16,FALSE)))</f>
        <v/>
      </c>
      <c r="K539" s="2" t="str">
        <f>IF(VLOOKUP($B539,Q,14,FALSE)=0,"",(VLOOKUP($B539,Q,17,FALSE)))</f>
        <v/>
      </c>
    </row>
    <row r="540" spans="2:11" x14ac:dyDescent="0.6">
      <c r="B540" s="1">
        <v>543</v>
      </c>
      <c r="C540" s="2" t="str">
        <f>IF(VLOOKUP($B540,Q,2,FALSE)=0,"",(VLOOKUP($B540,Q,2,FALSE)))</f>
        <v/>
      </c>
      <c r="D540" s="2" t="str">
        <f>IF(VLOOKUP($B540,Q,3,FALSE)=0,"",(VLOOKUP($B540,Q,3,FALSE)))</f>
        <v/>
      </c>
      <c r="E540" s="2" t="str">
        <f>IF(VLOOKUP($B540,Q,8,FALSE)=0,"",(VLOOKUP($B540,Q,8,FALSE)))</f>
        <v/>
      </c>
      <c r="F540" s="19" t="str">
        <f>IF(VLOOKUP($B540,Q,9,FALSE)=0,"",(VLOOKUP($B540,Q,9,FALSE)))</f>
        <v/>
      </c>
      <c r="G540" s="2" t="str">
        <f>IF(VLOOKUP($B540,Q,10,FALSE)=0,"",(VLOOKUP($B540,Q,10,FALSE)))</f>
        <v/>
      </c>
      <c r="H540" s="2" t="str">
        <f>IF(VLOOKUP($B540,Q,14,FALSE)=0,"",(VLOOKUP($B540,Q,14,FALSE)))</f>
        <v/>
      </c>
      <c r="I540" s="2" t="str">
        <f>IF(VLOOKUP($B540,Q,14,FALSE)=0,"",(VLOOKUP($B540,Q,15,FALSE)))</f>
        <v/>
      </c>
      <c r="J540" s="2" t="str">
        <f>IF(VLOOKUP($B540,Q,14,FALSE)=0,"",(VLOOKUP($B540,Q,16,FALSE)))</f>
        <v/>
      </c>
      <c r="K540" s="2" t="str">
        <f>IF(VLOOKUP($B540,Q,14,FALSE)=0,"",(VLOOKUP($B540,Q,17,FALSE)))</f>
        <v/>
      </c>
    </row>
    <row r="541" spans="2:11" x14ac:dyDescent="0.6">
      <c r="B541" s="1">
        <v>544</v>
      </c>
      <c r="C541" s="2" t="str">
        <f>IF(VLOOKUP($B541,Q,2,FALSE)=0,"",(VLOOKUP($B541,Q,2,FALSE)))</f>
        <v/>
      </c>
      <c r="D541" s="2" t="str">
        <f>IF(VLOOKUP($B541,Q,3,FALSE)=0,"",(VLOOKUP($B541,Q,3,FALSE)))</f>
        <v/>
      </c>
      <c r="E541" s="2" t="str">
        <f>IF(VLOOKUP($B541,Q,8,FALSE)=0,"",(VLOOKUP($B541,Q,8,FALSE)))</f>
        <v/>
      </c>
      <c r="F541" s="19" t="str">
        <f>IF(VLOOKUP($B541,Q,9,FALSE)=0,"",(VLOOKUP($B541,Q,9,FALSE)))</f>
        <v/>
      </c>
      <c r="G541" s="2" t="str">
        <f>IF(VLOOKUP($B541,Q,10,FALSE)=0,"",(VLOOKUP($B541,Q,10,FALSE)))</f>
        <v/>
      </c>
      <c r="H541" s="2" t="str">
        <f>IF(VLOOKUP($B541,Q,14,FALSE)=0,"",(VLOOKUP($B541,Q,14,FALSE)))</f>
        <v/>
      </c>
      <c r="I541" s="2" t="str">
        <f>IF(VLOOKUP($B541,Q,14,FALSE)=0,"",(VLOOKUP($B541,Q,15,FALSE)))</f>
        <v/>
      </c>
      <c r="J541" s="2" t="str">
        <f>IF(VLOOKUP($B541,Q,14,FALSE)=0,"",(VLOOKUP($B541,Q,16,FALSE)))</f>
        <v/>
      </c>
      <c r="K541" s="2" t="str">
        <f>IF(VLOOKUP($B541,Q,14,FALSE)=0,"",(VLOOKUP($B541,Q,17,FALSE)))</f>
        <v/>
      </c>
    </row>
    <row r="542" spans="2:11" x14ac:dyDescent="0.6">
      <c r="B542" s="1">
        <v>545</v>
      </c>
      <c r="C542" s="2" t="str">
        <f>IF(VLOOKUP($B542,Q,2,FALSE)=0,"",(VLOOKUP($B542,Q,2,FALSE)))</f>
        <v/>
      </c>
      <c r="D542" s="2" t="str">
        <f>IF(VLOOKUP($B542,Q,3,FALSE)=0,"",(VLOOKUP($B542,Q,3,FALSE)))</f>
        <v/>
      </c>
      <c r="E542" s="2" t="str">
        <f>IF(VLOOKUP($B542,Q,8,FALSE)=0,"",(VLOOKUP($B542,Q,8,FALSE)))</f>
        <v/>
      </c>
      <c r="F542" s="19" t="str">
        <f>IF(VLOOKUP($B542,Q,9,FALSE)=0,"",(VLOOKUP($B542,Q,9,FALSE)))</f>
        <v/>
      </c>
      <c r="G542" s="2" t="str">
        <f>IF(VLOOKUP($B542,Q,10,FALSE)=0,"",(VLOOKUP($B542,Q,10,FALSE)))</f>
        <v/>
      </c>
      <c r="H542" s="2" t="str">
        <f>IF(VLOOKUP($B542,Q,14,FALSE)=0,"",(VLOOKUP($B542,Q,14,FALSE)))</f>
        <v/>
      </c>
      <c r="I542" s="2" t="str">
        <f>IF(VLOOKUP($B542,Q,14,FALSE)=0,"",(VLOOKUP($B542,Q,15,FALSE)))</f>
        <v/>
      </c>
      <c r="J542" s="2" t="str">
        <f>IF(VLOOKUP($B542,Q,14,FALSE)=0,"",(VLOOKUP($B542,Q,16,FALSE)))</f>
        <v/>
      </c>
      <c r="K542" s="2" t="str">
        <f>IF(VLOOKUP($B542,Q,14,FALSE)=0,"",(VLOOKUP($B542,Q,17,FALSE)))</f>
        <v/>
      </c>
    </row>
    <row r="543" spans="2:11" x14ac:dyDescent="0.6">
      <c r="B543" s="1">
        <v>546</v>
      </c>
      <c r="C543" s="2" t="str">
        <f>IF(VLOOKUP($B543,Q,2,FALSE)=0,"",(VLOOKUP($B543,Q,2,FALSE)))</f>
        <v/>
      </c>
      <c r="D543" s="2" t="str">
        <f>IF(VLOOKUP($B543,Q,3,FALSE)=0,"",(VLOOKUP($B543,Q,3,FALSE)))</f>
        <v/>
      </c>
      <c r="E543" s="2" t="str">
        <f>IF(VLOOKUP($B543,Q,8,FALSE)=0,"",(VLOOKUP($B543,Q,8,FALSE)))</f>
        <v/>
      </c>
      <c r="F543" s="19" t="str">
        <f>IF(VLOOKUP($B543,Q,9,FALSE)=0,"",(VLOOKUP($B543,Q,9,FALSE)))</f>
        <v/>
      </c>
      <c r="G543" s="2" t="str">
        <f>IF(VLOOKUP($B543,Q,10,FALSE)=0,"",(VLOOKUP($B543,Q,10,FALSE)))</f>
        <v/>
      </c>
      <c r="H543" s="2" t="str">
        <f>IF(VLOOKUP($B543,Q,14,FALSE)=0,"",(VLOOKUP($B543,Q,14,FALSE)))</f>
        <v/>
      </c>
      <c r="I543" s="2" t="str">
        <f>IF(VLOOKUP($B543,Q,14,FALSE)=0,"",(VLOOKUP($B543,Q,15,FALSE)))</f>
        <v/>
      </c>
      <c r="J543" s="2" t="str">
        <f>IF(VLOOKUP($B543,Q,14,FALSE)=0,"",(VLOOKUP($B543,Q,16,FALSE)))</f>
        <v/>
      </c>
      <c r="K543" s="2" t="str">
        <f>IF(VLOOKUP($B543,Q,14,FALSE)=0,"",(VLOOKUP($B543,Q,17,FALSE)))</f>
        <v/>
      </c>
    </row>
    <row r="544" spans="2:11" x14ac:dyDescent="0.6">
      <c r="B544" s="1">
        <v>547</v>
      </c>
      <c r="C544" s="2" t="str">
        <f>IF(VLOOKUP($B544,Q,2,FALSE)=0,"",(VLOOKUP($B544,Q,2,FALSE)))</f>
        <v/>
      </c>
      <c r="D544" s="2" t="str">
        <f>IF(VLOOKUP($B544,Q,3,FALSE)=0,"",(VLOOKUP($B544,Q,3,FALSE)))</f>
        <v/>
      </c>
      <c r="E544" s="2" t="str">
        <f>IF(VLOOKUP($B544,Q,8,FALSE)=0,"",(VLOOKUP($B544,Q,8,FALSE)))</f>
        <v/>
      </c>
      <c r="F544" s="19" t="str">
        <f>IF(VLOOKUP($B544,Q,9,FALSE)=0,"",(VLOOKUP($B544,Q,9,FALSE)))</f>
        <v/>
      </c>
      <c r="G544" s="2" t="str">
        <f>IF(VLOOKUP($B544,Q,10,FALSE)=0,"",(VLOOKUP($B544,Q,10,FALSE)))</f>
        <v/>
      </c>
      <c r="H544" s="2" t="str">
        <f>IF(VLOOKUP($B544,Q,14,FALSE)=0,"",(VLOOKUP($B544,Q,14,FALSE)))</f>
        <v/>
      </c>
      <c r="I544" s="2" t="str">
        <f>IF(VLOOKUP($B544,Q,14,FALSE)=0,"",(VLOOKUP($B544,Q,15,FALSE)))</f>
        <v/>
      </c>
      <c r="J544" s="2" t="str">
        <f>IF(VLOOKUP($B544,Q,14,FALSE)=0,"",(VLOOKUP($B544,Q,16,FALSE)))</f>
        <v/>
      </c>
      <c r="K544" s="2" t="str">
        <f>IF(VLOOKUP($B544,Q,14,FALSE)=0,"",(VLOOKUP($B544,Q,17,FALSE)))</f>
        <v/>
      </c>
    </row>
    <row r="545" spans="2:11" x14ac:dyDescent="0.6">
      <c r="B545" s="1">
        <v>548</v>
      </c>
      <c r="C545" s="2" t="str">
        <f>IF(VLOOKUP($B545,Q,2,FALSE)=0,"",(VLOOKUP($B545,Q,2,FALSE)))</f>
        <v/>
      </c>
      <c r="D545" s="2" t="str">
        <f>IF(VLOOKUP($B545,Q,3,FALSE)=0,"",(VLOOKUP($B545,Q,3,FALSE)))</f>
        <v/>
      </c>
      <c r="E545" s="2" t="str">
        <f>IF(VLOOKUP($B545,Q,8,FALSE)=0,"",(VLOOKUP($B545,Q,8,FALSE)))</f>
        <v/>
      </c>
      <c r="F545" s="19" t="str">
        <f>IF(VLOOKUP($B545,Q,9,FALSE)=0,"",(VLOOKUP($B545,Q,9,FALSE)))</f>
        <v/>
      </c>
      <c r="G545" s="2" t="str">
        <f>IF(VLOOKUP($B545,Q,10,FALSE)=0,"",(VLOOKUP($B545,Q,10,FALSE)))</f>
        <v/>
      </c>
      <c r="H545" s="2" t="str">
        <f>IF(VLOOKUP($B545,Q,14,FALSE)=0,"",(VLOOKUP($B545,Q,14,FALSE)))</f>
        <v/>
      </c>
      <c r="I545" s="2" t="str">
        <f>IF(VLOOKUP($B545,Q,14,FALSE)=0,"",(VLOOKUP($B545,Q,15,FALSE)))</f>
        <v/>
      </c>
      <c r="J545" s="2" t="str">
        <f>IF(VLOOKUP($B545,Q,14,FALSE)=0,"",(VLOOKUP($B545,Q,16,FALSE)))</f>
        <v/>
      </c>
      <c r="K545" s="2" t="str">
        <f>IF(VLOOKUP($B545,Q,14,FALSE)=0,"",(VLOOKUP($B545,Q,17,FALSE)))</f>
        <v/>
      </c>
    </row>
    <row r="546" spans="2:11" x14ac:dyDescent="0.6">
      <c r="B546" s="1">
        <v>549</v>
      </c>
      <c r="C546" s="2" t="str">
        <f>IF(VLOOKUP($B546,Q,2,FALSE)=0,"",(VLOOKUP($B546,Q,2,FALSE)))</f>
        <v/>
      </c>
      <c r="D546" s="2" t="str">
        <f>IF(VLOOKUP($B546,Q,3,FALSE)=0,"",(VLOOKUP($B546,Q,3,FALSE)))</f>
        <v/>
      </c>
      <c r="E546" s="2" t="str">
        <f>IF(VLOOKUP($B546,Q,8,FALSE)=0,"",(VLOOKUP($B546,Q,8,FALSE)))</f>
        <v/>
      </c>
      <c r="F546" s="19" t="str">
        <f>IF(VLOOKUP($B546,Q,9,FALSE)=0,"",(VLOOKUP($B546,Q,9,FALSE)))</f>
        <v/>
      </c>
      <c r="G546" s="2" t="str">
        <f>IF(VLOOKUP($B546,Q,10,FALSE)=0,"",(VLOOKUP($B546,Q,10,FALSE)))</f>
        <v/>
      </c>
      <c r="H546" s="2" t="str">
        <f>IF(VLOOKUP($B546,Q,14,FALSE)=0,"",(VLOOKUP($B546,Q,14,FALSE)))</f>
        <v/>
      </c>
      <c r="I546" s="2" t="str">
        <f>IF(VLOOKUP($B546,Q,14,FALSE)=0,"",(VLOOKUP($B546,Q,15,FALSE)))</f>
        <v/>
      </c>
      <c r="J546" s="2" t="str">
        <f>IF(VLOOKUP($B546,Q,14,FALSE)=0,"",(VLOOKUP($B546,Q,16,FALSE)))</f>
        <v/>
      </c>
      <c r="K546" s="2" t="str">
        <f>IF(VLOOKUP($B546,Q,14,FALSE)=0,"",(VLOOKUP($B546,Q,17,FALSE)))</f>
        <v/>
      </c>
    </row>
    <row r="547" spans="2:11" x14ac:dyDescent="0.6">
      <c r="B547" s="1">
        <v>550</v>
      </c>
      <c r="C547" s="2" t="str">
        <f>IF(VLOOKUP($B547,Q,2,FALSE)=0,"",(VLOOKUP($B547,Q,2,FALSE)))</f>
        <v/>
      </c>
      <c r="D547" s="2" t="str">
        <f>IF(VLOOKUP($B547,Q,3,FALSE)=0,"",(VLOOKUP($B547,Q,3,FALSE)))</f>
        <v/>
      </c>
      <c r="E547" s="2" t="str">
        <f>IF(VLOOKUP($B547,Q,8,FALSE)=0,"",(VLOOKUP($B547,Q,8,FALSE)))</f>
        <v/>
      </c>
      <c r="F547" s="19" t="str">
        <f>IF(VLOOKUP($B547,Q,9,FALSE)=0,"",(VLOOKUP($B547,Q,9,FALSE)))</f>
        <v/>
      </c>
      <c r="G547" s="2" t="str">
        <f>IF(VLOOKUP($B547,Q,10,FALSE)=0,"",(VLOOKUP($B547,Q,10,FALSE)))</f>
        <v/>
      </c>
      <c r="H547" s="2" t="str">
        <f>IF(VLOOKUP($B547,Q,14,FALSE)=0,"",(VLOOKUP($B547,Q,14,FALSE)))</f>
        <v/>
      </c>
      <c r="I547" s="2" t="str">
        <f>IF(VLOOKUP($B547,Q,14,FALSE)=0,"",(VLOOKUP($B547,Q,15,FALSE)))</f>
        <v/>
      </c>
      <c r="J547" s="2" t="str">
        <f>IF(VLOOKUP($B547,Q,14,FALSE)=0,"",(VLOOKUP($B547,Q,16,FALSE)))</f>
        <v/>
      </c>
      <c r="K547" s="2" t="str">
        <f>IF(VLOOKUP($B547,Q,14,FALSE)=0,"",(VLOOKUP($B547,Q,17,FALSE)))</f>
        <v/>
      </c>
    </row>
    <row r="548" spans="2:11" x14ac:dyDescent="0.6">
      <c r="B548" s="1">
        <v>551</v>
      </c>
      <c r="C548" s="2" t="str">
        <f>IF(VLOOKUP($B548,Q,2,FALSE)=0,"",(VLOOKUP($B548,Q,2,FALSE)))</f>
        <v/>
      </c>
      <c r="D548" s="2" t="str">
        <f>IF(VLOOKUP($B548,Q,3,FALSE)=0,"",(VLOOKUP($B548,Q,3,FALSE)))</f>
        <v/>
      </c>
      <c r="E548" s="2" t="str">
        <f>IF(VLOOKUP($B548,Q,8,FALSE)=0,"",(VLOOKUP($B548,Q,8,FALSE)))</f>
        <v/>
      </c>
      <c r="F548" s="19" t="str">
        <f>IF(VLOOKUP($B548,Q,9,FALSE)=0,"",(VLOOKUP($B548,Q,9,FALSE)))</f>
        <v/>
      </c>
      <c r="G548" s="2" t="str">
        <f>IF(VLOOKUP($B548,Q,10,FALSE)=0,"",(VLOOKUP($B548,Q,10,FALSE)))</f>
        <v/>
      </c>
      <c r="H548" s="2" t="str">
        <f>IF(VLOOKUP($B548,Q,14,FALSE)=0,"",(VLOOKUP($B548,Q,14,FALSE)))</f>
        <v/>
      </c>
      <c r="I548" s="2" t="str">
        <f>IF(VLOOKUP($B548,Q,14,FALSE)=0,"",(VLOOKUP($B548,Q,15,FALSE)))</f>
        <v/>
      </c>
      <c r="J548" s="2" t="str">
        <f>IF(VLOOKUP($B548,Q,14,FALSE)=0,"",(VLOOKUP($B548,Q,16,FALSE)))</f>
        <v/>
      </c>
      <c r="K548" s="2" t="str">
        <f>IF(VLOOKUP($B548,Q,14,FALSE)=0,"",(VLOOKUP($B548,Q,17,FALSE)))</f>
        <v/>
      </c>
    </row>
    <row r="549" spans="2:11" x14ac:dyDescent="0.6">
      <c r="B549" s="1">
        <v>552</v>
      </c>
      <c r="C549" s="2" t="str">
        <f>IF(VLOOKUP($B549,Q,2,FALSE)=0,"",(VLOOKUP($B549,Q,2,FALSE)))</f>
        <v/>
      </c>
      <c r="D549" s="2" t="str">
        <f>IF(VLOOKUP($B549,Q,3,FALSE)=0,"",(VLOOKUP($B549,Q,3,FALSE)))</f>
        <v/>
      </c>
      <c r="E549" s="2" t="str">
        <f>IF(VLOOKUP($B549,Q,8,FALSE)=0,"",(VLOOKUP($B549,Q,8,FALSE)))</f>
        <v/>
      </c>
      <c r="F549" s="19" t="str">
        <f>IF(VLOOKUP($B549,Q,9,FALSE)=0,"",(VLOOKUP($B549,Q,9,FALSE)))</f>
        <v/>
      </c>
      <c r="G549" s="2" t="str">
        <f>IF(VLOOKUP($B549,Q,10,FALSE)=0,"",(VLOOKUP($B549,Q,10,FALSE)))</f>
        <v/>
      </c>
      <c r="H549" s="2" t="str">
        <f>IF(VLOOKUP($B549,Q,14,FALSE)=0,"",(VLOOKUP($B549,Q,14,FALSE)))</f>
        <v/>
      </c>
      <c r="I549" s="2" t="str">
        <f>IF(VLOOKUP($B549,Q,14,FALSE)=0,"",(VLOOKUP($B549,Q,15,FALSE)))</f>
        <v/>
      </c>
      <c r="J549" s="2" t="str">
        <f>IF(VLOOKUP($B549,Q,14,FALSE)=0,"",(VLOOKUP($B549,Q,16,FALSE)))</f>
        <v/>
      </c>
      <c r="K549" s="2" t="str">
        <f>IF(VLOOKUP($B549,Q,14,FALSE)=0,"",(VLOOKUP($B549,Q,17,FALSE)))</f>
        <v/>
      </c>
    </row>
    <row r="550" spans="2:11" x14ac:dyDescent="0.6">
      <c r="B550" s="1">
        <v>553</v>
      </c>
      <c r="C550" s="2" t="str">
        <f>IF(VLOOKUP($B550,Q,2,FALSE)=0,"",(VLOOKUP($B550,Q,2,FALSE)))</f>
        <v/>
      </c>
      <c r="D550" s="2" t="str">
        <f>IF(VLOOKUP($B550,Q,3,FALSE)=0,"",(VLOOKUP($B550,Q,3,FALSE)))</f>
        <v/>
      </c>
      <c r="E550" s="2" t="str">
        <f>IF(VLOOKUP($B550,Q,8,FALSE)=0,"",(VLOOKUP($B550,Q,8,FALSE)))</f>
        <v/>
      </c>
      <c r="F550" s="19" t="str">
        <f>IF(VLOOKUP($B550,Q,9,FALSE)=0,"",(VLOOKUP($B550,Q,9,FALSE)))</f>
        <v/>
      </c>
      <c r="G550" s="2" t="str">
        <f>IF(VLOOKUP($B550,Q,10,FALSE)=0,"",(VLOOKUP($B550,Q,10,FALSE)))</f>
        <v/>
      </c>
      <c r="H550" s="2" t="str">
        <f>IF(VLOOKUP($B550,Q,14,FALSE)=0,"",(VLOOKUP($B550,Q,14,FALSE)))</f>
        <v/>
      </c>
      <c r="I550" s="2" t="str">
        <f>IF(VLOOKUP($B550,Q,14,FALSE)=0,"",(VLOOKUP($B550,Q,15,FALSE)))</f>
        <v/>
      </c>
      <c r="J550" s="2" t="str">
        <f>IF(VLOOKUP($B550,Q,14,FALSE)=0,"",(VLOOKUP($B550,Q,16,FALSE)))</f>
        <v/>
      </c>
      <c r="K550" s="2" t="str">
        <f>IF(VLOOKUP($B550,Q,14,FALSE)=0,"",(VLOOKUP($B550,Q,17,FALSE)))</f>
        <v/>
      </c>
    </row>
    <row r="551" spans="2:11" x14ac:dyDescent="0.6">
      <c r="B551" s="1">
        <v>554</v>
      </c>
      <c r="C551" s="2" t="str">
        <f>IF(VLOOKUP($B551,Q,2,FALSE)=0,"",(VLOOKUP($B551,Q,2,FALSE)))</f>
        <v/>
      </c>
      <c r="D551" s="2" t="str">
        <f>IF(VLOOKUP($B551,Q,3,FALSE)=0,"",(VLOOKUP($B551,Q,3,FALSE)))</f>
        <v/>
      </c>
      <c r="E551" s="2" t="str">
        <f>IF(VLOOKUP($B551,Q,8,FALSE)=0,"",(VLOOKUP($B551,Q,8,FALSE)))</f>
        <v/>
      </c>
      <c r="F551" s="19" t="str">
        <f>IF(VLOOKUP($B551,Q,9,FALSE)=0,"",(VLOOKUP($B551,Q,9,FALSE)))</f>
        <v/>
      </c>
      <c r="G551" s="2" t="str">
        <f>IF(VLOOKUP($B551,Q,10,FALSE)=0,"",(VLOOKUP($B551,Q,10,FALSE)))</f>
        <v/>
      </c>
      <c r="H551" s="2" t="str">
        <f>IF(VLOOKUP($B551,Q,14,FALSE)=0,"",(VLOOKUP($B551,Q,14,FALSE)))</f>
        <v/>
      </c>
      <c r="I551" s="2" t="str">
        <f>IF(VLOOKUP($B551,Q,14,FALSE)=0,"",(VLOOKUP($B551,Q,15,FALSE)))</f>
        <v/>
      </c>
      <c r="J551" s="2" t="str">
        <f>IF(VLOOKUP($B551,Q,14,FALSE)=0,"",(VLOOKUP($B551,Q,16,FALSE)))</f>
        <v/>
      </c>
      <c r="K551" s="2" t="str">
        <f>IF(VLOOKUP($B551,Q,14,FALSE)=0,"",(VLOOKUP($B551,Q,17,FALSE)))</f>
        <v/>
      </c>
    </row>
    <row r="552" spans="2:11" x14ac:dyDescent="0.6">
      <c r="B552" s="1">
        <v>555</v>
      </c>
      <c r="C552" s="2" t="str">
        <f>IF(VLOOKUP($B552,Q,2,FALSE)=0,"",(VLOOKUP($B552,Q,2,FALSE)))</f>
        <v/>
      </c>
      <c r="D552" s="2" t="str">
        <f>IF(VLOOKUP($B552,Q,3,FALSE)=0,"",(VLOOKUP($B552,Q,3,FALSE)))</f>
        <v/>
      </c>
      <c r="E552" s="2" t="str">
        <f>IF(VLOOKUP($B552,Q,8,FALSE)=0,"",(VLOOKUP($B552,Q,8,FALSE)))</f>
        <v/>
      </c>
      <c r="F552" s="19" t="str">
        <f>IF(VLOOKUP($B552,Q,9,FALSE)=0,"",(VLOOKUP($B552,Q,9,FALSE)))</f>
        <v/>
      </c>
      <c r="G552" s="2" t="str">
        <f>IF(VLOOKUP($B552,Q,10,FALSE)=0,"",(VLOOKUP($B552,Q,10,FALSE)))</f>
        <v/>
      </c>
      <c r="H552" s="2" t="str">
        <f>IF(VLOOKUP($B552,Q,14,FALSE)=0,"",(VLOOKUP($B552,Q,14,FALSE)))</f>
        <v/>
      </c>
      <c r="I552" s="2" t="str">
        <f>IF(VLOOKUP($B552,Q,14,FALSE)=0,"",(VLOOKUP($B552,Q,15,FALSE)))</f>
        <v/>
      </c>
      <c r="J552" s="2" t="str">
        <f>IF(VLOOKUP($B552,Q,14,FALSE)=0,"",(VLOOKUP($B552,Q,16,FALSE)))</f>
        <v/>
      </c>
      <c r="K552" s="2" t="str">
        <f>IF(VLOOKUP($B552,Q,14,FALSE)=0,"",(VLOOKUP($B552,Q,17,FALSE)))</f>
        <v/>
      </c>
    </row>
    <row r="553" spans="2:11" x14ac:dyDescent="0.6">
      <c r="B553" s="1">
        <v>556</v>
      </c>
      <c r="C553" s="2" t="str">
        <f>IF(VLOOKUP($B553,Q,2,FALSE)=0,"",(VLOOKUP($B553,Q,2,FALSE)))</f>
        <v/>
      </c>
      <c r="D553" s="2" t="str">
        <f>IF(VLOOKUP($B553,Q,3,FALSE)=0,"",(VLOOKUP($B553,Q,3,FALSE)))</f>
        <v/>
      </c>
      <c r="E553" s="2" t="str">
        <f>IF(VLOOKUP($B553,Q,8,FALSE)=0,"",(VLOOKUP($B553,Q,8,FALSE)))</f>
        <v/>
      </c>
      <c r="F553" s="19" t="str">
        <f>IF(VLOOKUP($B553,Q,9,FALSE)=0,"",(VLOOKUP($B553,Q,9,FALSE)))</f>
        <v/>
      </c>
      <c r="G553" s="2" t="str">
        <f>IF(VLOOKUP($B553,Q,10,FALSE)=0,"",(VLOOKUP($B553,Q,10,FALSE)))</f>
        <v/>
      </c>
      <c r="H553" s="2" t="str">
        <f>IF(VLOOKUP($B553,Q,14,FALSE)=0,"",(VLOOKUP($B553,Q,14,FALSE)))</f>
        <v/>
      </c>
      <c r="I553" s="2" t="str">
        <f>IF(VLOOKUP($B553,Q,14,FALSE)=0,"",(VLOOKUP($B553,Q,15,FALSE)))</f>
        <v/>
      </c>
      <c r="J553" s="2" t="str">
        <f>IF(VLOOKUP($B553,Q,14,FALSE)=0,"",(VLOOKUP($B553,Q,16,FALSE)))</f>
        <v/>
      </c>
      <c r="K553" s="2" t="str">
        <f>IF(VLOOKUP($B553,Q,14,FALSE)=0,"",(VLOOKUP($B553,Q,17,FALSE)))</f>
        <v/>
      </c>
    </row>
    <row r="554" spans="2:11" x14ac:dyDescent="0.6">
      <c r="B554" s="1">
        <v>557</v>
      </c>
      <c r="C554" s="2" t="str">
        <f>IF(VLOOKUP($B554,Q,2,FALSE)=0,"",(VLOOKUP($B554,Q,2,FALSE)))</f>
        <v/>
      </c>
      <c r="D554" s="2" t="str">
        <f>IF(VLOOKUP($B554,Q,3,FALSE)=0,"",(VLOOKUP($B554,Q,3,FALSE)))</f>
        <v/>
      </c>
      <c r="E554" s="2" t="str">
        <f>IF(VLOOKUP($B554,Q,8,FALSE)=0,"",(VLOOKUP($B554,Q,8,FALSE)))</f>
        <v/>
      </c>
      <c r="F554" s="19" t="str">
        <f>IF(VLOOKUP($B554,Q,9,FALSE)=0,"",(VLOOKUP($B554,Q,9,FALSE)))</f>
        <v/>
      </c>
      <c r="G554" s="2" t="str">
        <f>IF(VLOOKUP($B554,Q,10,FALSE)=0,"",(VLOOKUP($B554,Q,10,FALSE)))</f>
        <v/>
      </c>
      <c r="H554" s="2" t="str">
        <f>IF(VLOOKUP($B554,Q,14,FALSE)=0,"",(VLOOKUP($B554,Q,14,FALSE)))</f>
        <v/>
      </c>
      <c r="I554" s="2" t="str">
        <f>IF(VLOOKUP($B554,Q,14,FALSE)=0,"",(VLOOKUP($B554,Q,15,FALSE)))</f>
        <v/>
      </c>
      <c r="J554" s="2" t="str">
        <f>IF(VLOOKUP($B554,Q,14,FALSE)=0,"",(VLOOKUP($B554,Q,16,FALSE)))</f>
        <v/>
      </c>
      <c r="K554" s="2" t="str">
        <f>IF(VLOOKUP($B554,Q,14,FALSE)=0,"",(VLOOKUP($B554,Q,17,FALSE)))</f>
        <v/>
      </c>
    </row>
    <row r="555" spans="2:11" x14ac:dyDescent="0.6">
      <c r="B555" s="1">
        <v>558</v>
      </c>
      <c r="C555" s="2" t="str">
        <f>IF(VLOOKUP($B555,Q,2,FALSE)=0,"",(VLOOKUP($B555,Q,2,FALSE)))</f>
        <v/>
      </c>
      <c r="D555" s="2" t="str">
        <f>IF(VLOOKUP($B555,Q,3,FALSE)=0,"",(VLOOKUP($B555,Q,3,FALSE)))</f>
        <v/>
      </c>
      <c r="E555" s="2" t="str">
        <f>IF(VLOOKUP($B555,Q,8,FALSE)=0,"",(VLOOKUP($B555,Q,8,FALSE)))</f>
        <v/>
      </c>
      <c r="F555" s="19" t="str">
        <f>IF(VLOOKUP($B555,Q,9,FALSE)=0,"",(VLOOKUP($B555,Q,9,FALSE)))</f>
        <v/>
      </c>
      <c r="G555" s="2" t="str">
        <f>IF(VLOOKUP($B555,Q,10,FALSE)=0,"",(VLOOKUP($B555,Q,10,FALSE)))</f>
        <v/>
      </c>
      <c r="H555" s="2" t="str">
        <f>IF(VLOOKUP($B555,Q,14,FALSE)=0,"",(VLOOKUP($B555,Q,14,FALSE)))</f>
        <v/>
      </c>
      <c r="I555" s="2" t="str">
        <f>IF(VLOOKUP($B555,Q,14,FALSE)=0,"",(VLOOKUP($B555,Q,15,FALSE)))</f>
        <v/>
      </c>
      <c r="J555" s="2" t="str">
        <f>IF(VLOOKUP($B555,Q,14,FALSE)=0,"",(VLOOKUP($B555,Q,16,FALSE)))</f>
        <v/>
      </c>
      <c r="K555" s="2" t="str">
        <f>IF(VLOOKUP($B555,Q,14,FALSE)=0,"",(VLOOKUP($B555,Q,17,FALSE)))</f>
        <v/>
      </c>
    </row>
    <row r="556" spans="2:11" x14ac:dyDescent="0.6">
      <c r="B556" s="1">
        <v>559</v>
      </c>
      <c r="C556" s="2" t="str">
        <f>IF(VLOOKUP($B556,Q,2,FALSE)=0,"",(VLOOKUP($B556,Q,2,FALSE)))</f>
        <v/>
      </c>
      <c r="D556" s="2" t="str">
        <f>IF(VLOOKUP($B556,Q,3,FALSE)=0,"",(VLOOKUP($B556,Q,3,FALSE)))</f>
        <v/>
      </c>
      <c r="E556" s="2" t="str">
        <f>IF(VLOOKUP($B556,Q,8,FALSE)=0,"",(VLOOKUP($B556,Q,8,FALSE)))</f>
        <v/>
      </c>
      <c r="F556" s="19" t="str">
        <f>IF(VLOOKUP($B556,Q,9,FALSE)=0,"",(VLOOKUP($B556,Q,9,FALSE)))</f>
        <v/>
      </c>
      <c r="G556" s="2" t="str">
        <f>IF(VLOOKUP($B556,Q,10,FALSE)=0,"",(VLOOKUP($B556,Q,10,FALSE)))</f>
        <v/>
      </c>
      <c r="H556" s="2" t="str">
        <f>IF(VLOOKUP($B556,Q,14,FALSE)=0,"",(VLOOKUP($B556,Q,14,FALSE)))</f>
        <v/>
      </c>
      <c r="I556" s="2" t="str">
        <f>IF(VLOOKUP($B556,Q,14,FALSE)=0,"",(VLOOKUP($B556,Q,15,FALSE)))</f>
        <v/>
      </c>
      <c r="J556" s="2" t="str">
        <f>IF(VLOOKUP($B556,Q,14,FALSE)=0,"",(VLOOKUP($B556,Q,16,FALSE)))</f>
        <v/>
      </c>
      <c r="K556" s="2" t="str">
        <f>IF(VLOOKUP($B556,Q,14,FALSE)=0,"",(VLOOKUP($B556,Q,17,FALSE)))</f>
        <v/>
      </c>
    </row>
    <row r="557" spans="2:11" x14ac:dyDescent="0.6">
      <c r="B557" s="1">
        <v>560</v>
      </c>
      <c r="C557" s="2" t="str">
        <f>IF(VLOOKUP($B557,Q,2,FALSE)=0,"",(VLOOKUP($B557,Q,2,FALSE)))</f>
        <v/>
      </c>
      <c r="D557" s="2" t="str">
        <f>IF(VLOOKUP($B557,Q,3,FALSE)=0,"",(VLOOKUP($B557,Q,3,FALSE)))</f>
        <v/>
      </c>
      <c r="E557" s="2" t="str">
        <f>IF(VLOOKUP($B557,Q,8,FALSE)=0,"",(VLOOKUP($B557,Q,8,FALSE)))</f>
        <v/>
      </c>
      <c r="F557" s="19" t="str">
        <f>IF(VLOOKUP($B557,Q,9,FALSE)=0,"",(VLOOKUP($B557,Q,9,FALSE)))</f>
        <v/>
      </c>
      <c r="G557" s="2" t="str">
        <f>IF(VLOOKUP($B557,Q,10,FALSE)=0,"",(VLOOKUP($B557,Q,10,FALSE)))</f>
        <v/>
      </c>
      <c r="H557" s="2" t="str">
        <f>IF(VLOOKUP($B557,Q,14,FALSE)=0,"",(VLOOKUP($B557,Q,14,FALSE)))</f>
        <v/>
      </c>
      <c r="I557" s="2" t="str">
        <f>IF(VLOOKUP($B557,Q,14,FALSE)=0,"",(VLOOKUP($B557,Q,15,FALSE)))</f>
        <v/>
      </c>
      <c r="J557" s="2" t="str">
        <f>IF(VLOOKUP($B557,Q,14,FALSE)=0,"",(VLOOKUP($B557,Q,16,FALSE)))</f>
        <v/>
      </c>
      <c r="K557" s="2" t="str">
        <f>IF(VLOOKUP($B557,Q,14,FALSE)=0,"",(VLOOKUP($B557,Q,17,FALSE)))</f>
        <v/>
      </c>
    </row>
    <row r="558" spans="2:11" x14ac:dyDescent="0.6">
      <c r="B558" s="1">
        <v>561</v>
      </c>
      <c r="C558" s="2" t="str">
        <f>IF(VLOOKUP($B558,Q,2,FALSE)=0,"",(VLOOKUP($B558,Q,2,FALSE)))</f>
        <v/>
      </c>
      <c r="D558" s="2" t="str">
        <f>IF(VLOOKUP($B558,Q,3,FALSE)=0,"",(VLOOKUP($B558,Q,3,FALSE)))</f>
        <v/>
      </c>
      <c r="E558" s="2" t="str">
        <f>IF(VLOOKUP($B558,Q,8,FALSE)=0,"",(VLOOKUP($B558,Q,8,FALSE)))</f>
        <v/>
      </c>
      <c r="F558" s="19" t="str">
        <f>IF(VLOOKUP($B558,Q,9,FALSE)=0,"",(VLOOKUP($B558,Q,9,FALSE)))</f>
        <v/>
      </c>
      <c r="G558" s="2" t="str">
        <f>IF(VLOOKUP($B558,Q,10,FALSE)=0,"",(VLOOKUP($B558,Q,10,FALSE)))</f>
        <v/>
      </c>
      <c r="H558" s="2" t="str">
        <f>IF(VLOOKUP($B558,Q,14,FALSE)=0,"",(VLOOKUP($B558,Q,14,FALSE)))</f>
        <v/>
      </c>
      <c r="I558" s="2" t="str">
        <f>IF(VLOOKUP($B558,Q,14,FALSE)=0,"",(VLOOKUP($B558,Q,15,FALSE)))</f>
        <v/>
      </c>
      <c r="J558" s="2" t="str">
        <f>IF(VLOOKUP($B558,Q,14,FALSE)=0,"",(VLOOKUP($B558,Q,16,FALSE)))</f>
        <v/>
      </c>
      <c r="K558" s="2" t="str">
        <f>IF(VLOOKUP($B558,Q,14,FALSE)=0,"",(VLOOKUP($B558,Q,17,FALSE)))</f>
        <v/>
      </c>
    </row>
    <row r="559" spans="2:11" x14ac:dyDescent="0.6">
      <c r="B559" s="1">
        <v>562</v>
      </c>
      <c r="C559" s="2" t="str">
        <f>IF(VLOOKUP($B559,Q,2,FALSE)=0,"",(VLOOKUP($B559,Q,2,FALSE)))</f>
        <v/>
      </c>
      <c r="D559" s="2" t="str">
        <f>IF(VLOOKUP($B559,Q,3,FALSE)=0,"",(VLOOKUP($B559,Q,3,FALSE)))</f>
        <v/>
      </c>
      <c r="E559" s="2" t="str">
        <f>IF(VLOOKUP($B559,Q,8,FALSE)=0,"",(VLOOKUP($B559,Q,8,FALSE)))</f>
        <v/>
      </c>
      <c r="F559" s="19" t="str">
        <f>IF(VLOOKUP($B559,Q,9,FALSE)=0,"",(VLOOKUP($B559,Q,9,FALSE)))</f>
        <v/>
      </c>
      <c r="G559" s="2" t="str">
        <f>IF(VLOOKUP($B559,Q,10,FALSE)=0,"",(VLOOKUP($B559,Q,10,FALSE)))</f>
        <v/>
      </c>
      <c r="H559" s="2" t="str">
        <f>IF(VLOOKUP($B559,Q,14,FALSE)=0,"",(VLOOKUP($B559,Q,14,FALSE)))</f>
        <v/>
      </c>
      <c r="I559" s="2" t="str">
        <f>IF(VLOOKUP($B559,Q,14,FALSE)=0,"",(VLOOKUP($B559,Q,15,FALSE)))</f>
        <v/>
      </c>
      <c r="J559" s="2" t="str">
        <f>IF(VLOOKUP($B559,Q,14,FALSE)=0,"",(VLOOKUP($B559,Q,16,FALSE)))</f>
        <v/>
      </c>
      <c r="K559" s="2" t="str">
        <f>IF(VLOOKUP($B559,Q,14,FALSE)=0,"",(VLOOKUP($B559,Q,17,FALSE)))</f>
        <v/>
      </c>
    </row>
    <row r="560" spans="2:11" x14ac:dyDescent="0.6">
      <c r="B560" s="1">
        <v>563</v>
      </c>
      <c r="C560" s="2" t="str">
        <f>IF(VLOOKUP($B560,Q,2,FALSE)=0,"",(VLOOKUP($B560,Q,2,FALSE)))</f>
        <v/>
      </c>
      <c r="D560" s="2" t="str">
        <f>IF(VLOOKUP($B560,Q,3,FALSE)=0,"",(VLOOKUP($B560,Q,3,FALSE)))</f>
        <v/>
      </c>
      <c r="E560" s="2" t="str">
        <f>IF(VLOOKUP($B560,Q,8,FALSE)=0,"",(VLOOKUP($B560,Q,8,FALSE)))</f>
        <v/>
      </c>
      <c r="F560" s="19" t="str">
        <f>IF(VLOOKUP($B560,Q,9,FALSE)=0,"",(VLOOKUP($B560,Q,9,FALSE)))</f>
        <v/>
      </c>
      <c r="G560" s="2" t="str">
        <f>IF(VLOOKUP($B560,Q,10,FALSE)=0,"",(VLOOKUP($B560,Q,10,FALSE)))</f>
        <v/>
      </c>
      <c r="H560" s="2" t="str">
        <f>IF(VLOOKUP($B560,Q,14,FALSE)=0,"",(VLOOKUP($B560,Q,14,FALSE)))</f>
        <v/>
      </c>
      <c r="I560" s="2" t="str">
        <f>IF(VLOOKUP($B560,Q,14,FALSE)=0,"",(VLOOKUP($B560,Q,15,FALSE)))</f>
        <v/>
      </c>
      <c r="J560" s="2" t="str">
        <f>IF(VLOOKUP($B560,Q,14,FALSE)=0,"",(VLOOKUP($B560,Q,16,FALSE)))</f>
        <v/>
      </c>
      <c r="K560" s="2" t="str">
        <f>IF(VLOOKUP($B560,Q,14,FALSE)=0,"",(VLOOKUP($B560,Q,17,FALSE)))</f>
        <v/>
      </c>
    </row>
    <row r="561" spans="2:11" x14ac:dyDescent="0.6">
      <c r="B561" s="1">
        <v>564</v>
      </c>
      <c r="C561" s="2" t="str">
        <f>IF(VLOOKUP($B561,Q,2,FALSE)=0,"",(VLOOKUP($B561,Q,2,FALSE)))</f>
        <v/>
      </c>
      <c r="D561" s="2" t="str">
        <f>IF(VLOOKUP($B561,Q,3,FALSE)=0,"",(VLOOKUP($B561,Q,3,FALSE)))</f>
        <v/>
      </c>
      <c r="E561" s="2" t="str">
        <f>IF(VLOOKUP($B561,Q,8,FALSE)=0,"",(VLOOKUP($B561,Q,8,FALSE)))</f>
        <v/>
      </c>
      <c r="F561" s="19" t="str">
        <f>IF(VLOOKUP($B561,Q,9,FALSE)=0,"",(VLOOKUP($B561,Q,9,FALSE)))</f>
        <v/>
      </c>
      <c r="G561" s="2" t="str">
        <f>IF(VLOOKUP($B561,Q,10,FALSE)=0,"",(VLOOKUP($B561,Q,10,FALSE)))</f>
        <v/>
      </c>
      <c r="H561" s="2" t="str">
        <f>IF(VLOOKUP($B561,Q,14,FALSE)=0,"",(VLOOKUP($B561,Q,14,FALSE)))</f>
        <v/>
      </c>
      <c r="I561" s="2" t="str">
        <f>IF(VLOOKUP($B561,Q,14,FALSE)=0,"",(VLOOKUP($B561,Q,15,FALSE)))</f>
        <v/>
      </c>
      <c r="J561" s="2" t="str">
        <f>IF(VLOOKUP($B561,Q,14,FALSE)=0,"",(VLOOKUP($B561,Q,16,FALSE)))</f>
        <v/>
      </c>
      <c r="K561" s="2" t="str">
        <f>IF(VLOOKUP($B561,Q,14,FALSE)=0,"",(VLOOKUP($B561,Q,17,FALSE)))</f>
        <v/>
      </c>
    </row>
    <row r="562" spans="2:11" x14ac:dyDescent="0.6">
      <c r="B562" s="1">
        <v>565</v>
      </c>
      <c r="C562" s="2" t="str">
        <f>IF(VLOOKUP($B562,Q,2,FALSE)=0,"",(VLOOKUP($B562,Q,2,FALSE)))</f>
        <v/>
      </c>
      <c r="D562" s="2" t="str">
        <f>IF(VLOOKUP($B562,Q,3,FALSE)=0,"",(VLOOKUP($B562,Q,3,FALSE)))</f>
        <v/>
      </c>
      <c r="E562" s="2" t="str">
        <f>IF(VLOOKUP($B562,Q,8,FALSE)=0,"",(VLOOKUP($B562,Q,8,FALSE)))</f>
        <v/>
      </c>
      <c r="F562" s="19" t="str">
        <f>IF(VLOOKUP($B562,Q,9,FALSE)=0,"",(VLOOKUP($B562,Q,9,FALSE)))</f>
        <v/>
      </c>
      <c r="G562" s="2" t="str">
        <f>IF(VLOOKUP($B562,Q,10,FALSE)=0,"",(VLOOKUP($B562,Q,10,FALSE)))</f>
        <v/>
      </c>
      <c r="H562" s="2" t="str">
        <f>IF(VLOOKUP($B562,Q,14,FALSE)=0,"",(VLOOKUP($B562,Q,14,FALSE)))</f>
        <v/>
      </c>
      <c r="I562" s="2" t="str">
        <f>IF(VLOOKUP($B562,Q,14,FALSE)=0,"",(VLOOKUP($B562,Q,15,FALSE)))</f>
        <v/>
      </c>
      <c r="J562" s="2" t="str">
        <f>IF(VLOOKUP($B562,Q,14,FALSE)=0,"",(VLOOKUP($B562,Q,16,FALSE)))</f>
        <v/>
      </c>
      <c r="K562" s="2" t="str">
        <f>IF(VLOOKUP($B562,Q,14,FALSE)=0,"",(VLOOKUP($B562,Q,17,FALSE)))</f>
        <v/>
      </c>
    </row>
    <row r="563" spans="2:11" x14ac:dyDescent="0.6">
      <c r="B563" s="1">
        <v>566</v>
      </c>
      <c r="C563" s="2" t="str">
        <f>IF(VLOOKUP($B563,Q,2,FALSE)=0,"",(VLOOKUP($B563,Q,2,FALSE)))</f>
        <v/>
      </c>
      <c r="D563" s="2" t="str">
        <f>IF(VLOOKUP($B563,Q,3,FALSE)=0,"",(VLOOKUP($B563,Q,3,FALSE)))</f>
        <v/>
      </c>
      <c r="E563" s="2" t="str">
        <f>IF(VLOOKUP($B563,Q,8,FALSE)=0,"",(VLOOKUP($B563,Q,8,FALSE)))</f>
        <v/>
      </c>
      <c r="F563" s="19" t="str">
        <f>IF(VLOOKUP($B563,Q,9,FALSE)=0,"",(VLOOKUP($B563,Q,9,FALSE)))</f>
        <v/>
      </c>
      <c r="G563" s="2" t="str">
        <f>IF(VLOOKUP($B563,Q,10,FALSE)=0,"",(VLOOKUP($B563,Q,10,FALSE)))</f>
        <v/>
      </c>
      <c r="H563" s="2" t="str">
        <f>IF(VLOOKUP($B563,Q,14,FALSE)=0,"",(VLOOKUP($B563,Q,14,FALSE)))</f>
        <v/>
      </c>
      <c r="I563" s="2" t="str">
        <f>IF(VLOOKUP($B563,Q,14,FALSE)=0,"",(VLOOKUP($B563,Q,15,FALSE)))</f>
        <v/>
      </c>
      <c r="J563" s="2" t="str">
        <f>IF(VLOOKUP($B563,Q,14,FALSE)=0,"",(VLOOKUP($B563,Q,16,FALSE)))</f>
        <v/>
      </c>
      <c r="K563" s="2" t="str">
        <f>IF(VLOOKUP($B563,Q,14,FALSE)=0,"",(VLOOKUP($B563,Q,17,FALSE)))</f>
        <v/>
      </c>
    </row>
    <row r="564" spans="2:11" x14ac:dyDescent="0.6">
      <c r="B564" s="1">
        <v>567</v>
      </c>
      <c r="C564" s="2" t="str">
        <f>IF(VLOOKUP($B564,Q,2,FALSE)=0,"",(VLOOKUP($B564,Q,2,FALSE)))</f>
        <v/>
      </c>
      <c r="D564" s="2" t="str">
        <f>IF(VLOOKUP($B564,Q,3,FALSE)=0,"",(VLOOKUP($B564,Q,3,FALSE)))</f>
        <v/>
      </c>
      <c r="E564" s="2" t="str">
        <f>IF(VLOOKUP($B564,Q,8,FALSE)=0,"",(VLOOKUP($B564,Q,8,FALSE)))</f>
        <v/>
      </c>
      <c r="F564" s="19" t="str">
        <f>IF(VLOOKUP($B564,Q,9,FALSE)=0,"",(VLOOKUP($B564,Q,9,FALSE)))</f>
        <v/>
      </c>
      <c r="G564" s="2" t="str">
        <f>IF(VLOOKUP($B564,Q,10,FALSE)=0,"",(VLOOKUP($B564,Q,10,FALSE)))</f>
        <v/>
      </c>
      <c r="H564" s="2" t="str">
        <f>IF(VLOOKUP($B564,Q,14,FALSE)=0,"",(VLOOKUP($B564,Q,14,FALSE)))</f>
        <v/>
      </c>
      <c r="I564" s="2" t="str">
        <f>IF(VLOOKUP($B564,Q,14,FALSE)=0,"",(VLOOKUP($B564,Q,15,FALSE)))</f>
        <v/>
      </c>
      <c r="J564" s="2" t="str">
        <f>IF(VLOOKUP($B564,Q,14,FALSE)=0,"",(VLOOKUP($B564,Q,16,FALSE)))</f>
        <v/>
      </c>
      <c r="K564" s="2" t="str">
        <f>IF(VLOOKUP($B564,Q,14,FALSE)=0,"",(VLOOKUP($B564,Q,17,FALSE)))</f>
        <v/>
      </c>
    </row>
    <row r="565" spans="2:11" x14ac:dyDescent="0.6">
      <c r="B565" s="1">
        <v>568</v>
      </c>
      <c r="C565" s="2" t="str">
        <f>IF(VLOOKUP($B565,Q,2,FALSE)=0,"",(VLOOKUP($B565,Q,2,FALSE)))</f>
        <v/>
      </c>
      <c r="D565" s="2" t="str">
        <f>IF(VLOOKUP($B565,Q,3,FALSE)=0,"",(VLOOKUP($B565,Q,3,FALSE)))</f>
        <v/>
      </c>
      <c r="E565" s="2" t="str">
        <f>IF(VLOOKUP($B565,Q,8,FALSE)=0,"",(VLOOKUP($B565,Q,8,FALSE)))</f>
        <v/>
      </c>
      <c r="F565" s="19" t="str">
        <f>IF(VLOOKUP($B565,Q,9,FALSE)=0,"",(VLOOKUP($B565,Q,9,FALSE)))</f>
        <v/>
      </c>
      <c r="G565" s="2" t="str">
        <f>IF(VLOOKUP($B565,Q,10,FALSE)=0,"",(VLOOKUP($B565,Q,10,FALSE)))</f>
        <v/>
      </c>
      <c r="H565" s="2" t="str">
        <f>IF(VLOOKUP($B565,Q,14,FALSE)=0,"",(VLOOKUP($B565,Q,14,FALSE)))</f>
        <v/>
      </c>
      <c r="I565" s="2" t="str">
        <f>IF(VLOOKUP($B565,Q,14,FALSE)=0,"",(VLOOKUP($B565,Q,15,FALSE)))</f>
        <v/>
      </c>
      <c r="J565" s="2" t="str">
        <f>IF(VLOOKUP($B565,Q,14,FALSE)=0,"",(VLOOKUP($B565,Q,16,FALSE)))</f>
        <v/>
      </c>
      <c r="K565" s="2" t="str">
        <f>IF(VLOOKUP($B565,Q,14,FALSE)=0,"",(VLOOKUP($B565,Q,17,FALSE)))</f>
        <v/>
      </c>
    </row>
    <row r="566" spans="2:11" x14ac:dyDescent="0.6">
      <c r="B566" s="1">
        <v>569</v>
      </c>
      <c r="C566" s="2" t="str">
        <f>IF(VLOOKUP($B566,Q,2,FALSE)=0,"",(VLOOKUP($B566,Q,2,FALSE)))</f>
        <v/>
      </c>
      <c r="D566" s="2" t="str">
        <f>IF(VLOOKUP($B566,Q,3,FALSE)=0,"",(VLOOKUP($B566,Q,3,FALSE)))</f>
        <v/>
      </c>
      <c r="E566" s="2" t="str">
        <f>IF(VLOOKUP($B566,Q,8,FALSE)=0,"",(VLOOKUP($B566,Q,8,FALSE)))</f>
        <v/>
      </c>
      <c r="F566" s="19" t="str">
        <f>IF(VLOOKUP($B566,Q,9,FALSE)=0,"",(VLOOKUP($B566,Q,9,FALSE)))</f>
        <v/>
      </c>
      <c r="G566" s="2" t="str">
        <f>IF(VLOOKUP($B566,Q,10,FALSE)=0,"",(VLOOKUP($B566,Q,10,FALSE)))</f>
        <v/>
      </c>
      <c r="H566" s="2" t="str">
        <f>IF(VLOOKUP($B566,Q,14,FALSE)=0,"",(VLOOKUP($B566,Q,14,FALSE)))</f>
        <v/>
      </c>
      <c r="I566" s="2" t="str">
        <f>IF(VLOOKUP($B566,Q,14,FALSE)=0,"",(VLOOKUP($B566,Q,15,FALSE)))</f>
        <v/>
      </c>
      <c r="J566" s="2" t="str">
        <f>IF(VLOOKUP($B566,Q,14,FALSE)=0,"",(VLOOKUP($B566,Q,16,FALSE)))</f>
        <v/>
      </c>
      <c r="K566" s="2" t="str">
        <f>IF(VLOOKUP($B566,Q,14,FALSE)=0,"",(VLOOKUP($B566,Q,17,FALSE)))</f>
        <v/>
      </c>
    </row>
    <row r="567" spans="2:11" x14ac:dyDescent="0.6">
      <c r="B567" s="1">
        <v>570</v>
      </c>
      <c r="C567" s="2" t="str">
        <f>IF(VLOOKUP($B567,Q,2,FALSE)=0,"",(VLOOKUP($B567,Q,2,FALSE)))</f>
        <v/>
      </c>
      <c r="D567" s="2" t="str">
        <f>IF(VLOOKUP($B567,Q,3,FALSE)=0,"",(VLOOKUP($B567,Q,3,FALSE)))</f>
        <v/>
      </c>
      <c r="E567" s="2" t="str">
        <f>IF(VLOOKUP($B567,Q,8,FALSE)=0,"",(VLOOKUP($B567,Q,8,FALSE)))</f>
        <v/>
      </c>
      <c r="F567" s="19" t="str">
        <f>IF(VLOOKUP($B567,Q,9,FALSE)=0,"",(VLOOKUP($B567,Q,9,FALSE)))</f>
        <v/>
      </c>
      <c r="G567" s="2" t="str">
        <f>IF(VLOOKUP($B567,Q,10,FALSE)=0,"",(VLOOKUP($B567,Q,10,FALSE)))</f>
        <v/>
      </c>
      <c r="H567" s="2" t="str">
        <f>IF(VLOOKUP($B567,Q,14,FALSE)=0,"",(VLOOKUP($B567,Q,14,FALSE)))</f>
        <v/>
      </c>
      <c r="I567" s="2" t="str">
        <f>IF(VLOOKUP($B567,Q,14,FALSE)=0,"",(VLOOKUP($B567,Q,15,FALSE)))</f>
        <v/>
      </c>
      <c r="J567" s="2" t="str">
        <f>IF(VLOOKUP($B567,Q,14,FALSE)=0,"",(VLOOKUP($B567,Q,16,FALSE)))</f>
        <v/>
      </c>
      <c r="K567" s="2" t="str">
        <f>IF(VLOOKUP($B567,Q,14,FALSE)=0,"",(VLOOKUP($B567,Q,17,FALSE)))</f>
        <v/>
      </c>
    </row>
    <row r="568" spans="2:11" x14ac:dyDescent="0.6">
      <c r="B568" s="1">
        <v>571</v>
      </c>
      <c r="C568" s="2" t="str">
        <f>IF(VLOOKUP($B568,Q,2,FALSE)=0,"",(VLOOKUP($B568,Q,2,FALSE)))</f>
        <v/>
      </c>
      <c r="D568" s="2" t="str">
        <f>IF(VLOOKUP($B568,Q,3,FALSE)=0,"",(VLOOKUP($B568,Q,3,FALSE)))</f>
        <v/>
      </c>
      <c r="E568" s="2" t="str">
        <f>IF(VLOOKUP($B568,Q,8,FALSE)=0,"",(VLOOKUP($B568,Q,8,FALSE)))</f>
        <v/>
      </c>
      <c r="F568" s="19" t="str">
        <f>IF(VLOOKUP($B568,Q,9,FALSE)=0,"",(VLOOKUP($B568,Q,9,FALSE)))</f>
        <v/>
      </c>
      <c r="G568" s="2" t="str">
        <f>IF(VLOOKUP($B568,Q,10,FALSE)=0,"",(VLOOKUP($B568,Q,10,FALSE)))</f>
        <v/>
      </c>
      <c r="H568" s="2" t="str">
        <f>IF(VLOOKUP($B568,Q,14,FALSE)=0,"",(VLOOKUP($B568,Q,14,FALSE)))</f>
        <v/>
      </c>
      <c r="I568" s="2" t="str">
        <f>IF(VLOOKUP($B568,Q,14,FALSE)=0,"",(VLOOKUP($B568,Q,15,FALSE)))</f>
        <v/>
      </c>
      <c r="J568" s="2" t="str">
        <f>IF(VLOOKUP($B568,Q,14,FALSE)=0,"",(VLOOKUP($B568,Q,16,FALSE)))</f>
        <v/>
      </c>
      <c r="K568" s="2" t="str">
        <f>IF(VLOOKUP($B568,Q,14,FALSE)=0,"",(VLOOKUP($B568,Q,17,FALSE)))</f>
        <v/>
      </c>
    </row>
    <row r="569" spans="2:11" x14ac:dyDescent="0.6">
      <c r="B569" s="1">
        <v>572</v>
      </c>
      <c r="C569" s="2" t="str">
        <f>IF(VLOOKUP($B569,Q,2,FALSE)=0,"",(VLOOKUP($B569,Q,2,FALSE)))</f>
        <v/>
      </c>
      <c r="D569" s="2" t="str">
        <f>IF(VLOOKUP($B569,Q,3,FALSE)=0,"",(VLOOKUP($B569,Q,3,FALSE)))</f>
        <v/>
      </c>
      <c r="E569" s="2" t="str">
        <f>IF(VLOOKUP($B569,Q,8,FALSE)=0,"",(VLOOKUP($B569,Q,8,FALSE)))</f>
        <v/>
      </c>
      <c r="F569" s="19" t="str">
        <f>IF(VLOOKUP($B569,Q,9,FALSE)=0,"",(VLOOKUP($B569,Q,9,FALSE)))</f>
        <v/>
      </c>
      <c r="G569" s="2" t="str">
        <f>IF(VLOOKUP($B569,Q,10,FALSE)=0,"",(VLOOKUP($B569,Q,10,FALSE)))</f>
        <v/>
      </c>
      <c r="H569" s="2" t="str">
        <f>IF(VLOOKUP($B569,Q,14,FALSE)=0,"",(VLOOKUP($B569,Q,14,FALSE)))</f>
        <v/>
      </c>
      <c r="I569" s="2" t="str">
        <f>IF(VLOOKUP($B569,Q,14,FALSE)=0,"",(VLOOKUP($B569,Q,15,FALSE)))</f>
        <v/>
      </c>
      <c r="J569" s="2" t="str">
        <f>IF(VLOOKUP($B569,Q,14,FALSE)=0,"",(VLOOKUP($B569,Q,16,FALSE)))</f>
        <v/>
      </c>
      <c r="K569" s="2" t="str">
        <f>IF(VLOOKUP($B569,Q,14,FALSE)=0,"",(VLOOKUP($B569,Q,17,FALSE)))</f>
        <v/>
      </c>
    </row>
    <row r="570" spans="2:11" x14ac:dyDescent="0.6">
      <c r="B570" s="1">
        <v>573</v>
      </c>
      <c r="C570" s="2" t="str">
        <f>IF(VLOOKUP($B570,Q,2,FALSE)=0,"",(VLOOKUP($B570,Q,2,FALSE)))</f>
        <v/>
      </c>
      <c r="D570" s="2" t="str">
        <f>IF(VLOOKUP($B570,Q,3,FALSE)=0,"",(VLOOKUP($B570,Q,3,FALSE)))</f>
        <v/>
      </c>
      <c r="E570" s="2" t="str">
        <f>IF(VLOOKUP($B570,Q,8,FALSE)=0,"",(VLOOKUP($B570,Q,8,FALSE)))</f>
        <v/>
      </c>
      <c r="F570" s="19" t="str">
        <f>IF(VLOOKUP($B570,Q,9,FALSE)=0,"",(VLOOKUP($B570,Q,9,FALSE)))</f>
        <v/>
      </c>
      <c r="G570" s="2" t="str">
        <f>IF(VLOOKUP($B570,Q,10,FALSE)=0,"",(VLOOKUP($B570,Q,10,FALSE)))</f>
        <v/>
      </c>
      <c r="H570" s="2" t="str">
        <f>IF(VLOOKUP($B570,Q,14,FALSE)=0,"",(VLOOKUP($B570,Q,14,FALSE)))</f>
        <v/>
      </c>
      <c r="I570" s="2" t="str">
        <f>IF(VLOOKUP($B570,Q,14,FALSE)=0,"",(VLOOKUP($B570,Q,15,FALSE)))</f>
        <v/>
      </c>
      <c r="J570" s="2" t="str">
        <f>IF(VLOOKUP($B570,Q,14,FALSE)=0,"",(VLOOKUP($B570,Q,16,FALSE)))</f>
        <v/>
      </c>
      <c r="K570" s="2" t="str">
        <f>IF(VLOOKUP($B570,Q,14,FALSE)=0,"",(VLOOKUP($B570,Q,17,FALSE)))</f>
        <v/>
      </c>
    </row>
    <row r="571" spans="2:11" x14ac:dyDescent="0.6">
      <c r="B571" s="1">
        <v>574</v>
      </c>
      <c r="C571" s="2" t="str">
        <f>IF(VLOOKUP($B571,Q,2,FALSE)=0,"",(VLOOKUP($B571,Q,2,FALSE)))</f>
        <v/>
      </c>
      <c r="D571" s="2" t="str">
        <f>IF(VLOOKUP($B571,Q,3,FALSE)=0,"",(VLOOKUP($B571,Q,3,FALSE)))</f>
        <v/>
      </c>
      <c r="E571" s="2" t="str">
        <f>IF(VLOOKUP($B571,Q,8,FALSE)=0,"",(VLOOKUP($B571,Q,8,FALSE)))</f>
        <v/>
      </c>
      <c r="F571" s="19" t="str">
        <f>IF(VLOOKUP($B571,Q,9,FALSE)=0,"",(VLOOKUP($B571,Q,9,FALSE)))</f>
        <v/>
      </c>
      <c r="G571" s="2" t="str">
        <f>IF(VLOOKUP($B571,Q,10,FALSE)=0,"",(VLOOKUP($B571,Q,10,FALSE)))</f>
        <v/>
      </c>
      <c r="H571" s="2" t="str">
        <f>IF(VLOOKUP($B571,Q,14,FALSE)=0,"",(VLOOKUP($B571,Q,14,FALSE)))</f>
        <v/>
      </c>
      <c r="I571" s="2" t="str">
        <f>IF(VLOOKUP($B571,Q,14,FALSE)=0,"",(VLOOKUP($B571,Q,15,FALSE)))</f>
        <v/>
      </c>
      <c r="J571" s="2" t="str">
        <f>IF(VLOOKUP($B571,Q,14,FALSE)=0,"",(VLOOKUP($B571,Q,16,FALSE)))</f>
        <v/>
      </c>
      <c r="K571" s="2" t="str">
        <f>IF(VLOOKUP($B571,Q,14,FALSE)=0,"",(VLOOKUP($B571,Q,17,FALSE)))</f>
        <v/>
      </c>
    </row>
    <row r="572" spans="2:11" x14ac:dyDescent="0.6">
      <c r="B572" s="1">
        <v>575</v>
      </c>
      <c r="C572" s="2" t="str">
        <f>IF(VLOOKUP($B572,Q,2,FALSE)=0,"",(VLOOKUP($B572,Q,2,FALSE)))</f>
        <v/>
      </c>
      <c r="D572" s="2" t="str">
        <f>IF(VLOOKUP($B572,Q,3,FALSE)=0,"",(VLOOKUP($B572,Q,3,FALSE)))</f>
        <v/>
      </c>
      <c r="E572" s="2" t="str">
        <f>IF(VLOOKUP($B572,Q,8,FALSE)=0,"",(VLOOKUP($B572,Q,8,FALSE)))</f>
        <v/>
      </c>
      <c r="F572" s="19" t="str">
        <f>IF(VLOOKUP($B572,Q,9,FALSE)=0,"",(VLOOKUP($B572,Q,9,FALSE)))</f>
        <v/>
      </c>
      <c r="G572" s="2" t="str">
        <f>IF(VLOOKUP($B572,Q,10,FALSE)=0,"",(VLOOKUP($B572,Q,10,FALSE)))</f>
        <v/>
      </c>
      <c r="H572" s="2" t="str">
        <f>IF(VLOOKUP($B572,Q,14,FALSE)=0,"",(VLOOKUP($B572,Q,14,FALSE)))</f>
        <v/>
      </c>
      <c r="I572" s="2" t="str">
        <f>IF(VLOOKUP($B572,Q,14,FALSE)=0,"",(VLOOKUP($B572,Q,15,FALSE)))</f>
        <v/>
      </c>
      <c r="J572" s="2" t="str">
        <f>IF(VLOOKUP($B572,Q,14,FALSE)=0,"",(VLOOKUP($B572,Q,16,FALSE)))</f>
        <v/>
      </c>
      <c r="K572" s="2" t="str">
        <f>IF(VLOOKUP($B572,Q,14,FALSE)=0,"",(VLOOKUP($B572,Q,17,FALSE)))</f>
        <v/>
      </c>
    </row>
    <row r="573" spans="2:11" x14ac:dyDescent="0.6">
      <c r="B573" s="1">
        <v>576</v>
      </c>
      <c r="C573" s="2" t="str">
        <f>IF(VLOOKUP($B573,Q,2,FALSE)=0,"",(VLOOKUP($B573,Q,2,FALSE)))</f>
        <v/>
      </c>
      <c r="D573" s="2" t="str">
        <f>IF(VLOOKUP($B573,Q,3,FALSE)=0,"",(VLOOKUP($B573,Q,3,FALSE)))</f>
        <v/>
      </c>
      <c r="E573" s="2" t="str">
        <f>IF(VLOOKUP($B573,Q,8,FALSE)=0,"",(VLOOKUP($B573,Q,8,FALSE)))</f>
        <v/>
      </c>
      <c r="F573" s="19" t="str">
        <f>IF(VLOOKUP($B573,Q,9,FALSE)=0,"",(VLOOKUP($B573,Q,9,FALSE)))</f>
        <v/>
      </c>
      <c r="G573" s="2" t="str">
        <f>IF(VLOOKUP($B573,Q,10,FALSE)=0,"",(VLOOKUP($B573,Q,10,FALSE)))</f>
        <v/>
      </c>
      <c r="H573" s="2" t="str">
        <f>IF(VLOOKUP($B573,Q,14,FALSE)=0,"",(VLOOKUP($B573,Q,14,FALSE)))</f>
        <v/>
      </c>
      <c r="I573" s="2" t="str">
        <f>IF(VLOOKUP($B573,Q,14,FALSE)=0,"",(VLOOKUP($B573,Q,15,FALSE)))</f>
        <v/>
      </c>
      <c r="J573" s="2" t="str">
        <f>IF(VLOOKUP($B573,Q,14,FALSE)=0,"",(VLOOKUP($B573,Q,16,FALSE)))</f>
        <v/>
      </c>
      <c r="K573" s="2" t="str">
        <f>IF(VLOOKUP($B573,Q,14,FALSE)=0,"",(VLOOKUP($B573,Q,17,FALSE)))</f>
        <v/>
      </c>
    </row>
    <row r="574" spans="2:11" x14ac:dyDescent="0.6">
      <c r="B574" s="1">
        <v>577</v>
      </c>
      <c r="C574" s="2" t="str">
        <f>IF(VLOOKUP($B574,Q,2,FALSE)=0,"",(VLOOKUP($B574,Q,2,FALSE)))</f>
        <v/>
      </c>
      <c r="D574" s="2" t="str">
        <f>IF(VLOOKUP($B574,Q,3,FALSE)=0,"",(VLOOKUP($B574,Q,3,FALSE)))</f>
        <v/>
      </c>
      <c r="E574" s="2" t="str">
        <f>IF(VLOOKUP($B574,Q,8,FALSE)=0,"",(VLOOKUP($B574,Q,8,FALSE)))</f>
        <v/>
      </c>
      <c r="F574" s="19" t="str">
        <f>IF(VLOOKUP($B574,Q,9,FALSE)=0,"",(VLOOKUP($B574,Q,9,FALSE)))</f>
        <v/>
      </c>
      <c r="G574" s="2" t="str">
        <f>IF(VLOOKUP($B574,Q,10,FALSE)=0,"",(VLOOKUP($B574,Q,10,FALSE)))</f>
        <v/>
      </c>
      <c r="H574" s="2" t="str">
        <f>IF(VLOOKUP($B574,Q,14,FALSE)=0,"",(VLOOKUP($B574,Q,14,FALSE)))</f>
        <v/>
      </c>
      <c r="I574" s="2" t="str">
        <f>IF(VLOOKUP($B574,Q,14,FALSE)=0,"",(VLOOKUP($B574,Q,15,FALSE)))</f>
        <v/>
      </c>
      <c r="J574" s="2" t="str">
        <f>IF(VLOOKUP($B574,Q,14,FALSE)=0,"",(VLOOKUP($B574,Q,16,FALSE)))</f>
        <v/>
      </c>
      <c r="K574" s="2" t="str">
        <f>IF(VLOOKUP($B574,Q,14,FALSE)=0,"",(VLOOKUP($B574,Q,17,FALSE)))</f>
        <v/>
      </c>
    </row>
    <row r="575" spans="2:11" x14ac:dyDescent="0.6">
      <c r="B575" s="1">
        <v>578</v>
      </c>
      <c r="C575" s="2" t="str">
        <f>IF(VLOOKUP($B575,Q,2,FALSE)=0,"",(VLOOKUP($B575,Q,2,FALSE)))</f>
        <v/>
      </c>
      <c r="D575" s="2" t="str">
        <f>IF(VLOOKUP($B575,Q,3,FALSE)=0,"",(VLOOKUP($B575,Q,3,FALSE)))</f>
        <v/>
      </c>
      <c r="E575" s="2" t="str">
        <f>IF(VLOOKUP($B575,Q,8,FALSE)=0,"",(VLOOKUP($B575,Q,8,FALSE)))</f>
        <v/>
      </c>
      <c r="F575" s="19" t="str">
        <f>IF(VLOOKUP($B575,Q,9,FALSE)=0,"",(VLOOKUP($B575,Q,9,FALSE)))</f>
        <v/>
      </c>
      <c r="G575" s="2" t="str">
        <f>IF(VLOOKUP($B575,Q,10,FALSE)=0,"",(VLOOKUP($B575,Q,10,FALSE)))</f>
        <v/>
      </c>
      <c r="H575" s="2" t="str">
        <f>IF(VLOOKUP($B575,Q,14,FALSE)=0,"",(VLOOKUP($B575,Q,14,FALSE)))</f>
        <v/>
      </c>
      <c r="I575" s="2" t="str">
        <f>IF(VLOOKUP($B575,Q,14,FALSE)=0,"",(VLOOKUP($B575,Q,15,FALSE)))</f>
        <v/>
      </c>
      <c r="J575" s="2" t="str">
        <f>IF(VLOOKUP($B575,Q,14,FALSE)=0,"",(VLOOKUP($B575,Q,16,FALSE)))</f>
        <v/>
      </c>
      <c r="K575" s="2" t="str">
        <f>IF(VLOOKUP($B575,Q,14,FALSE)=0,"",(VLOOKUP($B575,Q,17,FALSE)))</f>
        <v/>
      </c>
    </row>
    <row r="576" spans="2:11" x14ac:dyDescent="0.6">
      <c r="B576" s="1">
        <v>579</v>
      </c>
      <c r="C576" s="2" t="str">
        <f>IF(VLOOKUP($B576,Q,2,FALSE)=0,"",(VLOOKUP($B576,Q,2,FALSE)))</f>
        <v/>
      </c>
      <c r="D576" s="2" t="str">
        <f>IF(VLOOKUP($B576,Q,3,FALSE)=0,"",(VLOOKUP($B576,Q,3,FALSE)))</f>
        <v/>
      </c>
      <c r="E576" s="2" t="str">
        <f>IF(VLOOKUP($B576,Q,8,FALSE)=0,"",(VLOOKUP($B576,Q,8,FALSE)))</f>
        <v/>
      </c>
      <c r="F576" s="19" t="str">
        <f>IF(VLOOKUP($B576,Q,9,FALSE)=0,"",(VLOOKUP($B576,Q,9,FALSE)))</f>
        <v/>
      </c>
      <c r="G576" s="2" t="str">
        <f>IF(VLOOKUP($B576,Q,10,FALSE)=0,"",(VLOOKUP($B576,Q,10,FALSE)))</f>
        <v/>
      </c>
      <c r="H576" s="2" t="str">
        <f>IF(VLOOKUP($B576,Q,14,FALSE)=0,"",(VLOOKUP($B576,Q,14,FALSE)))</f>
        <v/>
      </c>
      <c r="I576" s="2" t="str">
        <f>IF(VLOOKUP($B576,Q,14,FALSE)=0,"",(VLOOKUP($B576,Q,15,FALSE)))</f>
        <v/>
      </c>
      <c r="J576" s="2" t="str">
        <f>IF(VLOOKUP($B576,Q,14,FALSE)=0,"",(VLOOKUP($B576,Q,16,FALSE)))</f>
        <v/>
      </c>
      <c r="K576" s="2" t="str">
        <f>IF(VLOOKUP($B576,Q,14,FALSE)=0,"",(VLOOKUP($B576,Q,17,FALSE)))</f>
        <v/>
      </c>
    </row>
    <row r="577" spans="2:11" x14ac:dyDescent="0.6">
      <c r="B577" s="1">
        <v>580</v>
      </c>
      <c r="C577" s="2" t="str">
        <f>IF(VLOOKUP($B577,Q,2,FALSE)=0,"",(VLOOKUP($B577,Q,2,FALSE)))</f>
        <v/>
      </c>
      <c r="D577" s="2" t="str">
        <f>IF(VLOOKUP($B577,Q,3,FALSE)=0,"",(VLOOKUP($B577,Q,3,FALSE)))</f>
        <v/>
      </c>
      <c r="E577" s="2" t="str">
        <f>IF(VLOOKUP($B577,Q,8,FALSE)=0,"",(VLOOKUP($B577,Q,8,FALSE)))</f>
        <v/>
      </c>
      <c r="F577" s="19" t="str">
        <f>IF(VLOOKUP($B577,Q,9,FALSE)=0,"",(VLOOKUP($B577,Q,9,FALSE)))</f>
        <v/>
      </c>
      <c r="G577" s="2" t="str">
        <f>IF(VLOOKUP($B577,Q,10,FALSE)=0,"",(VLOOKUP($B577,Q,10,FALSE)))</f>
        <v/>
      </c>
      <c r="H577" s="2" t="str">
        <f>IF(VLOOKUP($B577,Q,14,FALSE)=0,"",(VLOOKUP($B577,Q,14,FALSE)))</f>
        <v/>
      </c>
      <c r="I577" s="2" t="str">
        <f>IF(VLOOKUP($B577,Q,14,FALSE)=0,"",(VLOOKUP($B577,Q,15,FALSE)))</f>
        <v/>
      </c>
      <c r="J577" s="2" t="str">
        <f>IF(VLOOKUP($B577,Q,14,FALSE)=0,"",(VLOOKUP($B577,Q,16,FALSE)))</f>
        <v/>
      </c>
      <c r="K577" s="2" t="str">
        <f>IF(VLOOKUP($B577,Q,14,FALSE)=0,"",(VLOOKUP($B577,Q,17,FALSE)))</f>
        <v/>
      </c>
    </row>
    <row r="578" spans="2:11" x14ac:dyDescent="0.6">
      <c r="B578" s="1">
        <v>581</v>
      </c>
      <c r="C578" s="2" t="str">
        <f>IF(VLOOKUP($B578,Q,2,FALSE)=0,"",(VLOOKUP($B578,Q,2,FALSE)))</f>
        <v/>
      </c>
      <c r="D578" s="2" t="str">
        <f>IF(VLOOKUP($B578,Q,3,FALSE)=0,"",(VLOOKUP($B578,Q,3,FALSE)))</f>
        <v/>
      </c>
      <c r="E578" s="2" t="str">
        <f>IF(VLOOKUP($B578,Q,8,FALSE)=0,"",(VLOOKUP($B578,Q,8,FALSE)))</f>
        <v/>
      </c>
      <c r="F578" s="19" t="str">
        <f>IF(VLOOKUP($B578,Q,9,FALSE)=0,"",(VLOOKUP($B578,Q,9,FALSE)))</f>
        <v/>
      </c>
      <c r="G578" s="2" t="str">
        <f>IF(VLOOKUP($B578,Q,10,FALSE)=0,"",(VLOOKUP($B578,Q,10,FALSE)))</f>
        <v/>
      </c>
      <c r="H578" s="2" t="str">
        <f>IF(VLOOKUP($B578,Q,14,FALSE)=0,"",(VLOOKUP($B578,Q,14,FALSE)))</f>
        <v/>
      </c>
      <c r="I578" s="2" t="str">
        <f>IF(VLOOKUP($B578,Q,14,FALSE)=0,"",(VLOOKUP($B578,Q,15,FALSE)))</f>
        <v/>
      </c>
      <c r="J578" s="2" t="str">
        <f>IF(VLOOKUP($B578,Q,14,FALSE)=0,"",(VLOOKUP($B578,Q,16,FALSE)))</f>
        <v/>
      </c>
      <c r="K578" s="2" t="str">
        <f>IF(VLOOKUP($B578,Q,14,FALSE)=0,"",(VLOOKUP($B578,Q,17,FALSE)))</f>
        <v/>
      </c>
    </row>
    <row r="579" spans="2:11" x14ac:dyDescent="0.6">
      <c r="B579" s="1">
        <v>582</v>
      </c>
      <c r="C579" s="2" t="str">
        <f>IF(VLOOKUP($B579,Q,2,FALSE)=0,"",(VLOOKUP($B579,Q,2,FALSE)))</f>
        <v/>
      </c>
      <c r="D579" s="2" t="str">
        <f>IF(VLOOKUP($B579,Q,3,FALSE)=0,"",(VLOOKUP($B579,Q,3,FALSE)))</f>
        <v/>
      </c>
      <c r="E579" s="2" t="str">
        <f>IF(VLOOKUP($B579,Q,8,FALSE)=0,"",(VLOOKUP($B579,Q,8,FALSE)))</f>
        <v/>
      </c>
      <c r="F579" s="19" t="str">
        <f>IF(VLOOKUP($B579,Q,9,FALSE)=0,"",(VLOOKUP($B579,Q,9,FALSE)))</f>
        <v/>
      </c>
      <c r="G579" s="2" t="str">
        <f>IF(VLOOKUP($B579,Q,10,FALSE)=0,"",(VLOOKUP($B579,Q,10,FALSE)))</f>
        <v/>
      </c>
      <c r="H579" s="2" t="str">
        <f>IF(VLOOKUP($B579,Q,14,FALSE)=0,"",(VLOOKUP($B579,Q,14,FALSE)))</f>
        <v/>
      </c>
      <c r="I579" s="2" t="str">
        <f>IF(VLOOKUP($B579,Q,14,FALSE)=0,"",(VLOOKUP($B579,Q,15,FALSE)))</f>
        <v/>
      </c>
      <c r="J579" s="2" t="str">
        <f>IF(VLOOKUP($B579,Q,14,FALSE)=0,"",(VLOOKUP($B579,Q,16,FALSE)))</f>
        <v/>
      </c>
      <c r="K579" s="2" t="str">
        <f>IF(VLOOKUP($B579,Q,14,FALSE)=0,"",(VLOOKUP($B579,Q,17,FALSE)))</f>
        <v/>
      </c>
    </row>
    <row r="580" spans="2:11" x14ac:dyDescent="0.6">
      <c r="B580" s="1">
        <v>583</v>
      </c>
      <c r="C580" s="2" t="str">
        <f>IF(VLOOKUP($B580,Q,2,FALSE)=0,"",(VLOOKUP($B580,Q,2,FALSE)))</f>
        <v/>
      </c>
      <c r="D580" s="2" t="str">
        <f>IF(VLOOKUP($B580,Q,3,FALSE)=0,"",(VLOOKUP($B580,Q,3,FALSE)))</f>
        <v/>
      </c>
      <c r="E580" s="2" t="str">
        <f>IF(VLOOKUP($B580,Q,8,FALSE)=0,"",(VLOOKUP($B580,Q,8,FALSE)))</f>
        <v/>
      </c>
      <c r="F580" s="19" t="str">
        <f>IF(VLOOKUP($B580,Q,9,FALSE)=0,"",(VLOOKUP($B580,Q,9,FALSE)))</f>
        <v/>
      </c>
      <c r="G580" s="2" t="str">
        <f>IF(VLOOKUP($B580,Q,10,FALSE)=0,"",(VLOOKUP($B580,Q,10,FALSE)))</f>
        <v/>
      </c>
      <c r="H580" s="2" t="str">
        <f>IF(VLOOKUP($B580,Q,14,FALSE)=0,"",(VLOOKUP($B580,Q,14,FALSE)))</f>
        <v/>
      </c>
      <c r="I580" s="2" t="str">
        <f>IF(VLOOKUP($B580,Q,14,FALSE)=0,"",(VLOOKUP($B580,Q,15,FALSE)))</f>
        <v/>
      </c>
      <c r="J580" s="2" t="str">
        <f>IF(VLOOKUP($B580,Q,14,FALSE)=0,"",(VLOOKUP($B580,Q,16,FALSE)))</f>
        <v/>
      </c>
      <c r="K580" s="2" t="str">
        <f>IF(VLOOKUP($B580,Q,14,FALSE)=0,"",(VLOOKUP($B580,Q,17,FALSE)))</f>
        <v/>
      </c>
    </row>
    <row r="581" spans="2:11" x14ac:dyDescent="0.6">
      <c r="B581" s="1">
        <v>584</v>
      </c>
      <c r="C581" s="2" t="str">
        <f>IF(VLOOKUP($B581,Q,2,FALSE)=0,"",(VLOOKUP($B581,Q,2,FALSE)))</f>
        <v/>
      </c>
      <c r="D581" s="2" t="str">
        <f>IF(VLOOKUP($B581,Q,3,FALSE)=0,"",(VLOOKUP($B581,Q,3,FALSE)))</f>
        <v/>
      </c>
      <c r="E581" s="2" t="str">
        <f>IF(VLOOKUP($B581,Q,8,FALSE)=0,"",(VLOOKUP($B581,Q,8,FALSE)))</f>
        <v/>
      </c>
      <c r="F581" s="19" t="str">
        <f>IF(VLOOKUP($B581,Q,9,FALSE)=0,"",(VLOOKUP($B581,Q,9,FALSE)))</f>
        <v/>
      </c>
      <c r="G581" s="2" t="str">
        <f>IF(VLOOKUP($B581,Q,10,FALSE)=0,"",(VLOOKUP($B581,Q,10,FALSE)))</f>
        <v/>
      </c>
      <c r="H581" s="2" t="str">
        <f>IF(VLOOKUP($B581,Q,14,FALSE)=0,"",(VLOOKUP($B581,Q,14,FALSE)))</f>
        <v/>
      </c>
      <c r="I581" s="2" t="str">
        <f>IF(VLOOKUP($B581,Q,14,FALSE)=0,"",(VLOOKUP($B581,Q,15,FALSE)))</f>
        <v/>
      </c>
      <c r="J581" s="2" t="str">
        <f>IF(VLOOKUP($B581,Q,14,FALSE)=0,"",(VLOOKUP($B581,Q,16,FALSE)))</f>
        <v/>
      </c>
      <c r="K581" s="2" t="str">
        <f>IF(VLOOKUP($B581,Q,14,FALSE)=0,"",(VLOOKUP($B581,Q,17,FALSE)))</f>
        <v/>
      </c>
    </row>
    <row r="582" spans="2:11" x14ac:dyDescent="0.6">
      <c r="B582" s="1">
        <v>585</v>
      </c>
      <c r="C582" s="2" t="str">
        <f>IF(VLOOKUP($B582,Q,2,FALSE)=0,"",(VLOOKUP($B582,Q,2,FALSE)))</f>
        <v/>
      </c>
      <c r="D582" s="2" t="str">
        <f>IF(VLOOKUP($B582,Q,3,FALSE)=0,"",(VLOOKUP($B582,Q,3,FALSE)))</f>
        <v/>
      </c>
      <c r="E582" s="2" t="str">
        <f>IF(VLOOKUP($B582,Q,8,FALSE)=0,"",(VLOOKUP($B582,Q,8,FALSE)))</f>
        <v/>
      </c>
      <c r="F582" s="19" t="str">
        <f>IF(VLOOKUP($B582,Q,9,FALSE)=0,"",(VLOOKUP($B582,Q,9,FALSE)))</f>
        <v/>
      </c>
      <c r="G582" s="2" t="str">
        <f>IF(VLOOKUP($B582,Q,10,FALSE)=0,"",(VLOOKUP($B582,Q,10,FALSE)))</f>
        <v/>
      </c>
      <c r="H582" s="2" t="str">
        <f>IF(VLOOKUP($B582,Q,14,FALSE)=0,"",(VLOOKUP($B582,Q,14,FALSE)))</f>
        <v/>
      </c>
      <c r="I582" s="2" t="str">
        <f>IF(VLOOKUP($B582,Q,14,FALSE)=0,"",(VLOOKUP($B582,Q,15,FALSE)))</f>
        <v/>
      </c>
      <c r="J582" s="2" t="str">
        <f>IF(VLOOKUP($B582,Q,14,FALSE)=0,"",(VLOOKUP($B582,Q,16,FALSE)))</f>
        <v/>
      </c>
      <c r="K582" s="2" t="str">
        <f>IF(VLOOKUP($B582,Q,14,FALSE)=0,"",(VLOOKUP($B582,Q,17,FALSE)))</f>
        <v/>
      </c>
    </row>
    <row r="583" spans="2:11" x14ac:dyDescent="0.6">
      <c r="B583" s="1">
        <v>586</v>
      </c>
      <c r="C583" s="2" t="str">
        <f>IF(VLOOKUP($B583,Q,2,FALSE)=0,"",(VLOOKUP($B583,Q,2,FALSE)))</f>
        <v/>
      </c>
      <c r="D583" s="2" t="str">
        <f>IF(VLOOKUP($B583,Q,3,FALSE)=0,"",(VLOOKUP($B583,Q,3,FALSE)))</f>
        <v/>
      </c>
      <c r="E583" s="2" t="str">
        <f>IF(VLOOKUP($B583,Q,8,FALSE)=0,"",(VLOOKUP($B583,Q,8,FALSE)))</f>
        <v/>
      </c>
      <c r="F583" s="19" t="str">
        <f>IF(VLOOKUP($B583,Q,9,FALSE)=0,"",(VLOOKUP($B583,Q,9,FALSE)))</f>
        <v/>
      </c>
      <c r="G583" s="2" t="str">
        <f>IF(VLOOKUP($B583,Q,10,FALSE)=0,"",(VLOOKUP($B583,Q,10,FALSE)))</f>
        <v/>
      </c>
      <c r="H583" s="2" t="str">
        <f>IF(VLOOKUP($B583,Q,14,FALSE)=0,"",(VLOOKUP($B583,Q,14,FALSE)))</f>
        <v/>
      </c>
      <c r="I583" s="2" t="str">
        <f>IF(VLOOKUP($B583,Q,14,FALSE)=0,"",(VLOOKUP($B583,Q,15,FALSE)))</f>
        <v/>
      </c>
      <c r="J583" s="2" t="str">
        <f>IF(VLOOKUP($B583,Q,14,FALSE)=0,"",(VLOOKUP($B583,Q,16,FALSE)))</f>
        <v/>
      </c>
      <c r="K583" s="2" t="str">
        <f>IF(VLOOKUP($B583,Q,14,FALSE)=0,"",(VLOOKUP($B583,Q,17,FALSE)))</f>
        <v/>
      </c>
    </row>
    <row r="584" spans="2:11" x14ac:dyDescent="0.6">
      <c r="B584" s="1">
        <v>587</v>
      </c>
      <c r="C584" s="2" t="str">
        <f>IF(VLOOKUP($B584,Q,2,FALSE)=0,"",(VLOOKUP($B584,Q,2,FALSE)))</f>
        <v/>
      </c>
      <c r="D584" s="2" t="str">
        <f>IF(VLOOKUP($B584,Q,3,FALSE)=0,"",(VLOOKUP($B584,Q,3,FALSE)))</f>
        <v/>
      </c>
      <c r="E584" s="2" t="str">
        <f>IF(VLOOKUP($B584,Q,8,FALSE)=0,"",(VLOOKUP($B584,Q,8,FALSE)))</f>
        <v/>
      </c>
      <c r="F584" s="19" t="str">
        <f>IF(VLOOKUP($B584,Q,9,FALSE)=0,"",(VLOOKUP($B584,Q,9,FALSE)))</f>
        <v/>
      </c>
      <c r="G584" s="2" t="str">
        <f>IF(VLOOKUP($B584,Q,10,FALSE)=0,"",(VLOOKUP($B584,Q,10,FALSE)))</f>
        <v/>
      </c>
      <c r="H584" s="2" t="str">
        <f>IF(VLOOKUP($B584,Q,14,FALSE)=0,"",(VLOOKUP($B584,Q,14,FALSE)))</f>
        <v/>
      </c>
      <c r="I584" s="2" t="str">
        <f>IF(VLOOKUP($B584,Q,14,FALSE)=0,"",(VLOOKUP($B584,Q,15,FALSE)))</f>
        <v/>
      </c>
      <c r="J584" s="2" t="str">
        <f>IF(VLOOKUP($B584,Q,14,FALSE)=0,"",(VLOOKUP($B584,Q,16,FALSE)))</f>
        <v/>
      </c>
      <c r="K584" s="2" t="str">
        <f>IF(VLOOKUP($B584,Q,14,FALSE)=0,"",(VLOOKUP($B584,Q,17,FALSE)))</f>
        <v/>
      </c>
    </row>
    <row r="585" spans="2:11" x14ac:dyDescent="0.6">
      <c r="B585" s="1">
        <v>588</v>
      </c>
      <c r="C585" s="2" t="str">
        <f>IF(VLOOKUP($B585,Q,2,FALSE)=0,"",(VLOOKUP($B585,Q,2,FALSE)))</f>
        <v/>
      </c>
      <c r="D585" s="2" t="str">
        <f>IF(VLOOKUP($B585,Q,3,FALSE)=0,"",(VLOOKUP($B585,Q,3,FALSE)))</f>
        <v/>
      </c>
      <c r="E585" s="2" t="str">
        <f>IF(VLOOKUP($B585,Q,8,FALSE)=0,"",(VLOOKUP($B585,Q,8,FALSE)))</f>
        <v/>
      </c>
      <c r="F585" s="19" t="str">
        <f>IF(VLOOKUP($B585,Q,9,FALSE)=0,"",(VLOOKUP($B585,Q,9,FALSE)))</f>
        <v/>
      </c>
      <c r="G585" s="2" t="str">
        <f>IF(VLOOKUP($B585,Q,10,FALSE)=0,"",(VLOOKUP($B585,Q,10,FALSE)))</f>
        <v/>
      </c>
      <c r="H585" s="2" t="str">
        <f>IF(VLOOKUP($B585,Q,14,FALSE)=0,"",(VLOOKUP($B585,Q,14,FALSE)))</f>
        <v/>
      </c>
      <c r="I585" s="2" t="str">
        <f>IF(VLOOKUP($B585,Q,14,FALSE)=0,"",(VLOOKUP($B585,Q,15,FALSE)))</f>
        <v/>
      </c>
      <c r="J585" s="2" t="str">
        <f>IF(VLOOKUP($B585,Q,14,FALSE)=0,"",(VLOOKUP($B585,Q,16,FALSE)))</f>
        <v/>
      </c>
      <c r="K585" s="2" t="str">
        <f>IF(VLOOKUP($B585,Q,14,FALSE)=0,"",(VLOOKUP($B585,Q,17,FALSE)))</f>
        <v/>
      </c>
    </row>
    <row r="586" spans="2:11" x14ac:dyDescent="0.6">
      <c r="B586" s="1">
        <v>589</v>
      </c>
      <c r="C586" s="2" t="str">
        <f>IF(VLOOKUP($B586,Q,2,FALSE)=0,"",(VLOOKUP($B586,Q,2,FALSE)))</f>
        <v/>
      </c>
      <c r="D586" s="2" t="str">
        <f>IF(VLOOKUP($B586,Q,3,FALSE)=0,"",(VLOOKUP($B586,Q,3,FALSE)))</f>
        <v/>
      </c>
      <c r="E586" s="2" t="str">
        <f>IF(VLOOKUP($B586,Q,8,FALSE)=0,"",(VLOOKUP($B586,Q,8,FALSE)))</f>
        <v/>
      </c>
      <c r="F586" s="19" t="str">
        <f>IF(VLOOKUP($B586,Q,9,FALSE)=0,"",(VLOOKUP($B586,Q,9,FALSE)))</f>
        <v/>
      </c>
      <c r="G586" s="2" t="str">
        <f>IF(VLOOKUP($B586,Q,10,FALSE)=0,"",(VLOOKUP($B586,Q,10,FALSE)))</f>
        <v/>
      </c>
      <c r="H586" s="2" t="str">
        <f>IF(VLOOKUP($B586,Q,14,FALSE)=0,"",(VLOOKUP($B586,Q,14,FALSE)))</f>
        <v/>
      </c>
      <c r="I586" s="2" t="str">
        <f>IF(VLOOKUP($B586,Q,14,FALSE)=0,"",(VLOOKUP($B586,Q,15,FALSE)))</f>
        <v/>
      </c>
      <c r="J586" s="2" t="str">
        <f>IF(VLOOKUP($B586,Q,14,FALSE)=0,"",(VLOOKUP($B586,Q,16,FALSE)))</f>
        <v/>
      </c>
      <c r="K586" s="2" t="str">
        <f>IF(VLOOKUP($B586,Q,14,FALSE)=0,"",(VLOOKUP($B586,Q,17,FALSE)))</f>
        <v/>
      </c>
    </row>
    <row r="587" spans="2:11" x14ac:dyDescent="0.6">
      <c r="B587" s="1">
        <v>590</v>
      </c>
      <c r="C587" s="2" t="str">
        <f>IF(VLOOKUP($B587,Q,2,FALSE)=0,"",(VLOOKUP($B587,Q,2,FALSE)))</f>
        <v/>
      </c>
      <c r="D587" s="2" t="str">
        <f>IF(VLOOKUP($B587,Q,3,FALSE)=0,"",(VLOOKUP($B587,Q,3,FALSE)))</f>
        <v/>
      </c>
      <c r="E587" s="2" t="str">
        <f>IF(VLOOKUP($B587,Q,8,FALSE)=0,"",(VLOOKUP($B587,Q,8,FALSE)))</f>
        <v/>
      </c>
      <c r="F587" s="19" t="str">
        <f>IF(VLOOKUP($B587,Q,9,FALSE)=0,"",(VLOOKUP($B587,Q,9,FALSE)))</f>
        <v/>
      </c>
      <c r="G587" s="2" t="str">
        <f>IF(VLOOKUP($B587,Q,10,FALSE)=0,"",(VLOOKUP($B587,Q,10,FALSE)))</f>
        <v/>
      </c>
      <c r="H587" s="2" t="str">
        <f>IF(VLOOKUP($B587,Q,14,FALSE)=0,"",(VLOOKUP($B587,Q,14,FALSE)))</f>
        <v/>
      </c>
      <c r="I587" s="2" t="str">
        <f>IF(VLOOKUP($B587,Q,14,FALSE)=0,"",(VLOOKUP($B587,Q,15,FALSE)))</f>
        <v/>
      </c>
      <c r="J587" s="2" t="str">
        <f>IF(VLOOKUP($B587,Q,14,FALSE)=0,"",(VLOOKUP($B587,Q,16,FALSE)))</f>
        <v/>
      </c>
      <c r="K587" s="2" t="str">
        <f>IF(VLOOKUP($B587,Q,14,FALSE)=0,"",(VLOOKUP($B587,Q,17,FALSE)))</f>
        <v/>
      </c>
    </row>
    <row r="588" spans="2:11" x14ac:dyDescent="0.6">
      <c r="B588" s="1">
        <v>591</v>
      </c>
      <c r="C588" s="2" t="str">
        <f>IF(VLOOKUP($B588,Q,2,FALSE)=0,"",(VLOOKUP($B588,Q,2,FALSE)))</f>
        <v/>
      </c>
      <c r="D588" s="2" t="str">
        <f>IF(VLOOKUP($B588,Q,3,FALSE)=0,"",(VLOOKUP($B588,Q,3,FALSE)))</f>
        <v/>
      </c>
      <c r="E588" s="2" t="str">
        <f>IF(VLOOKUP($B588,Q,8,FALSE)=0,"",(VLOOKUP($B588,Q,8,FALSE)))</f>
        <v/>
      </c>
      <c r="F588" s="19" t="str">
        <f>IF(VLOOKUP($B588,Q,9,FALSE)=0,"",(VLOOKUP($B588,Q,9,FALSE)))</f>
        <v/>
      </c>
      <c r="G588" s="2" t="str">
        <f>IF(VLOOKUP($B588,Q,10,FALSE)=0,"",(VLOOKUP($B588,Q,10,FALSE)))</f>
        <v/>
      </c>
      <c r="H588" s="2" t="str">
        <f>IF(VLOOKUP($B588,Q,14,FALSE)=0,"",(VLOOKUP($B588,Q,14,FALSE)))</f>
        <v/>
      </c>
      <c r="I588" s="2" t="str">
        <f>IF(VLOOKUP($B588,Q,14,FALSE)=0,"",(VLOOKUP($B588,Q,15,FALSE)))</f>
        <v/>
      </c>
      <c r="J588" s="2" t="str">
        <f>IF(VLOOKUP($B588,Q,14,FALSE)=0,"",(VLOOKUP($B588,Q,16,FALSE)))</f>
        <v/>
      </c>
      <c r="K588" s="2" t="str">
        <f>IF(VLOOKUP($B588,Q,14,FALSE)=0,"",(VLOOKUP($B588,Q,17,FALSE)))</f>
        <v/>
      </c>
    </row>
    <row r="589" spans="2:11" x14ac:dyDescent="0.6">
      <c r="B589" s="1">
        <v>592</v>
      </c>
      <c r="C589" s="2" t="str">
        <f>IF(VLOOKUP($B589,Q,2,FALSE)=0,"",(VLOOKUP($B589,Q,2,FALSE)))</f>
        <v/>
      </c>
      <c r="D589" s="2" t="str">
        <f>IF(VLOOKUP($B589,Q,3,FALSE)=0,"",(VLOOKUP($B589,Q,3,FALSE)))</f>
        <v/>
      </c>
      <c r="E589" s="2" t="str">
        <f>IF(VLOOKUP($B589,Q,8,FALSE)=0,"",(VLOOKUP($B589,Q,8,FALSE)))</f>
        <v/>
      </c>
      <c r="F589" s="19" t="str">
        <f>IF(VLOOKUP($B589,Q,9,FALSE)=0,"",(VLOOKUP($B589,Q,9,FALSE)))</f>
        <v/>
      </c>
      <c r="G589" s="2" t="str">
        <f>IF(VLOOKUP($B589,Q,10,FALSE)=0,"",(VLOOKUP($B589,Q,10,FALSE)))</f>
        <v/>
      </c>
      <c r="H589" s="2" t="str">
        <f>IF(VLOOKUP($B589,Q,14,FALSE)=0,"",(VLOOKUP($B589,Q,14,FALSE)))</f>
        <v/>
      </c>
      <c r="I589" s="2" t="str">
        <f>IF(VLOOKUP($B589,Q,14,FALSE)=0,"",(VLOOKUP($B589,Q,15,FALSE)))</f>
        <v/>
      </c>
      <c r="J589" s="2" t="str">
        <f>IF(VLOOKUP($B589,Q,14,FALSE)=0,"",(VLOOKUP($B589,Q,16,FALSE)))</f>
        <v/>
      </c>
      <c r="K589" s="2" t="str">
        <f>IF(VLOOKUP($B589,Q,14,FALSE)=0,"",(VLOOKUP($B589,Q,17,FALSE)))</f>
        <v/>
      </c>
    </row>
    <row r="590" spans="2:11" x14ac:dyDescent="0.6">
      <c r="B590" s="1">
        <v>593</v>
      </c>
      <c r="C590" s="2" t="str">
        <f>IF(VLOOKUP($B590,Q,2,FALSE)=0,"",(VLOOKUP($B590,Q,2,FALSE)))</f>
        <v/>
      </c>
      <c r="D590" s="2" t="str">
        <f>IF(VLOOKUP($B590,Q,3,FALSE)=0,"",(VLOOKUP($B590,Q,3,FALSE)))</f>
        <v/>
      </c>
      <c r="E590" s="2" t="str">
        <f>IF(VLOOKUP($B590,Q,8,FALSE)=0,"",(VLOOKUP($B590,Q,8,FALSE)))</f>
        <v/>
      </c>
      <c r="F590" s="19" t="str">
        <f>IF(VLOOKUP($B590,Q,9,FALSE)=0,"",(VLOOKUP($B590,Q,9,FALSE)))</f>
        <v/>
      </c>
      <c r="G590" s="2" t="str">
        <f>IF(VLOOKUP($B590,Q,10,FALSE)=0,"",(VLOOKUP($B590,Q,10,FALSE)))</f>
        <v/>
      </c>
      <c r="H590" s="2" t="str">
        <f>IF(VLOOKUP($B590,Q,14,FALSE)=0,"",(VLOOKUP($B590,Q,14,FALSE)))</f>
        <v/>
      </c>
      <c r="I590" s="2" t="str">
        <f>IF(VLOOKUP($B590,Q,14,FALSE)=0,"",(VLOOKUP($B590,Q,15,FALSE)))</f>
        <v/>
      </c>
      <c r="J590" s="2" t="str">
        <f>IF(VLOOKUP($B590,Q,14,FALSE)=0,"",(VLOOKUP($B590,Q,16,FALSE)))</f>
        <v/>
      </c>
      <c r="K590" s="2" t="str">
        <f>IF(VLOOKUP($B590,Q,14,FALSE)=0,"",(VLOOKUP($B590,Q,17,FALSE)))</f>
        <v/>
      </c>
    </row>
    <row r="591" spans="2:11" x14ac:dyDescent="0.6">
      <c r="B591" s="1">
        <v>594</v>
      </c>
      <c r="C591" s="2" t="str">
        <f>IF(VLOOKUP($B591,Q,2,FALSE)=0,"",(VLOOKUP($B591,Q,2,FALSE)))</f>
        <v/>
      </c>
      <c r="D591" s="2" t="str">
        <f>IF(VLOOKUP($B591,Q,3,FALSE)=0,"",(VLOOKUP($B591,Q,3,FALSE)))</f>
        <v/>
      </c>
      <c r="E591" s="2" t="str">
        <f>IF(VLOOKUP($B591,Q,8,FALSE)=0,"",(VLOOKUP($B591,Q,8,FALSE)))</f>
        <v/>
      </c>
      <c r="F591" s="19" t="str">
        <f>IF(VLOOKUP($B591,Q,9,FALSE)=0,"",(VLOOKUP($B591,Q,9,FALSE)))</f>
        <v/>
      </c>
      <c r="G591" s="2" t="str">
        <f>IF(VLOOKUP($B591,Q,10,FALSE)=0,"",(VLOOKUP($B591,Q,10,FALSE)))</f>
        <v/>
      </c>
      <c r="H591" s="2" t="str">
        <f>IF(VLOOKUP($B591,Q,14,FALSE)=0,"",(VLOOKUP($B591,Q,14,FALSE)))</f>
        <v/>
      </c>
      <c r="I591" s="2" t="str">
        <f>IF(VLOOKUP($B591,Q,14,FALSE)=0,"",(VLOOKUP($B591,Q,15,FALSE)))</f>
        <v/>
      </c>
      <c r="J591" s="2" t="str">
        <f>IF(VLOOKUP($B591,Q,14,FALSE)=0,"",(VLOOKUP($B591,Q,16,FALSE)))</f>
        <v/>
      </c>
      <c r="K591" s="2" t="str">
        <f>IF(VLOOKUP($B591,Q,14,FALSE)=0,"",(VLOOKUP($B591,Q,17,FALSE)))</f>
        <v/>
      </c>
    </row>
    <row r="592" spans="2:11" x14ac:dyDescent="0.6">
      <c r="B592" s="1">
        <v>595</v>
      </c>
      <c r="C592" s="2" t="str">
        <f>IF(VLOOKUP($B592,Q,2,FALSE)=0,"",(VLOOKUP($B592,Q,2,FALSE)))</f>
        <v/>
      </c>
      <c r="D592" s="2" t="str">
        <f>IF(VLOOKUP($B592,Q,3,FALSE)=0,"",(VLOOKUP($B592,Q,3,FALSE)))</f>
        <v/>
      </c>
      <c r="E592" s="2" t="str">
        <f>IF(VLOOKUP($B592,Q,8,FALSE)=0,"",(VLOOKUP($B592,Q,8,FALSE)))</f>
        <v/>
      </c>
      <c r="F592" s="19" t="str">
        <f>IF(VLOOKUP($B592,Q,9,FALSE)=0,"",(VLOOKUP($B592,Q,9,FALSE)))</f>
        <v/>
      </c>
      <c r="G592" s="2" t="str">
        <f>IF(VLOOKUP($B592,Q,10,FALSE)=0,"",(VLOOKUP($B592,Q,10,FALSE)))</f>
        <v/>
      </c>
      <c r="H592" s="2" t="str">
        <f>IF(VLOOKUP($B592,Q,14,FALSE)=0,"",(VLOOKUP($B592,Q,14,FALSE)))</f>
        <v/>
      </c>
      <c r="I592" s="2" t="str">
        <f>IF(VLOOKUP($B592,Q,14,FALSE)=0,"",(VLOOKUP($B592,Q,15,FALSE)))</f>
        <v/>
      </c>
      <c r="J592" s="2" t="str">
        <f>IF(VLOOKUP($B592,Q,14,FALSE)=0,"",(VLOOKUP($B592,Q,16,FALSE)))</f>
        <v/>
      </c>
      <c r="K592" s="2" t="str">
        <f>IF(VLOOKUP($B592,Q,14,FALSE)=0,"",(VLOOKUP($B592,Q,17,FALSE)))</f>
        <v/>
      </c>
    </row>
    <row r="593" spans="2:11" x14ac:dyDescent="0.6">
      <c r="B593" s="1">
        <v>596</v>
      </c>
      <c r="C593" s="2" t="str">
        <f>IF(VLOOKUP($B593,Q,2,FALSE)=0,"",(VLOOKUP($B593,Q,2,FALSE)))</f>
        <v/>
      </c>
      <c r="D593" s="2" t="str">
        <f>IF(VLOOKUP($B593,Q,3,FALSE)=0,"",(VLOOKUP($B593,Q,3,FALSE)))</f>
        <v/>
      </c>
      <c r="E593" s="2" t="str">
        <f>IF(VLOOKUP($B593,Q,8,FALSE)=0,"",(VLOOKUP($B593,Q,8,FALSE)))</f>
        <v/>
      </c>
      <c r="F593" s="19" t="str">
        <f>IF(VLOOKUP($B593,Q,9,FALSE)=0,"",(VLOOKUP($B593,Q,9,FALSE)))</f>
        <v/>
      </c>
      <c r="G593" s="2" t="str">
        <f>IF(VLOOKUP($B593,Q,10,FALSE)=0,"",(VLOOKUP($B593,Q,10,FALSE)))</f>
        <v/>
      </c>
      <c r="H593" s="2" t="str">
        <f>IF(VLOOKUP($B593,Q,14,FALSE)=0,"",(VLOOKUP($B593,Q,14,FALSE)))</f>
        <v/>
      </c>
      <c r="I593" s="2" t="str">
        <f>IF(VLOOKUP($B593,Q,14,FALSE)=0,"",(VLOOKUP($B593,Q,15,FALSE)))</f>
        <v/>
      </c>
      <c r="J593" s="2" t="str">
        <f>IF(VLOOKUP($B593,Q,14,FALSE)=0,"",(VLOOKUP($B593,Q,16,FALSE)))</f>
        <v/>
      </c>
      <c r="K593" s="2" t="str">
        <f>IF(VLOOKUP($B593,Q,14,FALSE)=0,"",(VLOOKUP($B593,Q,17,FALSE)))</f>
        <v/>
      </c>
    </row>
    <row r="594" spans="2:11" x14ac:dyDescent="0.6">
      <c r="B594" s="1">
        <v>597</v>
      </c>
      <c r="C594" s="2" t="str">
        <f>IF(VLOOKUP($B594,Q,2,FALSE)=0,"",(VLOOKUP($B594,Q,2,FALSE)))</f>
        <v/>
      </c>
      <c r="D594" s="2" t="str">
        <f>IF(VLOOKUP($B594,Q,3,FALSE)=0,"",(VLOOKUP($B594,Q,3,FALSE)))</f>
        <v/>
      </c>
      <c r="E594" s="2" t="str">
        <f>IF(VLOOKUP($B594,Q,8,FALSE)=0,"",(VLOOKUP($B594,Q,8,FALSE)))</f>
        <v/>
      </c>
      <c r="F594" s="19" t="str">
        <f>IF(VLOOKUP($B594,Q,9,FALSE)=0,"",(VLOOKUP($B594,Q,9,FALSE)))</f>
        <v/>
      </c>
      <c r="G594" s="2" t="str">
        <f>IF(VLOOKUP($B594,Q,10,FALSE)=0,"",(VLOOKUP($B594,Q,10,FALSE)))</f>
        <v/>
      </c>
      <c r="H594" s="2" t="str">
        <f>IF(VLOOKUP($B594,Q,14,FALSE)=0,"",(VLOOKUP($B594,Q,14,FALSE)))</f>
        <v/>
      </c>
      <c r="I594" s="2" t="str">
        <f>IF(VLOOKUP($B594,Q,14,FALSE)=0,"",(VLOOKUP($B594,Q,15,FALSE)))</f>
        <v/>
      </c>
      <c r="J594" s="2" t="str">
        <f>IF(VLOOKUP($B594,Q,14,FALSE)=0,"",(VLOOKUP($B594,Q,16,FALSE)))</f>
        <v/>
      </c>
      <c r="K594" s="2" t="str">
        <f>IF(VLOOKUP($B594,Q,14,FALSE)=0,"",(VLOOKUP($B594,Q,17,FALSE)))</f>
        <v/>
      </c>
    </row>
    <row r="595" spans="2:11" x14ac:dyDescent="0.6">
      <c r="B595" s="1">
        <v>598</v>
      </c>
      <c r="C595" s="2" t="str">
        <f>IF(VLOOKUP($B595,Q,2,FALSE)=0,"",(VLOOKUP($B595,Q,2,FALSE)))</f>
        <v/>
      </c>
      <c r="D595" s="2" t="str">
        <f>IF(VLOOKUP($B595,Q,3,FALSE)=0,"",(VLOOKUP($B595,Q,3,FALSE)))</f>
        <v/>
      </c>
      <c r="E595" s="2" t="str">
        <f>IF(VLOOKUP($B595,Q,8,FALSE)=0,"",(VLOOKUP($B595,Q,8,FALSE)))</f>
        <v/>
      </c>
      <c r="F595" s="19" t="str">
        <f>IF(VLOOKUP($B595,Q,9,FALSE)=0,"",(VLOOKUP($B595,Q,9,FALSE)))</f>
        <v/>
      </c>
      <c r="G595" s="2" t="str">
        <f>IF(VLOOKUP($B595,Q,10,FALSE)=0,"",(VLOOKUP($B595,Q,10,FALSE)))</f>
        <v/>
      </c>
      <c r="H595" s="2" t="str">
        <f>IF(VLOOKUP($B595,Q,14,FALSE)=0,"",(VLOOKUP($B595,Q,14,FALSE)))</f>
        <v/>
      </c>
      <c r="I595" s="2" t="str">
        <f>IF(VLOOKUP($B595,Q,14,FALSE)=0,"",(VLOOKUP($B595,Q,15,FALSE)))</f>
        <v/>
      </c>
      <c r="J595" s="2" t="str">
        <f>IF(VLOOKUP($B595,Q,14,FALSE)=0,"",(VLOOKUP($B595,Q,16,FALSE)))</f>
        <v/>
      </c>
      <c r="K595" s="2" t="str">
        <f>IF(VLOOKUP($B595,Q,14,FALSE)=0,"",(VLOOKUP($B595,Q,17,FALSE)))</f>
        <v/>
      </c>
    </row>
    <row r="596" spans="2:11" x14ac:dyDescent="0.6">
      <c r="B596" s="1">
        <v>599</v>
      </c>
      <c r="C596" s="2" t="str">
        <f>IF(VLOOKUP($B596,Q,2,FALSE)=0,"",(VLOOKUP($B596,Q,2,FALSE)))</f>
        <v/>
      </c>
      <c r="D596" s="2" t="str">
        <f>IF(VLOOKUP($B596,Q,3,FALSE)=0,"",(VLOOKUP($B596,Q,3,FALSE)))</f>
        <v/>
      </c>
      <c r="E596" s="2" t="str">
        <f>IF(VLOOKUP($B596,Q,8,FALSE)=0,"",(VLOOKUP($B596,Q,8,FALSE)))</f>
        <v/>
      </c>
      <c r="F596" s="19" t="str">
        <f>IF(VLOOKUP($B596,Q,9,FALSE)=0,"",(VLOOKUP($B596,Q,9,FALSE)))</f>
        <v/>
      </c>
      <c r="G596" s="2" t="str">
        <f>IF(VLOOKUP($B596,Q,10,FALSE)=0,"",(VLOOKUP($B596,Q,10,FALSE)))</f>
        <v/>
      </c>
      <c r="H596" s="2" t="str">
        <f>IF(VLOOKUP($B596,Q,14,FALSE)=0,"",(VLOOKUP($B596,Q,14,FALSE)))</f>
        <v/>
      </c>
      <c r="I596" s="2" t="str">
        <f>IF(VLOOKUP($B596,Q,14,FALSE)=0,"",(VLOOKUP($B596,Q,15,FALSE)))</f>
        <v/>
      </c>
      <c r="J596" s="2" t="str">
        <f>IF(VLOOKUP($B596,Q,14,FALSE)=0,"",(VLOOKUP($B596,Q,16,FALSE)))</f>
        <v/>
      </c>
      <c r="K596" s="2" t="str">
        <f>IF(VLOOKUP($B596,Q,14,FALSE)=0,"",(VLOOKUP($B596,Q,17,FALSE)))</f>
        <v/>
      </c>
    </row>
    <row r="597" spans="2:11" x14ac:dyDescent="0.6">
      <c r="B597" s="1">
        <v>600</v>
      </c>
      <c r="C597" s="2" t="str">
        <f>IF(VLOOKUP($B597,Q,2,FALSE)=0,"",(VLOOKUP($B597,Q,2,FALSE)))</f>
        <v/>
      </c>
      <c r="D597" s="2" t="str">
        <f>IF(VLOOKUP($B597,Q,3,FALSE)=0,"",(VLOOKUP($B597,Q,3,FALSE)))</f>
        <v/>
      </c>
      <c r="E597" s="2" t="str">
        <f>IF(VLOOKUP($B597,Q,8,FALSE)=0,"",(VLOOKUP($B597,Q,8,FALSE)))</f>
        <v/>
      </c>
      <c r="F597" s="19" t="str">
        <f>IF(VLOOKUP($B597,Q,9,FALSE)=0,"",(VLOOKUP($B597,Q,9,FALSE)))</f>
        <v/>
      </c>
      <c r="G597" s="2" t="str">
        <f>IF(VLOOKUP($B597,Q,10,FALSE)=0,"",(VLOOKUP($B597,Q,10,FALSE)))</f>
        <v/>
      </c>
      <c r="H597" s="2" t="str">
        <f>IF(VLOOKUP($B597,Q,14,FALSE)=0,"",(VLOOKUP($B597,Q,14,FALSE)))</f>
        <v/>
      </c>
      <c r="I597" s="2" t="str">
        <f>IF(VLOOKUP($B597,Q,14,FALSE)=0,"",(VLOOKUP($B597,Q,15,FALSE)))</f>
        <v/>
      </c>
      <c r="J597" s="2" t="str">
        <f>IF(VLOOKUP($B597,Q,14,FALSE)=0,"",(VLOOKUP($B597,Q,16,FALSE)))</f>
        <v/>
      </c>
      <c r="K597" s="2" t="str">
        <f>IF(VLOOKUP($B597,Q,14,FALSE)=0,"",(VLOOKUP($B597,Q,17,FALSE)))</f>
        <v/>
      </c>
    </row>
    <row r="598" spans="2:11" x14ac:dyDescent="0.6">
      <c r="B598" s="1">
        <v>601</v>
      </c>
      <c r="C598" s="2" t="str">
        <f>IF(VLOOKUP($B598,Q,2,FALSE)=0,"",(VLOOKUP($B598,Q,2,FALSE)))</f>
        <v/>
      </c>
      <c r="D598" s="2" t="str">
        <f>IF(VLOOKUP($B598,Q,3,FALSE)=0,"",(VLOOKUP($B598,Q,3,FALSE)))</f>
        <v/>
      </c>
      <c r="E598" s="2" t="str">
        <f>IF(VLOOKUP($B598,Q,8,FALSE)=0,"",(VLOOKUP($B598,Q,8,FALSE)))</f>
        <v/>
      </c>
      <c r="F598" s="19" t="str">
        <f>IF(VLOOKUP($B598,Q,9,FALSE)=0,"",(VLOOKUP($B598,Q,9,FALSE)))</f>
        <v/>
      </c>
      <c r="G598" s="2" t="str">
        <f>IF(VLOOKUP($B598,Q,10,FALSE)=0,"",(VLOOKUP($B598,Q,10,FALSE)))</f>
        <v/>
      </c>
      <c r="H598" s="2" t="str">
        <f>IF(VLOOKUP($B598,Q,14,FALSE)=0,"",(VLOOKUP($B598,Q,14,FALSE)))</f>
        <v/>
      </c>
      <c r="I598" s="2" t="str">
        <f>IF(VLOOKUP($B598,Q,14,FALSE)=0,"",(VLOOKUP($B598,Q,15,FALSE)))</f>
        <v/>
      </c>
      <c r="J598" s="2" t="str">
        <f>IF(VLOOKUP($B598,Q,14,FALSE)=0,"",(VLOOKUP($B598,Q,16,FALSE)))</f>
        <v/>
      </c>
      <c r="K598" s="2" t="str">
        <f>IF(VLOOKUP($B598,Q,14,FALSE)=0,"",(VLOOKUP($B598,Q,17,FALSE)))</f>
        <v/>
      </c>
    </row>
    <row r="599" spans="2:11" x14ac:dyDescent="0.6">
      <c r="B599" s="1">
        <v>602</v>
      </c>
      <c r="C599" s="2" t="str">
        <f>IF(VLOOKUP($B599,Q,2,FALSE)=0,"",(VLOOKUP($B599,Q,2,FALSE)))</f>
        <v/>
      </c>
      <c r="D599" s="2" t="str">
        <f>IF(VLOOKUP($B599,Q,3,FALSE)=0,"",(VLOOKUP($B599,Q,3,FALSE)))</f>
        <v/>
      </c>
      <c r="E599" s="2" t="str">
        <f>IF(VLOOKUP($B599,Q,8,FALSE)=0,"",(VLOOKUP($B599,Q,8,FALSE)))</f>
        <v/>
      </c>
      <c r="F599" s="19" t="str">
        <f>IF(VLOOKUP($B599,Q,9,FALSE)=0,"",(VLOOKUP($B599,Q,9,FALSE)))</f>
        <v/>
      </c>
      <c r="G599" s="2" t="str">
        <f>IF(VLOOKUP($B599,Q,10,FALSE)=0,"",(VLOOKUP($B599,Q,10,FALSE)))</f>
        <v/>
      </c>
      <c r="H599" s="2" t="str">
        <f>IF(VLOOKUP($B599,Q,14,FALSE)=0,"",(VLOOKUP($B599,Q,14,FALSE)))</f>
        <v/>
      </c>
      <c r="I599" s="2" t="str">
        <f>IF(VLOOKUP($B599,Q,14,FALSE)=0,"",(VLOOKUP($B599,Q,15,FALSE)))</f>
        <v/>
      </c>
      <c r="J599" s="2" t="str">
        <f>IF(VLOOKUP($B599,Q,14,FALSE)=0,"",(VLOOKUP($B599,Q,16,FALSE)))</f>
        <v/>
      </c>
      <c r="K599" s="2" t="str">
        <f>IF(VLOOKUP($B599,Q,14,FALSE)=0,"",(VLOOKUP($B599,Q,17,FALSE)))</f>
        <v/>
      </c>
    </row>
    <row r="600" spans="2:11" x14ac:dyDescent="0.6">
      <c r="B600" s="1">
        <v>603</v>
      </c>
      <c r="C600" s="2" t="str">
        <f>IF(VLOOKUP($B600,Q,2,FALSE)=0,"",(VLOOKUP($B600,Q,2,FALSE)))</f>
        <v/>
      </c>
      <c r="D600" s="2" t="str">
        <f>IF(VLOOKUP($B600,Q,3,FALSE)=0,"",(VLOOKUP($B600,Q,3,FALSE)))</f>
        <v/>
      </c>
      <c r="E600" s="2" t="str">
        <f>IF(VLOOKUP($B600,Q,8,FALSE)=0,"",(VLOOKUP($B600,Q,8,FALSE)))</f>
        <v/>
      </c>
      <c r="F600" s="19" t="str">
        <f>IF(VLOOKUP($B600,Q,9,FALSE)=0,"",(VLOOKUP($B600,Q,9,FALSE)))</f>
        <v/>
      </c>
      <c r="G600" s="2" t="str">
        <f>IF(VLOOKUP($B600,Q,10,FALSE)=0,"",(VLOOKUP($B600,Q,10,FALSE)))</f>
        <v/>
      </c>
      <c r="H600" s="2" t="str">
        <f>IF(VLOOKUP($B600,Q,14,FALSE)=0,"",(VLOOKUP($B600,Q,14,FALSE)))</f>
        <v/>
      </c>
      <c r="I600" s="2" t="str">
        <f>IF(VLOOKUP($B600,Q,14,FALSE)=0,"",(VLOOKUP($B600,Q,15,FALSE)))</f>
        <v/>
      </c>
      <c r="J600" s="2" t="str">
        <f>IF(VLOOKUP($B600,Q,14,FALSE)=0,"",(VLOOKUP($B600,Q,16,FALSE)))</f>
        <v/>
      </c>
      <c r="K600" s="2" t="str">
        <f>IF(VLOOKUP($B600,Q,14,FALSE)=0,"",(VLOOKUP($B600,Q,17,FALSE)))</f>
        <v/>
      </c>
    </row>
    <row r="601" spans="2:11" x14ac:dyDescent="0.6">
      <c r="B601" s="1">
        <v>604</v>
      </c>
      <c r="C601" s="2" t="str">
        <f>IF(VLOOKUP($B601,Q,2,FALSE)=0,"",(VLOOKUP($B601,Q,2,FALSE)))</f>
        <v/>
      </c>
      <c r="D601" s="2" t="str">
        <f>IF(VLOOKUP($B601,Q,3,FALSE)=0,"",(VLOOKUP($B601,Q,3,FALSE)))</f>
        <v/>
      </c>
      <c r="E601" s="2" t="str">
        <f>IF(VLOOKUP($B601,Q,8,FALSE)=0,"",(VLOOKUP($B601,Q,8,FALSE)))</f>
        <v/>
      </c>
      <c r="F601" s="19" t="str">
        <f>IF(VLOOKUP($B601,Q,9,FALSE)=0,"",(VLOOKUP($B601,Q,9,FALSE)))</f>
        <v/>
      </c>
      <c r="G601" s="2" t="str">
        <f>IF(VLOOKUP($B601,Q,10,FALSE)=0,"",(VLOOKUP($B601,Q,10,FALSE)))</f>
        <v/>
      </c>
      <c r="H601" s="2" t="str">
        <f>IF(VLOOKUP($B601,Q,14,FALSE)=0,"",(VLOOKUP($B601,Q,14,FALSE)))</f>
        <v/>
      </c>
      <c r="I601" s="2" t="str">
        <f>IF(VLOOKUP($B601,Q,14,FALSE)=0,"",(VLOOKUP($B601,Q,15,FALSE)))</f>
        <v/>
      </c>
      <c r="J601" s="2" t="str">
        <f>IF(VLOOKUP($B601,Q,14,FALSE)=0,"",(VLOOKUP($B601,Q,16,FALSE)))</f>
        <v/>
      </c>
      <c r="K601" s="2" t="str">
        <f>IF(VLOOKUP($B601,Q,14,FALSE)=0,"",(VLOOKUP($B601,Q,17,FALSE)))</f>
        <v/>
      </c>
    </row>
    <row r="602" spans="2:11" x14ac:dyDescent="0.6">
      <c r="B602" s="1">
        <v>605</v>
      </c>
      <c r="C602" s="2" t="str">
        <f>IF(VLOOKUP($B602,Q,2,FALSE)=0,"",(VLOOKUP($B602,Q,2,FALSE)))</f>
        <v/>
      </c>
      <c r="D602" s="2" t="str">
        <f>IF(VLOOKUP($B602,Q,3,FALSE)=0,"",(VLOOKUP($B602,Q,3,FALSE)))</f>
        <v/>
      </c>
      <c r="E602" s="2" t="str">
        <f>IF(VLOOKUP($B602,Q,8,FALSE)=0,"",(VLOOKUP($B602,Q,8,FALSE)))</f>
        <v/>
      </c>
      <c r="F602" s="19" t="str">
        <f>IF(VLOOKUP($B602,Q,9,FALSE)=0,"",(VLOOKUP($B602,Q,9,FALSE)))</f>
        <v/>
      </c>
      <c r="G602" s="2" t="str">
        <f>IF(VLOOKUP($B602,Q,10,FALSE)=0,"",(VLOOKUP($B602,Q,10,FALSE)))</f>
        <v/>
      </c>
      <c r="H602" s="2" t="str">
        <f>IF(VLOOKUP($B602,Q,14,FALSE)=0,"",(VLOOKUP($B602,Q,14,FALSE)))</f>
        <v/>
      </c>
      <c r="I602" s="2" t="str">
        <f>IF(VLOOKUP($B602,Q,14,FALSE)=0,"",(VLOOKUP($B602,Q,15,FALSE)))</f>
        <v/>
      </c>
      <c r="J602" s="2" t="str">
        <f>IF(VLOOKUP($B602,Q,14,FALSE)=0,"",(VLOOKUP($B602,Q,16,FALSE)))</f>
        <v/>
      </c>
      <c r="K602" s="2" t="str">
        <f>IF(VLOOKUP($B602,Q,14,FALSE)=0,"",(VLOOKUP($B602,Q,17,FALSE)))</f>
        <v/>
      </c>
    </row>
    <row r="603" spans="2:11" x14ac:dyDescent="0.6">
      <c r="B603" s="1">
        <v>606</v>
      </c>
      <c r="C603" s="2" t="str">
        <f>IF(VLOOKUP($B603,Q,2,FALSE)=0,"",(VLOOKUP($B603,Q,2,FALSE)))</f>
        <v/>
      </c>
      <c r="D603" s="2" t="str">
        <f>IF(VLOOKUP($B603,Q,3,FALSE)=0,"",(VLOOKUP($B603,Q,3,FALSE)))</f>
        <v/>
      </c>
      <c r="E603" s="2" t="str">
        <f>IF(VLOOKUP($B603,Q,8,FALSE)=0,"",(VLOOKUP($B603,Q,8,FALSE)))</f>
        <v/>
      </c>
      <c r="F603" s="19" t="str">
        <f>IF(VLOOKUP($B603,Q,9,FALSE)=0,"",(VLOOKUP($B603,Q,9,FALSE)))</f>
        <v/>
      </c>
      <c r="G603" s="2" t="str">
        <f>IF(VLOOKUP($B603,Q,10,FALSE)=0,"",(VLOOKUP($B603,Q,10,FALSE)))</f>
        <v/>
      </c>
      <c r="H603" s="2" t="str">
        <f>IF(VLOOKUP($B603,Q,14,FALSE)=0,"",(VLOOKUP($B603,Q,14,FALSE)))</f>
        <v/>
      </c>
      <c r="I603" s="2" t="str">
        <f>IF(VLOOKUP($B603,Q,14,FALSE)=0,"",(VLOOKUP($B603,Q,15,FALSE)))</f>
        <v/>
      </c>
      <c r="J603" s="2" t="str">
        <f>IF(VLOOKUP($B603,Q,14,FALSE)=0,"",(VLOOKUP($B603,Q,16,FALSE)))</f>
        <v/>
      </c>
      <c r="K603" s="2" t="str">
        <f>IF(VLOOKUP($B603,Q,14,FALSE)=0,"",(VLOOKUP($B603,Q,17,FALSE)))</f>
        <v/>
      </c>
    </row>
    <row r="604" spans="2:11" x14ac:dyDescent="0.6">
      <c r="B604" s="1">
        <v>607</v>
      </c>
      <c r="C604" s="2" t="str">
        <f>IF(VLOOKUP($B604,Q,2,FALSE)=0,"",(VLOOKUP($B604,Q,2,FALSE)))</f>
        <v/>
      </c>
      <c r="D604" s="2" t="str">
        <f>IF(VLOOKUP($B604,Q,3,FALSE)=0,"",(VLOOKUP($B604,Q,3,FALSE)))</f>
        <v/>
      </c>
      <c r="E604" s="2" t="str">
        <f>IF(VLOOKUP($B604,Q,8,FALSE)=0,"",(VLOOKUP($B604,Q,8,FALSE)))</f>
        <v/>
      </c>
      <c r="F604" s="19" t="str">
        <f>IF(VLOOKUP($B604,Q,9,FALSE)=0,"",(VLOOKUP($B604,Q,9,FALSE)))</f>
        <v/>
      </c>
      <c r="G604" s="2" t="str">
        <f>IF(VLOOKUP($B604,Q,10,FALSE)=0,"",(VLOOKUP($B604,Q,10,FALSE)))</f>
        <v/>
      </c>
      <c r="H604" s="2" t="str">
        <f>IF(VLOOKUP($B604,Q,14,FALSE)=0,"",(VLOOKUP($B604,Q,14,FALSE)))</f>
        <v/>
      </c>
      <c r="I604" s="2" t="str">
        <f>IF(VLOOKUP($B604,Q,14,FALSE)=0,"",(VLOOKUP($B604,Q,15,FALSE)))</f>
        <v/>
      </c>
      <c r="J604" s="2" t="str">
        <f>IF(VLOOKUP($B604,Q,14,FALSE)=0,"",(VLOOKUP($B604,Q,16,FALSE)))</f>
        <v/>
      </c>
      <c r="K604" s="2" t="str">
        <f>IF(VLOOKUP($B604,Q,14,FALSE)=0,"",(VLOOKUP($B604,Q,17,FALSE)))</f>
        <v/>
      </c>
    </row>
    <row r="605" spans="2:11" x14ac:dyDescent="0.6">
      <c r="B605" s="1">
        <v>608</v>
      </c>
      <c r="C605" s="2" t="str">
        <f>IF(VLOOKUP($B605,Q,2,FALSE)=0,"",(VLOOKUP($B605,Q,2,FALSE)))</f>
        <v/>
      </c>
      <c r="D605" s="2" t="str">
        <f>IF(VLOOKUP($B605,Q,3,FALSE)=0,"",(VLOOKUP($B605,Q,3,FALSE)))</f>
        <v/>
      </c>
      <c r="E605" s="2" t="str">
        <f>IF(VLOOKUP($B605,Q,8,FALSE)=0,"",(VLOOKUP($B605,Q,8,FALSE)))</f>
        <v/>
      </c>
      <c r="F605" s="19" t="str">
        <f>IF(VLOOKUP($B605,Q,9,FALSE)=0,"",(VLOOKUP($B605,Q,9,FALSE)))</f>
        <v/>
      </c>
      <c r="G605" s="2" t="str">
        <f>IF(VLOOKUP($B605,Q,10,FALSE)=0,"",(VLOOKUP($B605,Q,10,FALSE)))</f>
        <v/>
      </c>
      <c r="H605" s="2" t="str">
        <f>IF(VLOOKUP($B605,Q,14,FALSE)=0,"",(VLOOKUP($B605,Q,14,FALSE)))</f>
        <v/>
      </c>
      <c r="I605" s="2" t="str">
        <f>IF(VLOOKUP($B605,Q,14,FALSE)=0,"",(VLOOKUP($B605,Q,15,FALSE)))</f>
        <v/>
      </c>
      <c r="J605" s="2" t="str">
        <f>IF(VLOOKUP($B605,Q,14,FALSE)=0,"",(VLOOKUP($B605,Q,16,FALSE)))</f>
        <v/>
      </c>
      <c r="K605" s="2" t="str">
        <f>IF(VLOOKUP($B605,Q,14,FALSE)=0,"",(VLOOKUP($B605,Q,17,FALSE)))</f>
        <v/>
      </c>
    </row>
    <row r="606" spans="2:11" x14ac:dyDescent="0.6">
      <c r="B606" s="1">
        <v>609</v>
      </c>
      <c r="C606" s="2" t="str">
        <f>IF(VLOOKUP($B606,Q,2,FALSE)=0,"",(VLOOKUP($B606,Q,2,FALSE)))</f>
        <v/>
      </c>
      <c r="D606" s="2" t="str">
        <f>IF(VLOOKUP($B606,Q,3,FALSE)=0,"",(VLOOKUP($B606,Q,3,FALSE)))</f>
        <v/>
      </c>
      <c r="E606" s="2" t="str">
        <f>IF(VLOOKUP($B606,Q,8,FALSE)=0,"",(VLOOKUP($B606,Q,8,FALSE)))</f>
        <v/>
      </c>
      <c r="F606" s="19" t="str">
        <f>IF(VLOOKUP($B606,Q,9,FALSE)=0,"",(VLOOKUP($B606,Q,9,FALSE)))</f>
        <v/>
      </c>
      <c r="G606" s="2" t="str">
        <f>IF(VLOOKUP($B606,Q,10,FALSE)=0,"",(VLOOKUP($B606,Q,10,FALSE)))</f>
        <v/>
      </c>
      <c r="H606" s="2" t="str">
        <f>IF(VLOOKUP($B606,Q,14,FALSE)=0,"",(VLOOKUP($B606,Q,14,FALSE)))</f>
        <v/>
      </c>
      <c r="I606" s="2" t="str">
        <f>IF(VLOOKUP($B606,Q,14,FALSE)=0,"",(VLOOKUP($B606,Q,15,FALSE)))</f>
        <v/>
      </c>
      <c r="J606" s="2" t="str">
        <f>IF(VLOOKUP($B606,Q,14,FALSE)=0,"",(VLOOKUP($B606,Q,16,FALSE)))</f>
        <v/>
      </c>
      <c r="K606" s="2" t="str">
        <f>IF(VLOOKUP($B606,Q,14,FALSE)=0,"",(VLOOKUP($B606,Q,17,FALSE)))</f>
        <v/>
      </c>
    </row>
    <row r="607" spans="2:11" x14ac:dyDescent="0.6">
      <c r="B607" s="1">
        <v>610</v>
      </c>
      <c r="C607" s="2" t="str">
        <f>IF(VLOOKUP($B607,Q,2,FALSE)=0,"",(VLOOKUP($B607,Q,2,FALSE)))</f>
        <v/>
      </c>
      <c r="D607" s="2" t="str">
        <f>IF(VLOOKUP($B607,Q,3,FALSE)=0,"",(VLOOKUP($B607,Q,3,FALSE)))</f>
        <v/>
      </c>
      <c r="E607" s="2" t="str">
        <f>IF(VLOOKUP($B607,Q,8,FALSE)=0,"",(VLOOKUP($B607,Q,8,FALSE)))</f>
        <v/>
      </c>
      <c r="F607" s="19" t="str">
        <f>IF(VLOOKUP($B607,Q,9,FALSE)=0,"",(VLOOKUP($B607,Q,9,FALSE)))</f>
        <v/>
      </c>
      <c r="G607" s="2" t="str">
        <f>IF(VLOOKUP($B607,Q,10,FALSE)=0,"",(VLOOKUP($B607,Q,10,FALSE)))</f>
        <v/>
      </c>
      <c r="H607" s="2" t="str">
        <f>IF(VLOOKUP($B607,Q,14,FALSE)=0,"",(VLOOKUP($B607,Q,14,FALSE)))</f>
        <v/>
      </c>
      <c r="I607" s="2" t="str">
        <f>IF(VLOOKUP($B607,Q,14,FALSE)=0,"",(VLOOKUP($B607,Q,15,FALSE)))</f>
        <v/>
      </c>
      <c r="J607" s="2" t="str">
        <f>IF(VLOOKUP($B607,Q,14,FALSE)=0,"",(VLOOKUP($B607,Q,16,FALSE)))</f>
        <v/>
      </c>
      <c r="K607" s="2" t="str">
        <f>IF(VLOOKUP($B607,Q,14,FALSE)=0,"",(VLOOKUP($B607,Q,17,FALSE)))</f>
        <v/>
      </c>
    </row>
    <row r="608" spans="2:11" x14ac:dyDescent="0.6">
      <c r="B608" s="1">
        <v>611</v>
      </c>
      <c r="C608" s="2" t="str">
        <f>IF(VLOOKUP($B608,Q,2,FALSE)=0,"",(VLOOKUP($B608,Q,2,FALSE)))</f>
        <v/>
      </c>
      <c r="D608" s="2" t="str">
        <f>IF(VLOOKUP($B608,Q,3,FALSE)=0,"",(VLOOKUP($B608,Q,3,FALSE)))</f>
        <v/>
      </c>
      <c r="E608" s="2" t="str">
        <f>IF(VLOOKUP($B608,Q,8,FALSE)=0,"",(VLOOKUP($B608,Q,8,FALSE)))</f>
        <v/>
      </c>
      <c r="F608" s="19" t="str">
        <f>IF(VLOOKUP($B608,Q,9,FALSE)=0,"",(VLOOKUP($B608,Q,9,FALSE)))</f>
        <v/>
      </c>
      <c r="G608" s="2" t="str">
        <f>IF(VLOOKUP($B608,Q,10,FALSE)=0,"",(VLOOKUP($B608,Q,10,FALSE)))</f>
        <v/>
      </c>
      <c r="H608" s="2" t="str">
        <f>IF(VLOOKUP($B608,Q,14,FALSE)=0,"",(VLOOKUP($B608,Q,14,FALSE)))</f>
        <v/>
      </c>
      <c r="I608" s="2" t="str">
        <f>IF(VLOOKUP($B608,Q,14,FALSE)=0,"",(VLOOKUP($B608,Q,15,FALSE)))</f>
        <v/>
      </c>
      <c r="J608" s="2" t="str">
        <f>IF(VLOOKUP($B608,Q,14,FALSE)=0,"",(VLOOKUP($B608,Q,16,FALSE)))</f>
        <v/>
      </c>
      <c r="K608" s="2" t="str">
        <f>IF(VLOOKUP($B608,Q,14,FALSE)=0,"",(VLOOKUP($B608,Q,17,FALSE)))</f>
        <v/>
      </c>
    </row>
    <row r="609" spans="2:11" x14ac:dyDescent="0.6">
      <c r="B609" s="1">
        <v>612</v>
      </c>
      <c r="C609" s="2" t="str">
        <f>IF(VLOOKUP($B609,Q,2,FALSE)=0,"",(VLOOKUP($B609,Q,2,FALSE)))</f>
        <v/>
      </c>
      <c r="D609" s="2" t="str">
        <f>IF(VLOOKUP($B609,Q,3,FALSE)=0,"",(VLOOKUP($B609,Q,3,FALSE)))</f>
        <v/>
      </c>
      <c r="E609" s="2" t="str">
        <f>IF(VLOOKUP($B609,Q,8,FALSE)=0,"",(VLOOKUP($B609,Q,8,FALSE)))</f>
        <v/>
      </c>
      <c r="F609" s="19" t="str">
        <f>IF(VLOOKUP($B609,Q,9,FALSE)=0,"",(VLOOKUP($B609,Q,9,FALSE)))</f>
        <v/>
      </c>
      <c r="G609" s="2" t="str">
        <f>IF(VLOOKUP($B609,Q,10,FALSE)=0,"",(VLOOKUP($B609,Q,10,FALSE)))</f>
        <v/>
      </c>
      <c r="H609" s="2" t="str">
        <f>IF(VLOOKUP($B609,Q,14,FALSE)=0,"",(VLOOKUP($B609,Q,14,FALSE)))</f>
        <v/>
      </c>
      <c r="I609" s="2" t="str">
        <f>IF(VLOOKUP($B609,Q,14,FALSE)=0,"",(VLOOKUP($B609,Q,15,FALSE)))</f>
        <v/>
      </c>
      <c r="J609" s="2" t="str">
        <f>IF(VLOOKUP($B609,Q,14,FALSE)=0,"",(VLOOKUP($B609,Q,16,FALSE)))</f>
        <v/>
      </c>
      <c r="K609" s="2" t="str">
        <f>IF(VLOOKUP($B609,Q,14,FALSE)=0,"",(VLOOKUP($B609,Q,17,FALSE)))</f>
        <v/>
      </c>
    </row>
    <row r="610" spans="2:11" x14ac:dyDescent="0.6">
      <c r="B610" s="1">
        <v>613</v>
      </c>
      <c r="C610" s="2" t="str">
        <f>IF(VLOOKUP($B610,Q,2,FALSE)=0,"",(VLOOKUP($B610,Q,2,FALSE)))</f>
        <v/>
      </c>
      <c r="D610" s="2" t="str">
        <f>IF(VLOOKUP($B610,Q,3,FALSE)=0,"",(VLOOKUP($B610,Q,3,FALSE)))</f>
        <v/>
      </c>
      <c r="E610" s="2" t="str">
        <f>IF(VLOOKUP($B610,Q,8,FALSE)=0,"",(VLOOKUP($B610,Q,8,FALSE)))</f>
        <v/>
      </c>
      <c r="F610" s="19" t="str">
        <f>IF(VLOOKUP($B610,Q,9,FALSE)=0,"",(VLOOKUP($B610,Q,9,FALSE)))</f>
        <v/>
      </c>
      <c r="G610" s="2" t="str">
        <f>IF(VLOOKUP($B610,Q,10,FALSE)=0,"",(VLOOKUP($B610,Q,10,FALSE)))</f>
        <v/>
      </c>
      <c r="H610" s="2" t="str">
        <f>IF(VLOOKUP($B610,Q,14,FALSE)=0,"",(VLOOKUP($B610,Q,14,FALSE)))</f>
        <v/>
      </c>
      <c r="I610" s="2" t="str">
        <f>IF(VLOOKUP($B610,Q,14,FALSE)=0,"",(VLOOKUP($B610,Q,15,FALSE)))</f>
        <v/>
      </c>
      <c r="J610" s="2" t="str">
        <f>IF(VLOOKUP($B610,Q,14,FALSE)=0,"",(VLOOKUP($B610,Q,16,FALSE)))</f>
        <v/>
      </c>
      <c r="K610" s="2" t="str">
        <f>IF(VLOOKUP($B610,Q,14,FALSE)=0,"",(VLOOKUP($B610,Q,17,FALSE)))</f>
        <v/>
      </c>
    </row>
    <row r="611" spans="2:11" x14ac:dyDescent="0.6">
      <c r="B611" s="1">
        <v>614</v>
      </c>
      <c r="C611" s="2" t="str">
        <f>IF(VLOOKUP($B611,Q,2,FALSE)=0,"",(VLOOKUP($B611,Q,2,FALSE)))</f>
        <v/>
      </c>
      <c r="D611" s="2" t="str">
        <f>IF(VLOOKUP($B611,Q,3,FALSE)=0,"",(VLOOKUP($B611,Q,3,FALSE)))</f>
        <v/>
      </c>
      <c r="E611" s="2" t="str">
        <f>IF(VLOOKUP($B611,Q,8,FALSE)=0,"",(VLOOKUP($B611,Q,8,FALSE)))</f>
        <v/>
      </c>
      <c r="F611" s="19" t="str">
        <f>IF(VLOOKUP($B611,Q,9,FALSE)=0,"",(VLOOKUP($B611,Q,9,FALSE)))</f>
        <v/>
      </c>
      <c r="G611" s="2" t="str">
        <f>IF(VLOOKUP($B611,Q,10,FALSE)=0,"",(VLOOKUP($B611,Q,10,FALSE)))</f>
        <v/>
      </c>
      <c r="H611" s="2" t="str">
        <f>IF(VLOOKUP($B611,Q,14,FALSE)=0,"",(VLOOKUP($B611,Q,14,FALSE)))</f>
        <v/>
      </c>
      <c r="I611" s="2" t="str">
        <f>IF(VLOOKUP($B611,Q,14,FALSE)=0,"",(VLOOKUP($B611,Q,15,FALSE)))</f>
        <v/>
      </c>
      <c r="J611" s="2" t="str">
        <f>IF(VLOOKUP($B611,Q,14,FALSE)=0,"",(VLOOKUP($B611,Q,16,FALSE)))</f>
        <v/>
      </c>
      <c r="K611" s="2" t="str">
        <f>IF(VLOOKUP($B611,Q,14,FALSE)=0,"",(VLOOKUP($B611,Q,17,FALSE)))</f>
        <v/>
      </c>
    </row>
    <row r="612" spans="2:11" x14ac:dyDescent="0.6">
      <c r="B612" s="1">
        <v>615</v>
      </c>
      <c r="C612" s="2" t="str">
        <f>IF(VLOOKUP($B612,Q,2,FALSE)=0,"",(VLOOKUP($B612,Q,2,FALSE)))</f>
        <v/>
      </c>
      <c r="D612" s="2" t="str">
        <f>IF(VLOOKUP($B612,Q,3,FALSE)=0,"",(VLOOKUP($B612,Q,3,FALSE)))</f>
        <v/>
      </c>
      <c r="E612" s="2" t="str">
        <f>IF(VLOOKUP($B612,Q,8,FALSE)=0,"",(VLOOKUP($B612,Q,8,FALSE)))</f>
        <v/>
      </c>
      <c r="F612" s="19" t="str">
        <f>IF(VLOOKUP($B612,Q,9,FALSE)=0,"",(VLOOKUP($B612,Q,9,FALSE)))</f>
        <v/>
      </c>
      <c r="G612" s="2" t="str">
        <f>IF(VLOOKUP($B612,Q,10,FALSE)=0,"",(VLOOKUP($B612,Q,10,FALSE)))</f>
        <v/>
      </c>
      <c r="H612" s="2" t="str">
        <f>IF(VLOOKUP($B612,Q,14,FALSE)=0,"",(VLOOKUP($B612,Q,14,FALSE)))</f>
        <v/>
      </c>
      <c r="I612" s="2" t="str">
        <f>IF(VLOOKUP($B612,Q,14,FALSE)=0,"",(VLOOKUP($B612,Q,15,FALSE)))</f>
        <v/>
      </c>
      <c r="J612" s="2" t="str">
        <f>IF(VLOOKUP($B612,Q,14,FALSE)=0,"",(VLOOKUP($B612,Q,16,FALSE)))</f>
        <v/>
      </c>
      <c r="K612" s="2" t="str">
        <f>IF(VLOOKUP($B612,Q,14,FALSE)=0,"",(VLOOKUP($B612,Q,17,FALSE)))</f>
        <v/>
      </c>
    </row>
    <row r="613" spans="2:11" x14ac:dyDescent="0.6">
      <c r="B613" s="1">
        <v>616</v>
      </c>
      <c r="C613" s="2" t="str">
        <f>IF(VLOOKUP($B613,Q,2,FALSE)=0,"",(VLOOKUP($B613,Q,2,FALSE)))</f>
        <v/>
      </c>
      <c r="D613" s="2" t="str">
        <f>IF(VLOOKUP($B613,Q,3,FALSE)=0,"",(VLOOKUP($B613,Q,3,FALSE)))</f>
        <v/>
      </c>
      <c r="E613" s="2" t="str">
        <f>IF(VLOOKUP($B613,Q,8,FALSE)=0,"",(VLOOKUP($B613,Q,8,FALSE)))</f>
        <v/>
      </c>
      <c r="F613" s="19" t="str">
        <f>IF(VLOOKUP($B613,Q,9,FALSE)=0,"",(VLOOKUP($B613,Q,9,FALSE)))</f>
        <v/>
      </c>
      <c r="G613" s="2" t="str">
        <f>IF(VLOOKUP($B613,Q,10,FALSE)=0,"",(VLOOKUP($B613,Q,10,FALSE)))</f>
        <v/>
      </c>
      <c r="H613" s="2" t="str">
        <f>IF(VLOOKUP($B613,Q,14,FALSE)=0,"",(VLOOKUP($B613,Q,14,FALSE)))</f>
        <v/>
      </c>
      <c r="I613" s="2" t="str">
        <f>IF(VLOOKUP($B613,Q,14,FALSE)=0,"",(VLOOKUP($B613,Q,15,FALSE)))</f>
        <v/>
      </c>
      <c r="J613" s="2" t="str">
        <f>IF(VLOOKUP($B613,Q,14,FALSE)=0,"",(VLOOKUP($B613,Q,16,FALSE)))</f>
        <v/>
      </c>
      <c r="K613" s="2" t="str">
        <f>IF(VLOOKUP($B613,Q,14,FALSE)=0,"",(VLOOKUP($B613,Q,17,FALSE)))</f>
        <v/>
      </c>
    </row>
    <row r="614" spans="2:11" x14ac:dyDescent="0.6">
      <c r="B614" s="1">
        <v>617</v>
      </c>
      <c r="C614" s="2" t="str">
        <f>IF(VLOOKUP($B614,Q,2,FALSE)=0,"",(VLOOKUP($B614,Q,2,FALSE)))</f>
        <v/>
      </c>
      <c r="D614" s="2" t="str">
        <f>IF(VLOOKUP($B614,Q,3,FALSE)=0,"",(VLOOKUP($B614,Q,3,FALSE)))</f>
        <v/>
      </c>
      <c r="E614" s="2" t="str">
        <f>IF(VLOOKUP($B614,Q,8,FALSE)=0,"",(VLOOKUP($B614,Q,8,FALSE)))</f>
        <v/>
      </c>
      <c r="F614" s="19" t="str">
        <f>IF(VLOOKUP($B614,Q,9,FALSE)=0,"",(VLOOKUP($B614,Q,9,FALSE)))</f>
        <v/>
      </c>
      <c r="G614" s="2" t="str">
        <f>IF(VLOOKUP($B614,Q,10,FALSE)=0,"",(VLOOKUP($B614,Q,10,FALSE)))</f>
        <v/>
      </c>
      <c r="H614" s="2" t="str">
        <f>IF(VLOOKUP($B614,Q,14,FALSE)=0,"",(VLOOKUP($B614,Q,14,FALSE)))</f>
        <v/>
      </c>
      <c r="I614" s="2" t="str">
        <f>IF(VLOOKUP($B614,Q,14,FALSE)=0,"",(VLOOKUP($B614,Q,15,FALSE)))</f>
        <v/>
      </c>
      <c r="J614" s="2" t="str">
        <f>IF(VLOOKUP($B614,Q,14,FALSE)=0,"",(VLOOKUP($B614,Q,16,FALSE)))</f>
        <v/>
      </c>
      <c r="K614" s="2" t="str">
        <f>IF(VLOOKUP($B614,Q,14,FALSE)=0,"",(VLOOKUP($B614,Q,17,FALSE)))</f>
        <v/>
      </c>
    </row>
    <row r="615" spans="2:11" x14ac:dyDescent="0.6">
      <c r="B615" s="1">
        <v>618</v>
      </c>
      <c r="C615" s="2" t="str">
        <f>IF(VLOOKUP($B615,Q,2,FALSE)=0,"",(VLOOKUP($B615,Q,2,FALSE)))</f>
        <v/>
      </c>
      <c r="D615" s="2" t="str">
        <f>IF(VLOOKUP($B615,Q,3,FALSE)=0,"",(VLOOKUP($B615,Q,3,FALSE)))</f>
        <v/>
      </c>
      <c r="E615" s="2" t="str">
        <f>IF(VLOOKUP($B615,Q,8,FALSE)=0,"",(VLOOKUP($B615,Q,8,FALSE)))</f>
        <v/>
      </c>
      <c r="F615" s="19" t="str">
        <f>IF(VLOOKUP($B615,Q,9,FALSE)=0,"",(VLOOKUP($B615,Q,9,FALSE)))</f>
        <v/>
      </c>
      <c r="G615" s="2" t="str">
        <f>IF(VLOOKUP($B615,Q,10,FALSE)=0,"",(VLOOKUP($B615,Q,10,FALSE)))</f>
        <v/>
      </c>
      <c r="H615" s="2" t="str">
        <f>IF(VLOOKUP($B615,Q,14,FALSE)=0,"",(VLOOKUP($B615,Q,14,FALSE)))</f>
        <v/>
      </c>
      <c r="I615" s="2" t="str">
        <f>IF(VLOOKUP($B615,Q,14,FALSE)=0,"",(VLOOKUP($B615,Q,15,FALSE)))</f>
        <v/>
      </c>
      <c r="J615" s="2" t="str">
        <f>IF(VLOOKUP($B615,Q,14,FALSE)=0,"",(VLOOKUP($B615,Q,16,FALSE)))</f>
        <v/>
      </c>
      <c r="K615" s="2" t="str">
        <f>IF(VLOOKUP($B615,Q,14,FALSE)=0,"",(VLOOKUP($B615,Q,17,FALSE)))</f>
        <v/>
      </c>
    </row>
    <row r="616" spans="2:11" x14ac:dyDescent="0.6">
      <c r="B616" s="1">
        <v>619</v>
      </c>
      <c r="C616" s="2" t="str">
        <f>IF(VLOOKUP($B616,Q,2,FALSE)=0,"",(VLOOKUP($B616,Q,2,FALSE)))</f>
        <v/>
      </c>
      <c r="D616" s="2" t="str">
        <f>IF(VLOOKUP($B616,Q,3,FALSE)=0,"",(VLOOKUP($B616,Q,3,FALSE)))</f>
        <v/>
      </c>
      <c r="E616" s="2" t="str">
        <f>IF(VLOOKUP($B616,Q,8,FALSE)=0,"",(VLOOKUP($B616,Q,8,FALSE)))</f>
        <v/>
      </c>
      <c r="F616" s="19" t="str">
        <f>IF(VLOOKUP($B616,Q,9,FALSE)=0,"",(VLOOKUP($B616,Q,9,FALSE)))</f>
        <v/>
      </c>
      <c r="G616" s="2" t="str">
        <f>IF(VLOOKUP($B616,Q,10,FALSE)=0,"",(VLOOKUP($B616,Q,10,FALSE)))</f>
        <v/>
      </c>
      <c r="H616" s="2" t="str">
        <f>IF(VLOOKUP($B616,Q,14,FALSE)=0,"",(VLOOKUP($B616,Q,14,FALSE)))</f>
        <v/>
      </c>
      <c r="I616" s="2" t="str">
        <f>IF(VLOOKUP($B616,Q,14,FALSE)=0,"",(VLOOKUP($B616,Q,15,FALSE)))</f>
        <v/>
      </c>
      <c r="J616" s="2" t="str">
        <f>IF(VLOOKUP($B616,Q,14,FALSE)=0,"",(VLOOKUP($B616,Q,16,FALSE)))</f>
        <v/>
      </c>
      <c r="K616" s="2" t="str">
        <f>IF(VLOOKUP($B616,Q,14,FALSE)=0,"",(VLOOKUP($B616,Q,17,FALSE)))</f>
        <v/>
      </c>
    </row>
    <row r="617" spans="2:11" x14ac:dyDescent="0.6">
      <c r="B617" s="1">
        <v>620</v>
      </c>
      <c r="C617" s="2" t="str">
        <f>IF(VLOOKUP($B617,Q,2,FALSE)=0,"",(VLOOKUP($B617,Q,2,FALSE)))</f>
        <v/>
      </c>
      <c r="D617" s="2" t="str">
        <f>IF(VLOOKUP($B617,Q,3,FALSE)=0,"",(VLOOKUP($B617,Q,3,FALSE)))</f>
        <v/>
      </c>
      <c r="E617" s="2" t="str">
        <f>IF(VLOOKUP($B617,Q,8,FALSE)=0,"",(VLOOKUP($B617,Q,8,FALSE)))</f>
        <v/>
      </c>
      <c r="F617" s="19" t="str">
        <f>IF(VLOOKUP($B617,Q,9,FALSE)=0,"",(VLOOKUP($B617,Q,9,FALSE)))</f>
        <v/>
      </c>
      <c r="G617" s="2" t="str">
        <f>IF(VLOOKUP($B617,Q,10,FALSE)=0,"",(VLOOKUP($B617,Q,10,FALSE)))</f>
        <v/>
      </c>
      <c r="H617" s="2" t="str">
        <f>IF(VLOOKUP($B617,Q,14,FALSE)=0,"",(VLOOKUP($B617,Q,14,FALSE)))</f>
        <v/>
      </c>
      <c r="I617" s="2" t="str">
        <f>IF(VLOOKUP($B617,Q,14,FALSE)=0,"",(VLOOKUP($B617,Q,15,FALSE)))</f>
        <v/>
      </c>
      <c r="J617" s="2" t="str">
        <f>IF(VLOOKUP($B617,Q,14,FALSE)=0,"",(VLOOKUP($B617,Q,16,FALSE)))</f>
        <v/>
      </c>
      <c r="K617" s="2" t="str">
        <f>IF(VLOOKUP($B617,Q,14,FALSE)=0,"",(VLOOKUP($B617,Q,17,FALSE)))</f>
        <v/>
      </c>
    </row>
    <row r="618" spans="2:11" x14ac:dyDescent="0.6">
      <c r="B618" s="1">
        <v>621</v>
      </c>
      <c r="C618" s="2" t="str">
        <f>IF(VLOOKUP($B618,Q,2,FALSE)=0,"",(VLOOKUP($B618,Q,2,FALSE)))</f>
        <v/>
      </c>
      <c r="D618" s="2" t="str">
        <f>IF(VLOOKUP($B618,Q,3,FALSE)=0,"",(VLOOKUP($B618,Q,3,FALSE)))</f>
        <v/>
      </c>
      <c r="E618" s="2" t="str">
        <f>IF(VLOOKUP($B618,Q,8,FALSE)=0,"",(VLOOKUP($B618,Q,8,FALSE)))</f>
        <v/>
      </c>
      <c r="F618" s="19" t="str">
        <f>IF(VLOOKUP($B618,Q,9,FALSE)=0,"",(VLOOKUP($B618,Q,9,FALSE)))</f>
        <v/>
      </c>
      <c r="G618" s="2" t="str">
        <f>IF(VLOOKUP($B618,Q,10,FALSE)=0,"",(VLOOKUP($B618,Q,10,FALSE)))</f>
        <v/>
      </c>
      <c r="H618" s="2" t="str">
        <f>IF(VLOOKUP($B618,Q,14,FALSE)=0,"",(VLOOKUP($B618,Q,14,FALSE)))</f>
        <v/>
      </c>
      <c r="I618" s="2" t="str">
        <f>IF(VLOOKUP($B618,Q,14,FALSE)=0,"",(VLOOKUP($B618,Q,15,FALSE)))</f>
        <v/>
      </c>
      <c r="J618" s="2" t="str">
        <f>IF(VLOOKUP($B618,Q,14,FALSE)=0,"",(VLOOKUP($B618,Q,16,FALSE)))</f>
        <v/>
      </c>
      <c r="K618" s="2" t="str">
        <f>IF(VLOOKUP($B618,Q,14,FALSE)=0,"",(VLOOKUP($B618,Q,17,FALSE)))</f>
        <v/>
      </c>
    </row>
    <row r="619" spans="2:11" x14ac:dyDescent="0.6">
      <c r="B619" s="1">
        <v>622</v>
      </c>
      <c r="C619" s="2" t="str">
        <f>IF(VLOOKUP($B619,Q,2,FALSE)=0,"",(VLOOKUP($B619,Q,2,FALSE)))</f>
        <v/>
      </c>
      <c r="D619" s="2" t="str">
        <f>IF(VLOOKUP($B619,Q,3,FALSE)=0,"",(VLOOKUP($B619,Q,3,FALSE)))</f>
        <v/>
      </c>
      <c r="E619" s="2" t="str">
        <f>IF(VLOOKUP($B619,Q,8,FALSE)=0,"",(VLOOKUP($B619,Q,8,FALSE)))</f>
        <v/>
      </c>
      <c r="F619" s="19" t="str">
        <f>IF(VLOOKUP($B619,Q,9,FALSE)=0,"",(VLOOKUP($B619,Q,9,FALSE)))</f>
        <v/>
      </c>
      <c r="G619" s="2" t="str">
        <f>IF(VLOOKUP($B619,Q,10,FALSE)=0,"",(VLOOKUP($B619,Q,10,FALSE)))</f>
        <v/>
      </c>
      <c r="H619" s="2" t="str">
        <f>IF(VLOOKUP($B619,Q,14,FALSE)=0,"",(VLOOKUP($B619,Q,14,FALSE)))</f>
        <v/>
      </c>
      <c r="I619" s="2" t="str">
        <f>IF(VLOOKUP($B619,Q,14,FALSE)=0,"",(VLOOKUP($B619,Q,15,FALSE)))</f>
        <v/>
      </c>
      <c r="J619" s="2" t="str">
        <f>IF(VLOOKUP($B619,Q,14,FALSE)=0,"",(VLOOKUP($B619,Q,16,FALSE)))</f>
        <v/>
      </c>
      <c r="K619" s="2" t="str">
        <f>IF(VLOOKUP($B619,Q,14,FALSE)=0,"",(VLOOKUP($B619,Q,17,FALSE)))</f>
        <v/>
      </c>
    </row>
    <row r="620" spans="2:11" x14ac:dyDescent="0.6">
      <c r="B620" s="1">
        <v>623</v>
      </c>
      <c r="C620" s="2" t="str">
        <f>IF(VLOOKUP($B620,Q,2,FALSE)=0,"",(VLOOKUP($B620,Q,2,FALSE)))</f>
        <v/>
      </c>
      <c r="D620" s="2" t="str">
        <f>IF(VLOOKUP($B620,Q,3,FALSE)=0,"",(VLOOKUP($B620,Q,3,FALSE)))</f>
        <v/>
      </c>
      <c r="E620" s="2" t="str">
        <f>IF(VLOOKUP($B620,Q,8,FALSE)=0,"",(VLOOKUP($B620,Q,8,FALSE)))</f>
        <v/>
      </c>
      <c r="F620" s="19" t="str">
        <f>IF(VLOOKUP($B620,Q,9,FALSE)=0,"",(VLOOKUP($B620,Q,9,FALSE)))</f>
        <v/>
      </c>
      <c r="G620" s="2" t="str">
        <f>IF(VLOOKUP($B620,Q,10,FALSE)=0,"",(VLOOKUP($B620,Q,10,FALSE)))</f>
        <v/>
      </c>
      <c r="H620" s="2" t="str">
        <f>IF(VLOOKUP($B620,Q,14,FALSE)=0,"",(VLOOKUP($B620,Q,14,FALSE)))</f>
        <v/>
      </c>
      <c r="I620" s="2" t="str">
        <f>IF(VLOOKUP($B620,Q,14,FALSE)=0,"",(VLOOKUP($B620,Q,15,FALSE)))</f>
        <v/>
      </c>
      <c r="J620" s="2" t="str">
        <f>IF(VLOOKUP($B620,Q,14,FALSE)=0,"",(VLOOKUP($B620,Q,16,FALSE)))</f>
        <v/>
      </c>
      <c r="K620" s="2" t="str">
        <f>IF(VLOOKUP($B620,Q,14,FALSE)=0,"",(VLOOKUP($B620,Q,17,FALSE)))</f>
        <v/>
      </c>
    </row>
    <row r="621" spans="2:11" x14ac:dyDescent="0.6">
      <c r="B621" s="1">
        <v>624</v>
      </c>
      <c r="C621" s="2" t="str">
        <f>IF(VLOOKUP($B621,Q,2,FALSE)=0,"",(VLOOKUP($B621,Q,2,FALSE)))</f>
        <v/>
      </c>
      <c r="D621" s="2" t="str">
        <f>IF(VLOOKUP($B621,Q,3,FALSE)=0,"",(VLOOKUP($B621,Q,3,FALSE)))</f>
        <v/>
      </c>
      <c r="E621" s="2" t="str">
        <f>IF(VLOOKUP($B621,Q,8,FALSE)=0,"",(VLOOKUP($B621,Q,8,FALSE)))</f>
        <v/>
      </c>
      <c r="F621" s="19" t="str">
        <f>IF(VLOOKUP($B621,Q,9,FALSE)=0,"",(VLOOKUP($B621,Q,9,FALSE)))</f>
        <v/>
      </c>
      <c r="G621" s="2" t="str">
        <f>IF(VLOOKUP($B621,Q,10,FALSE)=0,"",(VLOOKUP($B621,Q,10,FALSE)))</f>
        <v/>
      </c>
      <c r="H621" s="2" t="str">
        <f>IF(VLOOKUP($B621,Q,14,FALSE)=0,"",(VLOOKUP($B621,Q,14,FALSE)))</f>
        <v/>
      </c>
      <c r="I621" s="2" t="str">
        <f>IF(VLOOKUP($B621,Q,14,FALSE)=0,"",(VLOOKUP($B621,Q,15,FALSE)))</f>
        <v/>
      </c>
      <c r="J621" s="2" t="str">
        <f>IF(VLOOKUP($B621,Q,14,FALSE)=0,"",(VLOOKUP($B621,Q,16,FALSE)))</f>
        <v/>
      </c>
      <c r="K621" s="2" t="str">
        <f>IF(VLOOKUP($B621,Q,14,FALSE)=0,"",(VLOOKUP($B621,Q,17,FALSE)))</f>
        <v/>
      </c>
    </row>
    <row r="622" spans="2:11" x14ac:dyDescent="0.6">
      <c r="B622" s="1">
        <v>625</v>
      </c>
      <c r="C622" s="2" t="str">
        <f>IF(VLOOKUP($B622,Q,2,FALSE)=0,"",(VLOOKUP($B622,Q,2,FALSE)))</f>
        <v/>
      </c>
      <c r="D622" s="2" t="str">
        <f>IF(VLOOKUP($B622,Q,3,FALSE)=0,"",(VLOOKUP($B622,Q,3,FALSE)))</f>
        <v/>
      </c>
      <c r="E622" s="2" t="str">
        <f>IF(VLOOKUP($B622,Q,8,FALSE)=0,"",(VLOOKUP($B622,Q,8,FALSE)))</f>
        <v/>
      </c>
      <c r="F622" s="19" t="str">
        <f>IF(VLOOKUP($B622,Q,9,FALSE)=0,"",(VLOOKUP($B622,Q,9,FALSE)))</f>
        <v/>
      </c>
      <c r="G622" s="2" t="str">
        <f>IF(VLOOKUP($B622,Q,10,FALSE)=0,"",(VLOOKUP($B622,Q,10,FALSE)))</f>
        <v/>
      </c>
      <c r="H622" s="2" t="str">
        <f>IF(VLOOKUP($B622,Q,14,FALSE)=0,"",(VLOOKUP($B622,Q,14,FALSE)))</f>
        <v/>
      </c>
      <c r="I622" s="2" t="str">
        <f>IF(VLOOKUP($B622,Q,14,FALSE)=0,"",(VLOOKUP($B622,Q,15,FALSE)))</f>
        <v/>
      </c>
      <c r="J622" s="2" t="str">
        <f>IF(VLOOKUP($B622,Q,14,FALSE)=0,"",(VLOOKUP($B622,Q,16,FALSE)))</f>
        <v/>
      </c>
      <c r="K622" s="2" t="str">
        <f>IF(VLOOKUP($B622,Q,14,FALSE)=0,"",(VLOOKUP($B622,Q,17,FALSE)))</f>
        <v/>
      </c>
    </row>
    <row r="623" spans="2:11" x14ac:dyDescent="0.6">
      <c r="B623" s="1">
        <v>626</v>
      </c>
      <c r="C623" s="2" t="str">
        <f>IF(VLOOKUP($B623,Q,2,FALSE)=0,"",(VLOOKUP($B623,Q,2,FALSE)))</f>
        <v/>
      </c>
      <c r="D623" s="2" t="str">
        <f>IF(VLOOKUP($B623,Q,3,FALSE)=0,"",(VLOOKUP($B623,Q,3,FALSE)))</f>
        <v/>
      </c>
      <c r="E623" s="2" t="str">
        <f>IF(VLOOKUP($B623,Q,8,FALSE)=0,"",(VLOOKUP($B623,Q,8,FALSE)))</f>
        <v/>
      </c>
      <c r="F623" s="19" t="str">
        <f>IF(VLOOKUP($B623,Q,9,FALSE)=0,"",(VLOOKUP($B623,Q,9,FALSE)))</f>
        <v/>
      </c>
      <c r="G623" s="2" t="str">
        <f>IF(VLOOKUP($B623,Q,10,FALSE)=0,"",(VLOOKUP($B623,Q,10,FALSE)))</f>
        <v/>
      </c>
      <c r="H623" s="2" t="str">
        <f>IF(VLOOKUP($B623,Q,14,FALSE)=0,"",(VLOOKUP($B623,Q,14,FALSE)))</f>
        <v/>
      </c>
      <c r="I623" s="2" t="str">
        <f>IF(VLOOKUP($B623,Q,14,FALSE)=0,"",(VLOOKUP($B623,Q,15,FALSE)))</f>
        <v/>
      </c>
      <c r="J623" s="2" t="str">
        <f>IF(VLOOKUP($B623,Q,14,FALSE)=0,"",(VLOOKUP($B623,Q,16,FALSE)))</f>
        <v/>
      </c>
      <c r="K623" s="2" t="str">
        <f>IF(VLOOKUP($B623,Q,14,FALSE)=0,"",(VLOOKUP($B623,Q,17,FALSE)))</f>
        <v/>
      </c>
    </row>
    <row r="624" spans="2:11" x14ac:dyDescent="0.6">
      <c r="B624" s="1">
        <v>627</v>
      </c>
      <c r="C624" s="2" t="str">
        <f>IF(VLOOKUP($B624,Q,2,FALSE)=0,"",(VLOOKUP($B624,Q,2,FALSE)))</f>
        <v/>
      </c>
      <c r="D624" s="2" t="str">
        <f>IF(VLOOKUP($B624,Q,3,FALSE)=0,"",(VLOOKUP($B624,Q,3,FALSE)))</f>
        <v/>
      </c>
      <c r="E624" s="2" t="str">
        <f>IF(VLOOKUP($B624,Q,8,FALSE)=0,"",(VLOOKUP($B624,Q,8,FALSE)))</f>
        <v/>
      </c>
      <c r="F624" s="19" t="str">
        <f>IF(VLOOKUP($B624,Q,9,FALSE)=0,"",(VLOOKUP($B624,Q,9,FALSE)))</f>
        <v/>
      </c>
      <c r="G624" s="2" t="str">
        <f>IF(VLOOKUP($B624,Q,10,FALSE)=0,"",(VLOOKUP($B624,Q,10,FALSE)))</f>
        <v/>
      </c>
      <c r="H624" s="2" t="str">
        <f>IF(VLOOKUP($B624,Q,14,FALSE)=0,"",(VLOOKUP($B624,Q,14,FALSE)))</f>
        <v/>
      </c>
      <c r="I624" s="2" t="str">
        <f>IF(VLOOKUP($B624,Q,14,FALSE)=0,"",(VLOOKUP($B624,Q,15,FALSE)))</f>
        <v/>
      </c>
      <c r="J624" s="2" t="str">
        <f>IF(VLOOKUP($B624,Q,14,FALSE)=0,"",(VLOOKUP($B624,Q,16,FALSE)))</f>
        <v/>
      </c>
      <c r="K624" s="2" t="str">
        <f>IF(VLOOKUP($B624,Q,14,FALSE)=0,"",(VLOOKUP($B624,Q,17,FALSE)))</f>
        <v/>
      </c>
    </row>
    <row r="625" spans="2:11" x14ac:dyDescent="0.6">
      <c r="B625" s="1">
        <v>628</v>
      </c>
      <c r="C625" s="2" t="str">
        <f>IF(VLOOKUP($B625,Q,2,FALSE)=0,"",(VLOOKUP($B625,Q,2,FALSE)))</f>
        <v/>
      </c>
      <c r="D625" s="2" t="str">
        <f>IF(VLOOKUP($B625,Q,3,FALSE)=0,"",(VLOOKUP($B625,Q,3,FALSE)))</f>
        <v/>
      </c>
      <c r="E625" s="2" t="str">
        <f>IF(VLOOKUP($B625,Q,8,FALSE)=0,"",(VLOOKUP($B625,Q,8,FALSE)))</f>
        <v/>
      </c>
      <c r="F625" s="19" t="str">
        <f>IF(VLOOKUP($B625,Q,9,FALSE)=0,"",(VLOOKUP($B625,Q,9,FALSE)))</f>
        <v/>
      </c>
      <c r="G625" s="2" t="str">
        <f>IF(VLOOKUP($B625,Q,10,FALSE)=0,"",(VLOOKUP($B625,Q,10,FALSE)))</f>
        <v/>
      </c>
      <c r="H625" s="2" t="str">
        <f>IF(VLOOKUP($B625,Q,14,FALSE)=0,"",(VLOOKUP($B625,Q,14,FALSE)))</f>
        <v/>
      </c>
      <c r="I625" s="2" t="str">
        <f>IF(VLOOKUP($B625,Q,14,FALSE)=0,"",(VLOOKUP($B625,Q,15,FALSE)))</f>
        <v/>
      </c>
      <c r="J625" s="2" t="str">
        <f>IF(VLOOKUP($B625,Q,14,FALSE)=0,"",(VLOOKUP($B625,Q,16,FALSE)))</f>
        <v/>
      </c>
      <c r="K625" s="2" t="str">
        <f>IF(VLOOKUP($B625,Q,14,FALSE)=0,"",(VLOOKUP($B625,Q,17,FALSE)))</f>
        <v/>
      </c>
    </row>
    <row r="626" spans="2:11" x14ac:dyDescent="0.6">
      <c r="B626" s="1">
        <v>629</v>
      </c>
      <c r="C626" s="2" t="str">
        <f>IF(VLOOKUP($B626,Q,2,FALSE)=0,"",(VLOOKUP($B626,Q,2,FALSE)))</f>
        <v/>
      </c>
      <c r="D626" s="2" t="str">
        <f>IF(VLOOKUP($B626,Q,3,FALSE)=0,"",(VLOOKUP($B626,Q,3,FALSE)))</f>
        <v/>
      </c>
      <c r="E626" s="2" t="str">
        <f>IF(VLOOKUP($B626,Q,8,FALSE)=0,"",(VLOOKUP($B626,Q,8,FALSE)))</f>
        <v/>
      </c>
      <c r="F626" s="19" t="str">
        <f>IF(VLOOKUP($B626,Q,9,FALSE)=0,"",(VLOOKUP($B626,Q,9,FALSE)))</f>
        <v/>
      </c>
      <c r="G626" s="2" t="str">
        <f>IF(VLOOKUP($B626,Q,10,FALSE)=0,"",(VLOOKUP($B626,Q,10,FALSE)))</f>
        <v/>
      </c>
      <c r="H626" s="2" t="str">
        <f>IF(VLOOKUP($B626,Q,14,FALSE)=0,"",(VLOOKUP($B626,Q,14,FALSE)))</f>
        <v/>
      </c>
      <c r="I626" s="2" t="str">
        <f>IF(VLOOKUP($B626,Q,14,FALSE)=0,"",(VLOOKUP($B626,Q,15,FALSE)))</f>
        <v/>
      </c>
      <c r="J626" s="2" t="str">
        <f>IF(VLOOKUP($B626,Q,14,FALSE)=0,"",(VLOOKUP($B626,Q,16,FALSE)))</f>
        <v/>
      </c>
      <c r="K626" s="2" t="str">
        <f>IF(VLOOKUP($B626,Q,14,FALSE)=0,"",(VLOOKUP($B626,Q,17,FALSE)))</f>
        <v/>
      </c>
    </row>
    <row r="627" spans="2:11" x14ac:dyDescent="0.6">
      <c r="B627" s="1">
        <v>630</v>
      </c>
      <c r="C627" s="2" t="str">
        <f>IF(VLOOKUP($B627,Q,2,FALSE)=0,"",(VLOOKUP($B627,Q,2,FALSE)))</f>
        <v/>
      </c>
      <c r="D627" s="2" t="str">
        <f>IF(VLOOKUP($B627,Q,3,FALSE)=0,"",(VLOOKUP($B627,Q,3,FALSE)))</f>
        <v/>
      </c>
      <c r="E627" s="2" t="str">
        <f>IF(VLOOKUP($B627,Q,8,FALSE)=0,"",(VLOOKUP($B627,Q,8,FALSE)))</f>
        <v/>
      </c>
      <c r="F627" s="19" t="str">
        <f>IF(VLOOKUP($B627,Q,9,FALSE)=0,"",(VLOOKUP($B627,Q,9,FALSE)))</f>
        <v/>
      </c>
      <c r="G627" s="2" t="str">
        <f>IF(VLOOKUP($B627,Q,10,FALSE)=0,"",(VLOOKUP($B627,Q,10,FALSE)))</f>
        <v/>
      </c>
      <c r="H627" s="2" t="str">
        <f>IF(VLOOKUP($B627,Q,14,FALSE)=0,"",(VLOOKUP($B627,Q,14,FALSE)))</f>
        <v/>
      </c>
      <c r="I627" s="2" t="str">
        <f>IF(VLOOKUP($B627,Q,14,FALSE)=0,"",(VLOOKUP($B627,Q,15,FALSE)))</f>
        <v/>
      </c>
      <c r="J627" s="2" t="str">
        <f>IF(VLOOKUP($B627,Q,14,FALSE)=0,"",(VLOOKUP($B627,Q,16,FALSE)))</f>
        <v/>
      </c>
      <c r="K627" s="2" t="str">
        <f>IF(VLOOKUP($B627,Q,14,FALSE)=0,"",(VLOOKUP($B627,Q,17,FALSE)))</f>
        <v/>
      </c>
    </row>
    <row r="628" spans="2:11" x14ac:dyDescent="0.6">
      <c r="B628" s="1">
        <v>631</v>
      </c>
      <c r="C628" s="2" t="str">
        <f>IF(VLOOKUP($B628,Q,2,FALSE)=0,"",(VLOOKUP($B628,Q,2,FALSE)))</f>
        <v/>
      </c>
      <c r="D628" s="2" t="str">
        <f>IF(VLOOKUP($B628,Q,3,FALSE)=0,"",(VLOOKUP($B628,Q,3,FALSE)))</f>
        <v/>
      </c>
      <c r="E628" s="2" t="str">
        <f>IF(VLOOKUP($B628,Q,8,FALSE)=0,"",(VLOOKUP($B628,Q,8,FALSE)))</f>
        <v/>
      </c>
      <c r="F628" s="19" t="str">
        <f>IF(VLOOKUP($B628,Q,9,FALSE)=0,"",(VLOOKUP($B628,Q,9,FALSE)))</f>
        <v/>
      </c>
      <c r="G628" s="2" t="str">
        <f>IF(VLOOKUP($B628,Q,10,FALSE)=0,"",(VLOOKUP($B628,Q,10,FALSE)))</f>
        <v/>
      </c>
      <c r="H628" s="2" t="str">
        <f>IF(VLOOKUP($B628,Q,14,FALSE)=0,"",(VLOOKUP($B628,Q,14,FALSE)))</f>
        <v/>
      </c>
      <c r="I628" s="2" t="str">
        <f>IF(VLOOKUP($B628,Q,14,FALSE)=0,"",(VLOOKUP($B628,Q,15,FALSE)))</f>
        <v/>
      </c>
      <c r="J628" s="2" t="str">
        <f>IF(VLOOKUP($B628,Q,14,FALSE)=0,"",(VLOOKUP($B628,Q,16,FALSE)))</f>
        <v/>
      </c>
      <c r="K628" s="2" t="str">
        <f>IF(VLOOKUP($B628,Q,14,FALSE)=0,"",(VLOOKUP($B628,Q,17,FALSE)))</f>
        <v/>
      </c>
    </row>
    <row r="629" spans="2:11" x14ac:dyDescent="0.6">
      <c r="B629" s="1">
        <v>632</v>
      </c>
      <c r="C629" s="2" t="str">
        <f>IF(VLOOKUP($B629,Q,2,FALSE)=0,"",(VLOOKUP($B629,Q,2,FALSE)))</f>
        <v/>
      </c>
      <c r="D629" s="2" t="str">
        <f>IF(VLOOKUP($B629,Q,3,FALSE)=0,"",(VLOOKUP($B629,Q,3,FALSE)))</f>
        <v/>
      </c>
      <c r="E629" s="2" t="str">
        <f>IF(VLOOKUP($B629,Q,8,FALSE)=0,"",(VLOOKUP($B629,Q,8,FALSE)))</f>
        <v/>
      </c>
      <c r="F629" s="19" t="str">
        <f>IF(VLOOKUP($B629,Q,9,FALSE)=0,"",(VLOOKUP($B629,Q,9,FALSE)))</f>
        <v/>
      </c>
      <c r="G629" s="2" t="str">
        <f>IF(VLOOKUP($B629,Q,10,FALSE)=0,"",(VLOOKUP($B629,Q,10,FALSE)))</f>
        <v/>
      </c>
      <c r="H629" s="2" t="str">
        <f>IF(VLOOKUP($B629,Q,14,FALSE)=0,"",(VLOOKUP($B629,Q,14,FALSE)))</f>
        <v/>
      </c>
      <c r="I629" s="2" t="str">
        <f>IF(VLOOKUP($B629,Q,14,FALSE)=0,"",(VLOOKUP($B629,Q,15,FALSE)))</f>
        <v/>
      </c>
      <c r="J629" s="2" t="str">
        <f>IF(VLOOKUP($B629,Q,14,FALSE)=0,"",(VLOOKUP($B629,Q,16,FALSE)))</f>
        <v/>
      </c>
      <c r="K629" s="2" t="str">
        <f>IF(VLOOKUP($B629,Q,14,FALSE)=0,"",(VLOOKUP($B629,Q,17,FALSE)))</f>
        <v/>
      </c>
    </row>
    <row r="630" spans="2:11" x14ac:dyDescent="0.6">
      <c r="B630" s="1">
        <v>633</v>
      </c>
      <c r="C630" s="2" t="str">
        <f>IF(VLOOKUP($B630,Q,2,FALSE)=0,"",(VLOOKUP($B630,Q,2,FALSE)))</f>
        <v/>
      </c>
      <c r="D630" s="2" t="str">
        <f>IF(VLOOKUP($B630,Q,3,FALSE)=0,"",(VLOOKUP($B630,Q,3,FALSE)))</f>
        <v/>
      </c>
      <c r="E630" s="2" t="str">
        <f>IF(VLOOKUP($B630,Q,8,FALSE)=0,"",(VLOOKUP($B630,Q,8,FALSE)))</f>
        <v/>
      </c>
      <c r="F630" s="19" t="str">
        <f>IF(VLOOKUP($B630,Q,9,FALSE)=0,"",(VLOOKUP($B630,Q,9,FALSE)))</f>
        <v/>
      </c>
      <c r="G630" s="2" t="str">
        <f>IF(VLOOKUP($B630,Q,10,FALSE)=0,"",(VLOOKUP($B630,Q,10,FALSE)))</f>
        <v/>
      </c>
      <c r="H630" s="2" t="str">
        <f>IF(VLOOKUP($B630,Q,14,FALSE)=0,"",(VLOOKUP($B630,Q,14,FALSE)))</f>
        <v/>
      </c>
      <c r="I630" s="2" t="str">
        <f>IF(VLOOKUP($B630,Q,14,FALSE)=0,"",(VLOOKUP($B630,Q,15,FALSE)))</f>
        <v/>
      </c>
      <c r="J630" s="2" t="str">
        <f>IF(VLOOKUP($B630,Q,14,FALSE)=0,"",(VLOOKUP($B630,Q,16,FALSE)))</f>
        <v/>
      </c>
      <c r="K630" s="2" t="str">
        <f>IF(VLOOKUP($B630,Q,14,FALSE)=0,"",(VLOOKUP($B630,Q,17,FALSE)))</f>
        <v/>
      </c>
    </row>
    <row r="631" spans="2:11" x14ac:dyDescent="0.6">
      <c r="B631" s="1">
        <v>634</v>
      </c>
      <c r="C631" s="2" t="str">
        <f>IF(VLOOKUP($B631,Q,2,FALSE)=0,"",(VLOOKUP($B631,Q,2,FALSE)))</f>
        <v/>
      </c>
      <c r="D631" s="2" t="str">
        <f>IF(VLOOKUP($B631,Q,3,FALSE)=0,"",(VLOOKUP($B631,Q,3,FALSE)))</f>
        <v/>
      </c>
      <c r="E631" s="2" t="str">
        <f>IF(VLOOKUP($B631,Q,8,FALSE)=0,"",(VLOOKUP($B631,Q,8,FALSE)))</f>
        <v/>
      </c>
      <c r="F631" s="19" t="str">
        <f>IF(VLOOKUP($B631,Q,9,FALSE)=0,"",(VLOOKUP($B631,Q,9,FALSE)))</f>
        <v/>
      </c>
      <c r="G631" s="2" t="str">
        <f>IF(VLOOKUP($B631,Q,10,FALSE)=0,"",(VLOOKUP($B631,Q,10,FALSE)))</f>
        <v/>
      </c>
      <c r="H631" s="2" t="str">
        <f>IF(VLOOKUP($B631,Q,14,FALSE)=0,"",(VLOOKUP($B631,Q,14,FALSE)))</f>
        <v/>
      </c>
      <c r="I631" s="2" t="str">
        <f>IF(VLOOKUP($B631,Q,14,FALSE)=0,"",(VLOOKUP($B631,Q,15,FALSE)))</f>
        <v/>
      </c>
      <c r="J631" s="2" t="str">
        <f>IF(VLOOKUP($B631,Q,14,FALSE)=0,"",(VLOOKUP($B631,Q,16,FALSE)))</f>
        <v/>
      </c>
      <c r="K631" s="2" t="str">
        <f>IF(VLOOKUP($B631,Q,14,FALSE)=0,"",(VLOOKUP($B631,Q,17,FALSE)))</f>
        <v/>
      </c>
    </row>
    <row r="632" spans="2:11" x14ac:dyDescent="0.6">
      <c r="B632" s="1">
        <v>635</v>
      </c>
      <c r="C632" s="2" t="str">
        <f>IF(VLOOKUP($B632,Q,2,FALSE)=0,"",(VLOOKUP($B632,Q,2,FALSE)))</f>
        <v/>
      </c>
      <c r="D632" s="2" t="str">
        <f>IF(VLOOKUP($B632,Q,3,FALSE)=0,"",(VLOOKUP($B632,Q,3,FALSE)))</f>
        <v/>
      </c>
      <c r="E632" s="2" t="str">
        <f>IF(VLOOKUP($B632,Q,8,FALSE)=0,"",(VLOOKUP($B632,Q,8,FALSE)))</f>
        <v/>
      </c>
      <c r="F632" s="19" t="str">
        <f>IF(VLOOKUP($B632,Q,9,FALSE)=0,"",(VLOOKUP($B632,Q,9,FALSE)))</f>
        <v/>
      </c>
      <c r="G632" s="2" t="str">
        <f>IF(VLOOKUP($B632,Q,10,FALSE)=0,"",(VLOOKUP($B632,Q,10,FALSE)))</f>
        <v/>
      </c>
      <c r="H632" s="2" t="str">
        <f>IF(VLOOKUP($B632,Q,14,FALSE)=0,"",(VLOOKUP($B632,Q,14,FALSE)))</f>
        <v/>
      </c>
      <c r="I632" s="2" t="str">
        <f>IF(VLOOKUP($B632,Q,14,FALSE)=0,"",(VLOOKUP($B632,Q,15,FALSE)))</f>
        <v/>
      </c>
      <c r="J632" s="2" t="str">
        <f>IF(VLOOKUP($B632,Q,14,FALSE)=0,"",(VLOOKUP($B632,Q,16,FALSE)))</f>
        <v/>
      </c>
      <c r="K632" s="2" t="str">
        <f>IF(VLOOKUP($B632,Q,14,FALSE)=0,"",(VLOOKUP($B632,Q,17,FALSE)))</f>
        <v/>
      </c>
    </row>
    <row r="633" spans="2:11" x14ac:dyDescent="0.6">
      <c r="B633" s="1">
        <v>636</v>
      </c>
      <c r="C633" s="2" t="str">
        <f>IF(VLOOKUP($B633,Q,2,FALSE)=0,"",(VLOOKUP($B633,Q,2,FALSE)))</f>
        <v/>
      </c>
      <c r="D633" s="2" t="str">
        <f>IF(VLOOKUP($B633,Q,3,FALSE)=0,"",(VLOOKUP($B633,Q,3,FALSE)))</f>
        <v/>
      </c>
      <c r="E633" s="2" t="str">
        <f>IF(VLOOKUP($B633,Q,8,FALSE)=0,"",(VLOOKUP($B633,Q,8,FALSE)))</f>
        <v/>
      </c>
      <c r="F633" s="19" t="str">
        <f>IF(VLOOKUP($B633,Q,9,FALSE)=0,"",(VLOOKUP($B633,Q,9,FALSE)))</f>
        <v/>
      </c>
      <c r="G633" s="2" t="str">
        <f>IF(VLOOKUP($B633,Q,10,FALSE)=0,"",(VLOOKUP($B633,Q,10,FALSE)))</f>
        <v/>
      </c>
      <c r="H633" s="2" t="str">
        <f>IF(VLOOKUP($B633,Q,14,FALSE)=0,"",(VLOOKUP($B633,Q,14,FALSE)))</f>
        <v/>
      </c>
      <c r="I633" s="2" t="str">
        <f>IF(VLOOKUP($B633,Q,14,FALSE)=0,"",(VLOOKUP($B633,Q,15,FALSE)))</f>
        <v/>
      </c>
      <c r="J633" s="2" t="str">
        <f>IF(VLOOKUP($B633,Q,14,FALSE)=0,"",(VLOOKUP($B633,Q,16,FALSE)))</f>
        <v/>
      </c>
      <c r="K633" s="2" t="str">
        <f>IF(VLOOKUP($B633,Q,14,FALSE)=0,"",(VLOOKUP($B633,Q,17,FALSE)))</f>
        <v/>
      </c>
    </row>
    <row r="634" spans="2:11" x14ac:dyDescent="0.6">
      <c r="B634" s="1">
        <v>637</v>
      </c>
      <c r="C634" s="2" t="str">
        <f>IF(VLOOKUP($B634,Q,2,FALSE)=0,"",(VLOOKUP($B634,Q,2,FALSE)))</f>
        <v/>
      </c>
      <c r="D634" s="2" t="str">
        <f>IF(VLOOKUP($B634,Q,3,FALSE)=0,"",(VLOOKUP($B634,Q,3,FALSE)))</f>
        <v/>
      </c>
      <c r="E634" s="2" t="str">
        <f>IF(VLOOKUP($B634,Q,8,FALSE)=0,"",(VLOOKUP($B634,Q,8,FALSE)))</f>
        <v/>
      </c>
      <c r="F634" s="19" t="str">
        <f>IF(VLOOKUP($B634,Q,9,FALSE)=0,"",(VLOOKUP($B634,Q,9,FALSE)))</f>
        <v/>
      </c>
      <c r="G634" s="2" t="str">
        <f>IF(VLOOKUP($B634,Q,10,FALSE)=0,"",(VLOOKUP($B634,Q,10,FALSE)))</f>
        <v/>
      </c>
      <c r="H634" s="2" t="str">
        <f>IF(VLOOKUP($B634,Q,14,FALSE)=0,"",(VLOOKUP($B634,Q,14,FALSE)))</f>
        <v/>
      </c>
      <c r="I634" s="2" t="str">
        <f>IF(VLOOKUP($B634,Q,14,FALSE)=0,"",(VLOOKUP($B634,Q,15,FALSE)))</f>
        <v/>
      </c>
      <c r="J634" s="2" t="str">
        <f>IF(VLOOKUP($B634,Q,14,FALSE)=0,"",(VLOOKUP($B634,Q,16,FALSE)))</f>
        <v/>
      </c>
      <c r="K634" s="2" t="str">
        <f>IF(VLOOKUP($B634,Q,14,FALSE)=0,"",(VLOOKUP($B634,Q,17,FALSE)))</f>
        <v/>
      </c>
    </row>
    <row r="635" spans="2:11" x14ac:dyDescent="0.6">
      <c r="B635" s="1">
        <v>638</v>
      </c>
      <c r="C635" s="2" t="str">
        <f>IF(VLOOKUP($B635,Q,2,FALSE)=0,"",(VLOOKUP($B635,Q,2,FALSE)))</f>
        <v/>
      </c>
      <c r="D635" s="2" t="str">
        <f>IF(VLOOKUP($B635,Q,3,FALSE)=0,"",(VLOOKUP($B635,Q,3,FALSE)))</f>
        <v/>
      </c>
      <c r="E635" s="2" t="str">
        <f>IF(VLOOKUP($B635,Q,8,FALSE)=0,"",(VLOOKUP($B635,Q,8,FALSE)))</f>
        <v/>
      </c>
      <c r="F635" s="19" t="str">
        <f>IF(VLOOKUP($B635,Q,9,FALSE)=0,"",(VLOOKUP($B635,Q,9,FALSE)))</f>
        <v/>
      </c>
      <c r="G635" s="2" t="str">
        <f>IF(VLOOKUP($B635,Q,10,FALSE)=0,"",(VLOOKUP($B635,Q,10,FALSE)))</f>
        <v/>
      </c>
      <c r="H635" s="2" t="str">
        <f>IF(VLOOKUP($B635,Q,14,FALSE)=0,"",(VLOOKUP($B635,Q,14,FALSE)))</f>
        <v/>
      </c>
      <c r="I635" s="2" t="str">
        <f>IF(VLOOKUP($B635,Q,14,FALSE)=0,"",(VLOOKUP($B635,Q,15,FALSE)))</f>
        <v/>
      </c>
      <c r="J635" s="2" t="str">
        <f>IF(VLOOKUP($B635,Q,14,FALSE)=0,"",(VLOOKUP($B635,Q,16,FALSE)))</f>
        <v/>
      </c>
      <c r="K635" s="2" t="str">
        <f>IF(VLOOKUP($B635,Q,14,FALSE)=0,"",(VLOOKUP($B635,Q,17,FALSE)))</f>
        <v/>
      </c>
    </row>
    <row r="636" spans="2:11" x14ac:dyDescent="0.6">
      <c r="B636" s="1">
        <v>639</v>
      </c>
      <c r="C636" s="2" t="str">
        <f>IF(VLOOKUP($B636,Q,2,FALSE)=0,"",(VLOOKUP($B636,Q,2,FALSE)))</f>
        <v/>
      </c>
      <c r="D636" s="2" t="str">
        <f>IF(VLOOKUP($B636,Q,3,FALSE)=0,"",(VLOOKUP($B636,Q,3,FALSE)))</f>
        <v/>
      </c>
      <c r="E636" s="2" t="str">
        <f>IF(VLOOKUP($B636,Q,8,FALSE)=0,"",(VLOOKUP($B636,Q,8,FALSE)))</f>
        <v/>
      </c>
      <c r="F636" s="19" t="str">
        <f>IF(VLOOKUP($B636,Q,9,FALSE)=0,"",(VLOOKUP($B636,Q,9,FALSE)))</f>
        <v/>
      </c>
      <c r="G636" s="2" t="str">
        <f>IF(VLOOKUP($B636,Q,10,FALSE)=0,"",(VLOOKUP($B636,Q,10,FALSE)))</f>
        <v/>
      </c>
      <c r="H636" s="2" t="str">
        <f>IF(VLOOKUP($B636,Q,14,FALSE)=0,"",(VLOOKUP($B636,Q,14,FALSE)))</f>
        <v/>
      </c>
      <c r="I636" s="2" t="str">
        <f>IF(VLOOKUP($B636,Q,14,FALSE)=0,"",(VLOOKUP($B636,Q,15,FALSE)))</f>
        <v/>
      </c>
      <c r="J636" s="2" t="str">
        <f>IF(VLOOKUP($B636,Q,14,FALSE)=0,"",(VLOOKUP($B636,Q,16,FALSE)))</f>
        <v/>
      </c>
      <c r="K636" s="2" t="str">
        <f>IF(VLOOKUP($B636,Q,14,FALSE)=0,"",(VLOOKUP($B636,Q,17,FALSE)))</f>
        <v/>
      </c>
    </row>
    <row r="637" spans="2:11" x14ac:dyDescent="0.6">
      <c r="B637" s="1">
        <v>640</v>
      </c>
      <c r="C637" s="2" t="str">
        <f>IF(VLOOKUP($B637,Q,2,FALSE)=0,"",(VLOOKUP($B637,Q,2,FALSE)))</f>
        <v/>
      </c>
      <c r="D637" s="2" t="str">
        <f>IF(VLOOKUP($B637,Q,3,FALSE)=0,"",(VLOOKUP($B637,Q,3,FALSE)))</f>
        <v/>
      </c>
      <c r="E637" s="2" t="str">
        <f>IF(VLOOKUP($B637,Q,8,FALSE)=0,"",(VLOOKUP($B637,Q,8,FALSE)))</f>
        <v/>
      </c>
      <c r="F637" s="19" t="str">
        <f>IF(VLOOKUP($B637,Q,9,FALSE)=0,"",(VLOOKUP($B637,Q,9,FALSE)))</f>
        <v/>
      </c>
      <c r="G637" s="2" t="str">
        <f>IF(VLOOKUP($B637,Q,10,FALSE)=0,"",(VLOOKUP($B637,Q,10,FALSE)))</f>
        <v/>
      </c>
      <c r="H637" s="2" t="str">
        <f>IF(VLOOKUP($B637,Q,14,FALSE)=0,"",(VLOOKUP($B637,Q,14,FALSE)))</f>
        <v/>
      </c>
      <c r="I637" s="2" t="str">
        <f>IF(VLOOKUP($B637,Q,14,FALSE)=0,"",(VLOOKUP($B637,Q,15,FALSE)))</f>
        <v/>
      </c>
      <c r="J637" s="2" t="str">
        <f>IF(VLOOKUP($B637,Q,14,FALSE)=0,"",(VLOOKUP($B637,Q,16,FALSE)))</f>
        <v/>
      </c>
      <c r="K637" s="2" t="str">
        <f>IF(VLOOKUP($B637,Q,14,FALSE)=0,"",(VLOOKUP($B637,Q,17,FALSE)))</f>
        <v/>
      </c>
    </row>
    <row r="638" spans="2:11" x14ac:dyDescent="0.6">
      <c r="B638" s="1">
        <v>641</v>
      </c>
      <c r="C638" s="2" t="str">
        <f>IF(VLOOKUP($B638,Q,2,FALSE)=0,"",(VLOOKUP($B638,Q,2,FALSE)))</f>
        <v/>
      </c>
      <c r="D638" s="2" t="str">
        <f>IF(VLOOKUP($B638,Q,3,FALSE)=0,"",(VLOOKUP($B638,Q,3,FALSE)))</f>
        <v/>
      </c>
      <c r="E638" s="2" t="str">
        <f>IF(VLOOKUP($B638,Q,8,FALSE)=0,"",(VLOOKUP($B638,Q,8,FALSE)))</f>
        <v/>
      </c>
      <c r="F638" s="19" t="str">
        <f>IF(VLOOKUP($B638,Q,9,FALSE)=0,"",(VLOOKUP($B638,Q,9,FALSE)))</f>
        <v/>
      </c>
      <c r="G638" s="2" t="str">
        <f>IF(VLOOKUP($B638,Q,10,FALSE)=0,"",(VLOOKUP($B638,Q,10,FALSE)))</f>
        <v/>
      </c>
      <c r="H638" s="2" t="str">
        <f>IF(VLOOKUP($B638,Q,14,FALSE)=0,"",(VLOOKUP($B638,Q,14,FALSE)))</f>
        <v/>
      </c>
      <c r="I638" s="2" t="str">
        <f>IF(VLOOKUP($B638,Q,14,FALSE)=0,"",(VLOOKUP($B638,Q,15,FALSE)))</f>
        <v/>
      </c>
      <c r="J638" s="2" t="str">
        <f>IF(VLOOKUP($B638,Q,14,FALSE)=0,"",(VLOOKUP($B638,Q,16,FALSE)))</f>
        <v/>
      </c>
      <c r="K638" s="2" t="str">
        <f>IF(VLOOKUP($B638,Q,14,FALSE)=0,"",(VLOOKUP($B638,Q,17,FALSE)))</f>
        <v/>
      </c>
    </row>
    <row r="639" spans="2:11" x14ac:dyDescent="0.6">
      <c r="B639" s="1">
        <v>642</v>
      </c>
      <c r="C639" s="2" t="str">
        <f>IF(VLOOKUP($B639,Q,2,FALSE)=0,"",(VLOOKUP($B639,Q,2,FALSE)))</f>
        <v/>
      </c>
      <c r="D639" s="2" t="str">
        <f>IF(VLOOKUP($B639,Q,3,FALSE)=0,"",(VLOOKUP($B639,Q,3,FALSE)))</f>
        <v/>
      </c>
      <c r="E639" s="2" t="str">
        <f>IF(VLOOKUP($B639,Q,8,FALSE)=0,"",(VLOOKUP($B639,Q,8,FALSE)))</f>
        <v/>
      </c>
      <c r="F639" s="19" t="str">
        <f>IF(VLOOKUP($B639,Q,9,FALSE)=0,"",(VLOOKUP($B639,Q,9,FALSE)))</f>
        <v/>
      </c>
      <c r="G639" s="2" t="str">
        <f>IF(VLOOKUP($B639,Q,10,FALSE)=0,"",(VLOOKUP($B639,Q,10,FALSE)))</f>
        <v/>
      </c>
      <c r="H639" s="2" t="str">
        <f>IF(VLOOKUP($B639,Q,14,FALSE)=0,"",(VLOOKUP($B639,Q,14,FALSE)))</f>
        <v/>
      </c>
      <c r="I639" s="2" t="str">
        <f>IF(VLOOKUP($B639,Q,14,FALSE)=0,"",(VLOOKUP($B639,Q,15,FALSE)))</f>
        <v/>
      </c>
      <c r="J639" s="2" t="str">
        <f>IF(VLOOKUP($B639,Q,14,FALSE)=0,"",(VLOOKUP($B639,Q,16,FALSE)))</f>
        <v/>
      </c>
      <c r="K639" s="2" t="str">
        <f>IF(VLOOKUP($B639,Q,14,FALSE)=0,"",(VLOOKUP($B639,Q,17,FALSE)))</f>
        <v/>
      </c>
    </row>
    <row r="640" spans="2:11" x14ac:dyDescent="0.6">
      <c r="B640" s="1">
        <v>643</v>
      </c>
      <c r="C640" s="2" t="str">
        <f>IF(VLOOKUP($B640,Q,2,FALSE)=0,"",(VLOOKUP($B640,Q,2,FALSE)))</f>
        <v/>
      </c>
      <c r="D640" s="2" t="str">
        <f>IF(VLOOKUP($B640,Q,3,FALSE)=0,"",(VLOOKUP($B640,Q,3,FALSE)))</f>
        <v/>
      </c>
      <c r="E640" s="2" t="str">
        <f>IF(VLOOKUP($B640,Q,8,FALSE)=0,"",(VLOOKUP($B640,Q,8,FALSE)))</f>
        <v/>
      </c>
      <c r="F640" s="19" t="str">
        <f>IF(VLOOKUP($B640,Q,9,FALSE)=0,"",(VLOOKUP($B640,Q,9,FALSE)))</f>
        <v/>
      </c>
      <c r="G640" s="2" t="str">
        <f>IF(VLOOKUP($B640,Q,10,FALSE)=0,"",(VLOOKUP($B640,Q,10,FALSE)))</f>
        <v/>
      </c>
      <c r="H640" s="2" t="str">
        <f>IF(VLOOKUP($B640,Q,14,FALSE)=0,"",(VLOOKUP($B640,Q,14,FALSE)))</f>
        <v/>
      </c>
      <c r="I640" s="2" t="str">
        <f>IF(VLOOKUP($B640,Q,14,FALSE)=0,"",(VLOOKUP($B640,Q,15,FALSE)))</f>
        <v/>
      </c>
      <c r="J640" s="2" t="str">
        <f>IF(VLOOKUP($B640,Q,14,FALSE)=0,"",(VLOOKUP($B640,Q,16,FALSE)))</f>
        <v/>
      </c>
      <c r="K640" s="2" t="str">
        <f>IF(VLOOKUP($B640,Q,14,FALSE)=0,"",(VLOOKUP($B640,Q,17,FALSE)))</f>
        <v/>
      </c>
    </row>
    <row r="641" spans="2:11" x14ac:dyDescent="0.6">
      <c r="B641" s="1">
        <v>644</v>
      </c>
      <c r="C641" s="2" t="str">
        <f>IF(VLOOKUP($B641,Q,2,FALSE)=0,"",(VLOOKUP($B641,Q,2,FALSE)))</f>
        <v/>
      </c>
      <c r="D641" s="2" t="str">
        <f>IF(VLOOKUP($B641,Q,3,FALSE)=0,"",(VLOOKUP($B641,Q,3,FALSE)))</f>
        <v/>
      </c>
      <c r="E641" s="2" t="str">
        <f>IF(VLOOKUP($B641,Q,8,FALSE)=0,"",(VLOOKUP($B641,Q,8,FALSE)))</f>
        <v/>
      </c>
      <c r="F641" s="19" t="str">
        <f>IF(VLOOKUP($B641,Q,9,FALSE)=0,"",(VLOOKUP($B641,Q,9,FALSE)))</f>
        <v/>
      </c>
      <c r="G641" s="2" t="str">
        <f>IF(VLOOKUP($B641,Q,10,FALSE)=0,"",(VLOOKUP($B641,Q,10,FALSE)))</f>
        <v/>
      </c>
      <c r="H641" s="2" t="str">
        <f>IF(VLOOKUP($B641,Q,14,FALSE)=0,"",(VLOOKUP($B641,Q,14,FALSE)))</f>
        <v/>
      </c>
      <c r="I641" s="2" t="str">
        <f>IF(VLOOKUP($B641,Q,14,FALSE)=0,"",(VLOOKUP($B641,Q,15,FALSE)))</f>
        <v/>
      </c>
      <c r="J641" s="2" t="str">
        <f>IF(VLOOKUP($B641,Q,14,FALSE)=0,"",(VLOOKUP($B641,Q,16,FALSE)))</f>
        <v/>
      </c>
      <c r="K641" s="2" t="str">
        <f>IF(VLOOKUP($B641,Q,14,FALSE)=0,"",(VLOOKUP($B641,Q,17,FALSE)))</f>
        <v/>
      </c>
    </row>
    <row r="642" spans="2:11" x14ac:dyDescent="0.6">
      <c r="B642" s="1">
        <v>645</v>
      </c>
      <c r="C642" s="2" t="str">
        <f>IF(VLOOKUP($B642,Q,2,FALSE)=0,"",(VLOOKUP($B642,Q,2,FALSE)))</f>
        <v/>
      </c>
      <c r="D642" s="2" t="str">
        <f>IF(VLOOKUP($B642,Q,3,FALSE)=0,"",(VLOOKUP($B642,Q,3,FALSE)))</f>
        <v/>
      </c>
      <c r="E642" s="2" t="str">
        <f>IF(VLOOKUP($B642,Q,8,FALSE)=0,"",(VLOOKUP($B642,Q,8,FALSE)))</f>
        <v/>
      </c>
      <c r="F642" s="19" t="str">
        <f>IF(VLOOKUP($B642,Q,9,FALSE)=0,"",(VLOOKUP($B642,Q,9,FALSE)))</f>
        <v/>
      </c>
      <c r="G642" s="2" t="str">
        <f>IF(VLOOKUP($B642,Q,10,FALSE)=0,"",(VLOOKUP($B642,Q,10,FALSE)))</f>
        <v/>
      </c>
      <c r="H642" s="2" t="str">
        <f>IF(VLOOKUP($B642,Q,14,FALSE)=0,"",(VLOOKUP($B642,Q,14,FALSE)))</f>
        <v/>
      </c>
      <c r="I642" s="2" t="str">
        <f>IF(VLOOKUP($B642,Q,14,FALSE)=0,"",(VLOOKUP($B642,Q,15,FALSE)))</f>
        <v/>
      </c>
      <c r="J642" s="2" t="str">
        <f>IF(VLOOKUP($B642,Q,14,FALSE)=0,"",(VLOOKUP($B642,Q,16,FALSE)))</f>
        <v/>
      </c>
      <c r="K642" s="2" t="str">
        <f>IF(VLOOKUP($B642,Q,14,FALSE)=0,"",(VLOOKUP($B642,Q,17,FALSE)))</f>
        <v/>
      </c>
    </row>
    <row r="643" spans="2:11" x14ac:dyDescent="0.6">
      <c r="B643" s="1">
        <v>646</v>
      </c>
      <c r="C643" s="2" t="str">
        <f>IF(VLOOKUP($B643,Q,2,FALSE)=0,"",(VLOOKUP($B643,Q,2,FALSE)))</f>
        <v/>
      </c>
      <c r="D643" s="2" t="str">
        <f>IF(VLOOKUP($B643,Q,3,FALSE)=0,"",(VLOOKUP($B643,Q,3,FALSE)))</f>
        <v/>
      </c>
      <c r="E643" s="2" t="str">
        <f>IF(VLOOKUP($B643,Q,8,FALSE)=0,"",(VLOOKUP($B643,Q,8,FALSE)))</f>
        <v/>
      </c>
      <c r="F643" s="19" t="str">
        <f>IF(VLOOKUP($B643,Q,9,FALSE)=0,"",(VLOOKUP($B643,Q,9,FALSE)))</f>
        <v/>
      </c>
      <c r="G643" s="2" t="str">
        <f>IF(VLOOKUP($B643,Q,10,FALSE)=0,"",(VLOOKUP($B643,Q,10,FALSE)))</f>
        <v/>
      </c>
      <c r="H643" s="2" t="str">
        <f>IF(VLOOKUP($B643,Q,14,FALSE)=0,"",(VLOOKUP($B643,Q,14,FALSE)))</f>
        <v/>
      </c>
      <c r="I643" s="2" t="str">
        <f>IF(VLOOKUP($B643,Q,14,FALSE)=0,"",(VLOOKUP($B643,Q,15,FALSE)))</f>
        <v/>
      </c>
      <c r="J643" s="2" t="str">
        <f>IF(VLOOKUP($B643,Q,14,FALSE)=0,"",(VLOOKUP($B643,Q,16,FALSE)))</f>
        <v/>
      </c>
      <c r="K643" s="2" t="str">
        <f>IF(VLOOKUP($B643,Q,14,FALSE)=0,"",(VLOOKUP($B643,Q,17,FALSE)))</f>
        <v/>
      </c>
    </row>
    <row r="644" spans="2:11" x14ac:dyDescent="0.6">
      <c r="B644" s="1">
        <v>647</v>
      </c>
      <c r="C644" s="2" t="str">
        <f>IF(VLOOKUP($B644,Q,2,FALSE)=0,"",(VLOOKUP($B644,Q,2,FALSE)))</f>
        <v/>
      </c>
      <c r="D644" s="2" t="str">
        <f>IF(VLOOKUP($B644,Q,3,FALSE)=0,"",(VLOOKUP($B644,Q,3,FALSE)))</f>
        <v/>
      </c>
      <c r="E644" s="2" t="str">
        <f>IF(VLOOKUP($B644,Q,8,FALSE)=0,"",(VLOOKUP($B644,Q,8,FALSE)))</f>
        <v/>
      </c>
      <c r="F644" s="19" t="str">
        <f>IF(VLOOKUP($B644,Q,9,FALSE)=0,"",(VLOOKUP($B644,Q,9,FALSE)))</f>
        <v/>
      </c>
      <c r="G644" s="2" t="str">
        <f>IF(VLOOKUP($B644,Q,10,FALSE)=0,"",(VLOOKUP($B644,Q,10,FALSE)))</f>
        <v/>
      </c>
      <c r="H644" s="2" t="str">
        <f>IF(VLOOKUP($B644,Q,14,FALSE)=0,"",(VLOOKUP($B644,Q,14,FALSE)))</f>
        <v/>
      </c>
      <c r="I644" s="2" t="str">
        <f>IF(VLOOKUP($B644,Q,14,FALSE)=0,"",(VLOOKUP($B644,Q,15,FALSE)))</f>
        <v/>
      </c>
      <c r="J644" s="2" t="str">
        <f>IF(VLOOKUP($B644,Q,14,FALSE)=0,"",(VLOOKUP($B644,Q,16,FALSE)))</f>
        <v/>
      </c>
      <c r="K644" s="2" t="str">
        <f>IF(VLOOKUP($B644,Q,14,FALSE)=0,"",(VLOOKUP($B644,Q,17,FALSE)))</f>
        <v/>
      </c>
    </row>
    <row r="645" spans="2:11" x14ac:dyDescent="0.6">
      <c r="B645" s="1">
        <v>648</v>
      </c>
      <c r="C645" s="2" t="str">
        <f>IF(VLOOKUP($B645,Q,2,FALSE)=0,"",(VLOOKUP($B645,Q,2,FALSE)))</f>
        <v/>
      </c>
      <c r="D645" s="2" t="str">
        <f>IF(VLOOKUP($B645,Q,3,FALSE)=0,"",(VLOOKUP($B645,Q,3,FALSE)))</f>
        <v/>
      </c>
      <c r="E645" s="2" t="str">
        <f>IF(VLOOKUP($B645,Q,8,FALSE)=0,"",(VLOOKUP($B645,Q,8,FALSE)))</f>
        <v/>
      </c>
      <c r="F645" s="19" t="str">
        <f>IF(VLOOKUP($B645,Q,9,FALSE)=0,"",(VLOOKUP($B645,Q,9,FALSE)))</f>
        <v/>
      </c>
      <c r="G645" s="2" t="str">
        <f>IF(VLOOKUP($B645,Q,10,FALSE)=0,"",(VLOOKUP($B645,Q,10,FALSE)))</f>
        <v/>
      </c>
      <c r="H645" s="2" t="str">
        <f>IF(VLOOKUP($B645,Q,14,FALSE)=0,"",(VLOOKUP($B645,Q,14,FALSE)))</f>
        <v/>
      </c>
      <c r="I645" s="2" t="str">
        <f>IF(VLOOKUP($B645,Q,14,FALSE)=0,"",(VLOOKUP($B645,Q,15,FALSE)))</f>
        <v/>
      </c>
      <c r="J645" s="2" t="str">
        <f>IF(VLOOKUP($B645,Q,14,FALSE)=0,"",(VLOOKUP($B645,Q,16,FALSE)))</f>
        <v/>
      </c>
      <c r="K645" s="2" t="str">
        <f>IF(VLOOKUP($B645,Q,14,FALSE)=0,"",(VLOOKUP($B645,Q,17,FALSE)))</f>
        <v/>
      </c>
    </row>
    <row r="646" spans="2:11" x14ac:dyDescent="0.6">
      <c r="B646" s="1">
        <v>649</v>
      </c>
      <c r="C646" s="2" t="str">
        <f>IF(VLOOKUP($B646,Q,2,FALSE)=0,"",(VLOOKUP($B646,Q,2,FALSE)))</f>
        <v/>
      </c>
      <c r="D646" s="2" t="str">
        <f>IF(VLOOKUP($B646,Q,3,FALSE)=0,"",(VLOOKUP($B646,Q,3,FALSE)))</f>
        <v/>
      </c>
      <c r="E646" s="2" t="str">
        <f>IF(VLOOKUP($B646,Q,8,FALSE)=0,"",(VLOOKUP($B646,Q,8,FALSE)))</f>
        <v/>
      </c>
      <c r="F646" s="19" t="str">
        <f>IF(VLOOKUP($B646,Q,9,FALSE)=0,"",(VLOOKUP($B646,Q,9,FALSE)))</f>
        <v/>
      </c>
      <c r="G646" s="2" t="str">
        <f>IF(VLOOKUP($B646,Q,10,FALSE)=0,"",(VLOOKUP($B646,Q,10,FALSE)))</f>
        <v/>
      </c>
      <c r="H646" s="2" t="str">
        <f>IF(VLOOKUP($B646,Q,14,FALSE)=0,"",(VLOOKUP($B646,Q,14,FALSE)))</f>
        <v/>
      </c>
      <c r="I646" s="2" t="str">
        <f>IF(VLOOKUP($B646,Q,14,FALSE)=0,"",(VLOOKUP($B646,Q,15,FALSE)))</f>
        <v/>
      </c>
      <c r="J646" s="2" t="str">
        <f>IF(VLOOKUP($B646,Q,14,FALSE)=0,"",(VLOOKUP($B646,Q,16,FALSE)))</f>
        <v/>
      </c>
      <c r="K646" s="2" t="str">
        <f>IF(VLOOKUP($B646,Q,14,FALSE)=0,"",(VLOOKUP($B646,Q,17,FALSE)))</f>
        <v/>
      </c>
    </row>
    <row r="647" spans="2:11" x14ac:dyDescent="0.6">
      <c r="B647" s="1">
        <v>650</v>
      </c>
      <c r="C647" s="2" t="str">
        <f>IF(VLOOKUP($B647,Q,2,FALSE)=0,"",(VLOOKUP($B647,Q,2,FALSE)))</f>
        <v/>
      </c>
      <c r="D647" s="2" t="str">
        <f>IF(VLOOKUP($B647,Q,3,FALSE)=0,"",(VLOOKUP($B647,Q,3,FALSE)))</f>
        <v/>
      </c>
      <c r="E647" s="2" t="str">
        <f>IF(VLOOKUP($B647,Q,8,FALSE)=0,"",(VLOOKUP($B647,Q,8,FALSE)))</f>
        <v/>
      </c>
      <c r="F647" s="19" t="str">
        <f>IF(VLOOKUP($B647,Q,9,FALSE)=0,"",(VLOOKUP($B647,Q,9,FALSE)))</f>
        <v/>
      </c>
      <c r="G647" s="2" t="str">
        <f>IF(VLOOKUP($B647,Q,10,FALSE)=0,"",(VLOOKUP($B647,Q,10,FALSE)))</f>
        <v/>
      </c>
      <c r="H647" s="2" t="str">
        <f>IF(VLOOKUP($B647,Q,14,FALSE)=0,"",(VLOOKUP($B647,Q,14,FALSE)))</f>
        <v/>
      </c>
      <c r="I647" s="2" t="str">
        <f>IF(VLOOKUP($B647,Q,14,FALSE)=0,"",(VLOOKUP($B647,Q,15,FALSE)))</f>
        <v/>
      </c>
      <c r="J647" s="2" t="str">
        <f>IF(VLOOKUP($B647,Q,14,FALSE)=0,"",(VLOOKUP($B647,Q,16,FALSE)))</f>
        <v/>
      </c>
      <c r="K647" s="2" t="str">
        <f>IF(VLOOKUP($B647,Q,14,FALSE)=0,"",(VLOOKUP($B647,Q,17,FALSE)))</f>
        <v/>
      </c>
    </row>
    <row r="648" spans="2:11" x14ac:dyDescent="0.6">
      <c r="B648" s="1">
        <v>651</v>
      </c>
      <c r="C648" s="2" t="str">
        <f>IF(VLOOKUP($B648,Q,2,FALSE)=0,"",(VLOOKUP($B648,Q,2,FALSE)))</f>
        <v/>
      </c>
      <c r="D648" s="2" t="str">
        <f>IF(VLOOKUP($B648,Q,3,FALSE)=0,"",(VLOOKUP($B648,Q,3,FALSE)))</f>
        <v/>
      </c>
      <c r="E648" s="2" t="str">
        <f>IF(VLOOKUP($B648,Q,8,FALSE)=0,"",(VLOOKUP($B648,Q,8,FALSE)))</f>
        <v/>
      </c>
      <c r="F648" s="19" t="str">
        <f>IF(VLOOKUP($B648,Q,9,FALSE)=0,"",(VLOOKUP($B648,Q,9,FALSE)))</f>
        <v/>
      </c>
      <c r="G648" s="2" t="str">
        <f>IF(VLOOKUP($B648,Q,10,FALSE)=0,"",(VLOOKUP($B648,Q,10,FALSE)))</f>
        <v/>
      </c>
      <c r="H648" s="2" t="str">
        <f>IF(VLOOKUP($B648,Q,14,FALSE)=0,"",(VLOOKUP($B648,Q,14,FALSE)))</f>
        <v/>
      </c>
      <c r="I648" s="2" t="str">
        <f>IF(VLOOKUP($B648,Q,14,FALSE)=0,"",(VLOOKUP($B648,Q,15,FALSE)))</f>
        <v/>
      </c>
      <c r="J648" s="2" t="str">
        <f>IF(VLOOKUP($B648,Q,14,FALSE)=0,"",(VLOOKUP($B648,Q,16,FALSE)))</f>
        <v/>
      </c>
      <c r="K648" s="2" t="str">
        <f>IF(VLOOKUP($B648,Q,14,FALSE)=0,"",(VLOOKUP($B648,Q,17,FALSE)))</f>
        <v/>
      </c>
    </row>
    <row r="649" spans="2:11" x14ac:dyDescent="0.6">
      <c r="B649" s="1">
        <v>652</v>
      </c>
      <c r="C649" s="2" t="str">
        <f>IF(VLOOKUP($B649,Q,2,FALSE)=0,"",(VLOOKUP($B649,Q,2,FALSE)))</f>
        <v/>
      </c>
      <c r="D649" s="2" t="str">
        <f>IF(VLOOKUP($B649,Q,3,FALSE)=0,"",(VLOOKUP($B649,Q,3,FALSE)))</f>
        <v/>
      </c>
      <c r="E649" s="2" t="str">
        <f>IF(VLOOKUP($B649,Q,8,FALSE)=0,"",(VLOOKUP($B649,Q,8,FALSE)))</f>
        <v/>
      </c>
      <c r="F649" s="19" t="str">
        <f>IF(VLOOKUP($B649,Q,9,FALSE)=0,"",(VLOOKUP($B649,Q,9,FALSE)))</f>
        <v/>
      </c>
      <c r="G649" s="2" t="str">
        <f>IF(VLOOKUP($B649,Q,10,FALSE)=0,"",(VLOOKUP($B649,Q,10,FALSE)))</f>
        <v/>
      </c>
      <c r="H649" s="2" t="str">
        <f>IF(VLOOKUP($B649,Q,14,FALSE)=0,"",(VLOOKUP($B649,Q,14,FALSE)))</f>
        <v/>
      </c>
      <c r="I649" s="2" t="str">
        <f>IF(VLOOKUP($B649,Q,14,FALSE)=0,"",(VLOOKUP($B649,Q,15,FALSE)))</f>
        <v/>
      </c>
      <c r="J649" s="2" t="str">
        <f>IF(VLOOKUP($B649,Q,14,FALSE)=0,"",(VLOOKUP($B649,Q,16,FALSE)))</f>
        <v/>
      </c>
      <c r="K649" s="2" t="str">
        <f>IF(VLOOKUP($B649,Q,14,FALSE)=0,"",(VLOOKUP($B649,Q,17,FALSE)))</f>
        <v/>
      </c>
    </row>
    <row r="650" spans="2:11" x14ac:dyDescent="0.6">
      <c r="B650" s="1">
        <v>653</v>
      </c>
      <c r="C650" s="2" t="str">
        <f>IF(VLOOKUP($B650,Q,2,FALSE)=0,"",(VLOOKUP($B650,Q,2,FALSE)))</f>
        <v/>
      </c>
      <c r="D650" s="2" t="str">
        <f>IF(VLOOKUP($B650,Q,3,FALSE)=0,"",(VLOOKUP($B650,Q,3,FALSE)))</f>
        <v/>
      </c>
      <c r="E650" s="2" t="str">
        <f>IF(VLOOKUP($B650,Q,8,FALSE)=0,"",(VLOOKUP($B650,Q,8,FALSE)))</f>
        <v/>
      </c>
      <c r="F650" s="19" t="str">
        <f>IF(VLOOKUP($B650,Q,9,FALSE)=0,"",(VLOOKUP($B650,Q,9,FALSE)))</f>
        <v/>
      </c>
      <c r="G650" s="2" t="str">
        <f>IF(VLOOKUP($B650,Q,10,FALSE)=0,"",(VLOOKUP($B650,Q,10,FALSE)))</f>
        <v/>
      </c>
      <c r="H650" s="2" t="str">
        <f>IF(VLOOKUP($B650,Q,14,FALSE)=0,"",(VLOOKUP($B650,Q,14,FALSE)))</f>
        <v/>
      </c>
      <c r="I650" s="2" t="str">
        <f>IF(VLOOKUP($B650,Q,14,FALSE)=0,"",(VLOOKUP($B650,Q,15,FALSE)))</f>
        <v/>
      </c>
      <c r="J650" s="2" t="str">
        <f>IF(VLOOKUP($B650,Q,14,FALSE)=0,"",(VLOOKUP($B650,Q,16,FALSE)))</f>
        <v/>
      </c>
      <c r="K650" s="2" t="str">
        <f>IF(VLOOKUP($B650,Q,14,FALSE)=0,"",(VLOOKUP($B650,Q,17,FALSE)))</f>
        <v/>
      </c>
    </row>
    <row r="651" spans="2:11" x14ac:dyDescent="0.6">
      <c r="B651" s="1">
        <v>654</v>
      </c>
      <c r="C651" s="2" t="str">
        <f>IF(VLOOKUP($B651,Q,2,FALSE)=0,"",(VLOOKUP($B651,Q,2,FALSE)))</f>
        <v/>
      </c>
      <c r="D651" s="2" t="str">
        <f>IF(VLOOKUP($B651,Q,3,FALSE)=0,"",(VLOOKUP($B651,Q,3,FALSE)))</f>
        <v/>
      </c>
      <c r="E651" s="2" t="str">
        <f>IF(VLOOKUP($B651,Q,8,FALSE)=0,"",(VLOOKUP($B651,Q,8,FALSE)))</f>
        <v/>
      </c>
      <c r="F651" s="19" t="str">
        <f>IF(VLOOKUP($B651,Q,9,FALSE)=0,"",(VLOOKUP($B651,Q,9,FALSE)))</f>
        <v/>
      </c>
      <c r="G651" s="2" t="str">
        <f>IF(VLOOKUP($B651,Q,10,FALSE)=0,"",(VLOOKUP($B651,Q,10,FALSE)))</f>
        <v/>
      </c>
      <c r="H651" s="2" t="str">
        <f>IF(VLOOKUP($B651,Q,14,FALSE)=0,"",(VLOOKUP($B651,Q,14,FALSE)))</f>
        <v/>
      </c>
      <c r="I651" s="2" t="str">
        <f>IF(VLOOKUP($B651,Q,14,FALSE)=0,"",(VLOOKUP($B651,Q,15,FALSE)))</f>
        <v/>
      </c>
      <c r="J651" s="2" t="str">
        <f>IF(VLOOKUP($B651,Q,14,FALSE)=0,"",(VLOOKUP($B651,Q,16,FALSE)))</f>
        <v/>
      </c>
      <c r="K651" s="2" t="str">
        <f>IF(VLOOKUP($B651,Q,14,FALSE)=0,"",(VLOOKUP($B651,Q,17,FALSE)))</f>
        <v/>
      </c>
    </row>
    <row r="652" spans="2:11" x14ac:dyDescent="0.6">
      <c r="B652" s="1">
        <v>655</v>
      </c>
      <c r="C652" s="2" t="str">
        <f>IF(VLOOKUP($B652,Q,2,FALSE)=0,"",(VLOOKUP($B652,Q,2,FALSE)))</f>
        <v/>
      </c>
      <c r="D652" s="2" t="str">
        <f>IF(VLOOKUP($B652,Q,3,FALSE)=0,"",(VLOOKUP($B652,Q,3,FALSE)))</f>
        <v/>
      </c>
      <c r="E652" s="2" t="str">
        <f>IF(VLOOKUP($B652,Q,8,FALSE)=0,"",(VLOOKUP($B652,Q,8,FALSE)))</f>
        <v/>
      </c>
      <c r="F652" s="19" t="str">
        <f>IF(VLOOKUP($B652,Q,9,FALSE)=0,"",(VLOOKUP($B652,Q,9,FALSE)))</f>
        <v/>
      </c>
      <c r="G652" s="2" t="str">
        <f>IF(VLOOKUP($B652,Q,10,FALSE)=0,"",(VLOOKUP($B652,Q,10,FALSE)))</f>
        <v/>
      </c>
      <c r="H652" s="2" t="str">
        <f>IF(VLOOKUP($B652,Q,14,FALSE)=0,"",(VLOOKUP($B652,Q,14,FALSE)))</f>
        <v/>
      </c>
      <c r="I652" s="2" t="str">
        <f>IF(VLOOKUP($B652,Q,14,FALSE)=0,"",(VLOOKUP($B652,Q,15,FALSE)))</f>
        <v/>
      </c>
      <c r="J652" s="2" t="str">
        <f>IF(VLOOKUP($B652,Q,14,FALSE)=0,"",(VLOOKUP($B652,Q,16,FALSE)))</f>
        <v/>
      </c>
      <c r="K652" s="2" t="str">
        <f>IF(VLOOKUP($B652,Q,14,FALSE)=0,"",(VLOOKUP($B652,Q,17,FALSE)))</f>
        <v/>
      </c>
    </row>
    <row r="653" spans="2:11" x14ac:dyDescent="0.6">
      <c r="B653" s="1">
        <v>656</v>
      </c>
      <c r="C653" s="2" t="str">
        <f>IF(VLOOKUP($B653,Q,2,FALSE)=0,"",(VLOOKUP($B653,Q,2,FALSE)))</f>
        <v/>
      </c>
      <c r="D653" s="2" t="str">
        <f>IF(VLOOKUP($B653,Q,3,FALSE)=0,"",(VLOOKUP($B653,Q,3,FALSE)))</f>
        <v/>
      </c>
      <c r="E653" s="2" t="str">
        <f>IF(VLOOKUP($B653,Q,8,FALSE)=0,"",(VLOOKUP($B653,Q,8,FALSE)))</f>
        <v/>
      </c>
      <c r="F653" s="19" t="str">
        <f>IF(VLOOKUP($B653,Q,9,FALSE)=0,"",(VLOOKUP($B653,Q,9,FALSE)))</f>
        <v/>
      </c>
      <c r="G653" s="2" t="str">
        <f>IF(VLOOKUP($B653,Q,10,FALSE)=0,"",(VLOOKUP($B653,Q,10,FALSE)))</f>
        <v/>
      </c>
      <c r="H653" s="2" t="str">
        <f>IF(VLOOKUP($B653,Q,14,FALSE)=0,"",(VLOOKUP($B653,Q,14,FALSE)))</f>
        <v/>
      </c>
      <c r="I653" s="2" t="str">
        <f>IF(VLOOKUP($B653,Q,14,FALSE)=0,"",(VLOOKUP($B653,Q,15,FALSE)))</f>
        <v/>
      </c>
      <c r="J653" s="2" t="str">
        <f>IF(VLOOKUP($B653,Q,14,FALSE)=0,"",(VLOOKUP($B653,Q,16,FALSE)))</f>
        <v/>
      </c>
      <c r="K653" s="2" t="str">
        <f>IF(VLOOKUP($B653,Q,14,FALSE)=0,"",(VLOOKUP($B653,Q,17,FALSE)))</f>
        <v/>
      </c>
    </row>
    <row r="654" spans="2:11" x14ac:dyDescent="0.6">
      <c r="B654" s="1">
        <v>657</v>
      </c>
      <c r="C654" s="2" t="str">
        <f>IF(VLOOKUP($B654,Q,2,FALSE)=0,"",(VLOOKUP($B654,Q,2,FALSE)))</f>
        <v/>
      </c>
      <c r="D654" s="2" t="str">
        <f>IF(VLOOKUP($B654,Q,3,FALSE)=0,"",(VLOOKUP($B654,Q,3,FALSE)))</f>
        <v/>
      </c>
      <c r="E654" s="2" t="str">
        <f>IF(VLOOKUP($B654,Q,8,FALSE)=0,"",(VLOOKUP($B654,Q,8,FALSE)))</f>
        <v/>
      </c>
      <c r="F654" s="19" t="str">
        <f>IF(VLOOKUP($B654,Q,9,FALSE)=0,"",(VLOOKUP($B654,Q,9,FALSE)))</f>
        <v/>
      </c>
      <c r="G654" s="2" t="str">
        <f>IF(VLOOKUP($B654,Q,10,FALSE)=0,"",(VLOOKUP($B654,Q,10,FALSE)))</f>
        <v/>
      </c>
      <c r="H654" s="2" t="str">
        <f>IF(VLOOKUP($B654,Q,14,FALSE)=0,"",(VLOOKUP($B654,Q,14,FALSE)))</f>
        <v/>
      </c>
      <c r="I654" s="2" t="str">
        <f>IF(VLOOKUP($B654,Q,14,FALSE)=0,"",(VLOOKUP($B654,Q,15,FALSE)))</f>
        <v/>
      </c>
      <c r="J654" s="2" t="str">
        <f>IF(VLOOKUP($B654,Q,14,FALSE)=0,"",(VLOOKUP($B654,Q,16,FALSE)))</f>
        <v/>
      </c>
      <c r="K654" s="2" t="str">
        <f>IF(VLOOKUP($B654,Q,14,FALSE)=0,"",(VLOOKUP($B654,Q,17,FALSE)))</f>
        <v/>
      </c>
    </row>
    <row r="655" spans="2:11" x14ac:dyDescent="0.6">
      <c r="B655" s="1">
        <v>658</v>
      </c>
      <c r="C655" s="2" t="str">
        <f>IF(VLOOKUP($B655,Q,2,FALSE)=0,"",(VLOOKUP($B655,Q,2,FALSE)))</f>
        <v/>
      </c>
      <c r="D655" s="2" t="str">
        <f>IF(VLOOKUP($B655,Q,3,FALSE)=0,"",(VLOOKUP($B655,Q,3,FALSE)))</f>
        <v/>
      </c>
      <c r="E655" s="2" t="str">
        <f>IF(VLOOKUP($B655,Q,8,FALSE)=0,"",(VLOOKUP($B655,Q,8,FALSE)))</f>
        <v/>
      </c>
      <c r="F655" s="19" t="str">
        <f>IF(VLOOKUP($B655,Q,9,FALSE)=0,"",(VLOOKUP($B655,Q,9,FALSE)))</f>
        <v/>
      </c>
      <c r="G655" s="2" t="str">
        <f>IF(VLOOKUP($B655,Q,10,FALSE)=0,"",(VLOOKUP($B655,Q,10,FALSE)))</f>
        <v/>
      </c>
      <c r="H655" s="2" t="str">
        <f>IF(VLOOKUP($B655,Q,14,FALSE)=0,"",(VLOOKUP($B655,Q,14,FALSE)))</f>
        <v/>
      </c>
      <c r="I655" s="2" t="str">
        <f>IF(VLOOKUP($B655,Q,14,FALSE)=0,"",(VLOOKUP($B655,Q,15,FALSE)))</f>
        <v/>
      </c>
      <c r="J655" s="2" t="str">
        <f>IF(VLOOKUP($B655,Q,14,FALSE)=0,"",(VLOOKUP($B655,Q,16,FALSE)))</f>
        <v/>
      </c>
      <c r="K655" s="2" t="str">
        <f>IF(VLOOKUP($B655,Q,14,FALSE)=0,"",(VLOOKUP($B655,Q,17,FALSE)))</f>
        <v/>
      </c>
    </row>
    <row r="656" spans="2:11" x14ac:dyDescent="0.6">
      <c r="B656" s="1">
        <v>659</v>
      </c>
      <c r="C656" s="2" t="str">
        <f>IF(VLOOKUP($B656,Q,2,FALSE)=0,"",(VLOOKUP($B656,Q,2,FALSE)))</f>
        <v/>
      </c>
      <c r="D656" s="2" t="str">
        <f>IF(VLOOKUP($B656,Q,3,FALSE)=0,"",(VLOOKUP($B656,Q,3,FALSE)))</f>
        <v/>
      </c>
      <c r="E656" s="2" t="str">
        <f>IF(VLOOKUP($B656,Q,8,FALSE)=0,"",(VLOOKUP($B656,Q,8,FALSE)))</f>
        <v/>
      </c>
      <c r="F656" s="19" t="str">
        <f>IF(VLOOKUP($B656,Q,9,FALSE)=0,"",(VLOOKUP($B656,Q,9,FALSE)))</f>
        <v/>
      </c>
      <c r="G656" s="2" t="str">
        <f>IF(VLOOKUP($B656,Q,10,FALSE)=0,"",(VLOOKUP($B656,Q,10,FALSE)))</f>
        <v/>
      </c>
      <c r="H656" s="2" t="str">
        <f>IF(VLOOKUP($B656,Q,14,FALSE)=0,"",(VLOOKUP($B656,Q,14,FALSE)))</f>
        <v/>
      </c>
      <c r="I656" s="2" t="str">
        <f>IF(VLOOKUP($B656,Q,14,FALSE)=0,"",(VLOOKUP($B656,Q,15,FALSE)))</f>
        <v/>
      </c>
      <c r="J656" s="2" t="str">
        <f>IF(VLOOKUP($B656,Q,14,FALSE)=0,"",(VLOOKUP($B656,Q,16,FALSE)))</f>
        <v/>
      </c>
      <c r="K656" s="2" t="str">
        <f>IF(VLOOKUP($B656,Q,14,FALSE)=0,"",(VLOOKUP($B656,Q,17,FALSE)))</f>
        <v/>
      </c>
    </row>
    <row r="657" spans="2:11" x14ac:dyDescent="0.6">
      <c r="B657" s="1">
        <v>660</v>
      </c>
      <c r="C657" s="2" t="str">
        <f>IF(VLOOKUP($B657,Q,2,FALSE)=0,"",(VLOOKUP($B657,Q,2,FALSE)))</f>
        <v/>
      </c>
      <c r="D657" s="2" t="str">
        <f>IF(VLOOKUP($B657,Q,3,FALSE)=0,"",(VLOOKUP($B657,Q,3,FALSE)))</f>
        <v/>
      </c>
      <c r="E657" s="2" t="str">
        <f>IF(VLOOKUP($B657,Q,8,FALSE)=0,"",(VLOOKUP($B657,Q,8,FALSE)))</f>
        <v/>
      </c>
      <c r="F657" s="19" t="str">
        <f>IF(VLOOKUP($B657,Q,9,FALSE)=0,"",(VLOOKUP($B657,Q,9,FALSE)))</f>
        <v/>
      </c>
      <c r="G657" s="2" t="str">
        <f>IF(VLOOKUP($B657,Q,10,FALSE)=0,"",(VLOOKUP($B657,Q,10,FALSE)))</f>
        <v/>
      </c>
      <c r="H657" s="2" t="str">
        <f>IF(VLOOKUP($B657,Q,14,FALSE)=0,"",(VLOOKUP($B657,Q,14,FALSE)))</f>
        <v/>
      </c>
      <c r="I657" s="2" t="str">
        <f>IF(VLOOKUP($B657,Q,14,FALSE)=0,"",(VLOOKUP($B657,Q,15,FALSE)))</f>
        <v/>
      </c>
      <c r="J657" s="2" t="str">
        <f>IF(VLOOKUP($B657,Q,14,FALSE)=0,"",(VLOOKUP($B657,Q,16,FALSE)))</f>
        <v/>
      </c>
      <c r="K657" s="2" t="str">
        <f>IF(VLOOKUP($B657,Q,14,FALSE)=0,"",(VLOOKUP($B657,Q,17,FALSE)))</f>
        <v/>
      </c>
    </row>
    <row r="658" spans="2:11" x14ac:dyDescent="0.6">
      <c r="B658" s="1">
        <v>661</v>
      </c>
      <c r="C658" s="2" t="str">
        <f>IF(VLOOKUP($B658,Q,2,FALSE)=0,"",(VLOOKUP($B658,Q,2,FALSE)))</f>
        <v/>
      </c>
      <c r="D658" s="2" t="str">
        <f>IF(VLOOKUP($B658,Q,3,FALSE)=0,"",(VLOOKUP($B658,Q,3,FALSE)))</f>
        <v/>
      </c>
      <c r="E658" s="2" t="str">
        <f>IF(VLOOKUP($B658,Q,8,FALSE)=0,"",(VLOOKUP($B658,Q,8,FALSE)))</f>
        <v/>
      </c>
      <c r="F658" s="19" t="str">
        <f>IF(VLOOKUP($B658,Q,9,FALSE)=0,"",(VLOOKUP($B658,Q,9,FALSE)))</f>
        <v/>
      </c>
      <c r="G658" s="2" t="str">
        <f>IF(VLOOKUP($B658,Q,10,FALSE)=0,"",(VLOOKUP($B658,Q,10,FALSE)))</f>
        <v/>
      </c>
      <c r="H658" s="2" t="str">
        <f>IF(VLOOKUP($B658,Q,14,FALSE)=0,"",(VLOOKUP($B658,Q,14,FALSE)))</f>
        <v/>
      </c>
      <c r="I658" s="2" t="str">
        <f>IF(VLOOKUP($B658,Q,14,FALSE)=0,"",(VLOOKUP($B658,Q,15,FALSE)))</f>
        <v/>
      </c>
      <c r="J658" s="2" t="str">
        <f>IF(VLOOKUP($B658,Q,14,FALSE)=0,"",(VLOOKUP($B658,Q,16,FALSE)))</f>
        <v/>
      </c>
      <c r="K658" s="2" t="str">
        <f>IF(VLOOKUP($B658,Q,14,FALSE)=0,"",(VLOOKUP($B658,Q,17,FALSE)))</f>
        <v/>
      </c>
    </row>
    <row r="659" spans="2:11" x14ac:dyDescent="0.6">
      <c r="B659" s="1">
        <v>662</v>
      </c>
      <c r="C659" s="2" t="str">
        <f>IF(VLOOKUP($B659,Q,2,FALSE)=0,"",(VLOOKUP($B659,Q,2,FALSE)))</f>
        <v/>
      </c>
      <c r="D659" s="2" t="str">
        <f>IF(VLOOKUP($B659,Q,3,FALSE)=0,"",(VLOOKUP($B659,Q,3,FALSE)))</f>
        <v/>
      </c>
      <c r="E659" s="2" t="str">
        <f>IF(VLOOKUP($B659,Q,8,FALSE)=0,"",(VLOOKUP($B659,Q,8,FALSE)))</f>
        <v/>
      </c>
      <c r="F659" s="19" t="str">
        <f>IF(VLOOKUP($B659,Q,9,FALSE)=0,"",(VLOOKUP($B659,Q,9,FALSE)))</f>
        <v/>
      </c>
      <c r="G659" s="2" t="str">
        <f>IF(VLOOKUP($B659,Q,10,FALSE)=0,"",(VLOOKUP($B659,Q,10,FALSE)))</f>
        <v/>
      </c>
      <c r="H659" s="2" t="str">
        <f>IF(VLOOKUP($B659,Q,14,FALSE)=0,"",(VLOOKUP($B659,Q,14,FALSE)))</f>
        <v/>
      </c>
      <c r="I659" s="2" t="str">
        <f>IF(VLOOKUP($B659,Q,14,FALSE)=0,"",(VLOOKUP($B659,Q,15,FALSE)))</f>
        <v/>
      </c>
      <c r="J659" s="2" t="str">
        <f>IF(VLOOKUP($B659,Q,14,FALSE)=0,"",(VLOOKUP($B659,Q,16,FALSE)))</f>
        <v/>
      </c>
      <c r="K659" s="2" t="str">
        <f>IF(VLOOKUP($B659,Q,14,FALSE)=0,"",(VLOOKUP($B659,Q,17,FALSE)))</f>
        <v/>
      </c>
    </row>
    <row r="660" spans="2:11" x14ac:dyDescent="0.6">
      <c r="B660" s="1">
        <v>663</v>
      </c>
      <c r="C660" s="2" t="str">
        <f>IF(VLOOKUP($B660,Q,2,FALSE)=0,"",(VLOOKUP($B660,Q,2,FALSE)))</f>
        <v/>
      </c>
      <c r="D660" s="2" t="str">
        <f>IF(VLOOKUP($B660,Q,3,FALSE)=0,"",(VLOOKUP($B660,Q,3,FALSE)))</f>
        <v/>
      </c>
      <c r="E660" s="2" t="str">
        <f>IF(VLOOKUP($B660,Q,8,FALSE)=0,"",(VLOOKUP($B660,Q,8,FALSE)))</f>
        <v/>
      </c>
      <c r="F660" s="19" t="str">
        <f>IF(VLOOKUP($B660,Q,9,FALSE)=0,"",(VLOOKUP($B660,Q,9,FALSE)))</f>
        <v/>
      </c>
      <c r="G660" s="2" t="str">
        <f>IF(VLOOKUP($B660,Q,10,FALSE)=0,"",(VLOOKUP($B660,Q,10,FALSE)))</f>
        <v/>
      </c>
      <c r="H660" s="2" t="str">
        <f>IF(VLOOKUP($B660,Q,14,FALSE)=0,"",(VLOOKUP($B660,Q,14,FALSE)))</f>
        <v/>
      </c>
      <c r="I660" s="2" t="str">
        <f>IF(VLOOKUP($B660,Q,14,FALSE)=0,"",(VLOOKUP($B660,Q,15,FALSE)))</f>
        <v/>
      </c>
      <c r="J660" s="2" t="str">
        <f>IF(VLOOKUP($B660,Q,14,FALSE)=0,"",(VLOOKUP($B660,Q,16,FALSE)))</f>
        <v/>
      </c>
      <c r="K660" s="2" t="str">
        <f>IF(VLOOKUP($B660,Q,14,FALSE)=0,"",(VLOOKUP($B660,Q,17,FALSE)))</f>
        <v/>
      </c>
    </row>
    <row r="661" spans="2:11" x14ac:dyDescent="0.6">
      <c r="B661" s="1">
        <v>664</v>
      </c>
      <c r="C661" s="2" t="str">
        <f>IF(VLOOKUP($B661,Q,2,FALSE)=0,"",(VLOOKUP($B661,Q,2,FALSE)))</f>
        <v/>
      </c>
      <c r="D661" s="2" t="str">
        <f>IF(VLOOKUP($B661,Q,3,FALSE)=0,"",(VLOOKUP($B661,Q,3,FALSE)))</f>
        <v/>
      </c>
      <c r="E661" s="2" t="str">
        <f>IF(VLOOKUP($B661,Q,8,FALSE)=0,"",(VLOOKUP($B661,Q,8,FALSE)))</f>
        <v/>
      </c>
      <c r="F661" s="19" t="str">
        <f>IF(VLOOKUP($B661,Q,9,FALSE)=0,"",(VLOOKUP($B661,Q,9,FALSE)))</f>
        <v/>
      </c>
      <c r="G661" s="2" t="str">
        <f>IF(VLOOKUP($B661,Q,10,FALSE)=0,"",(VLOOKUP($B661,Q,10,FALSE)))</f>
        <v/>
      </c>
      <c r="H661" s="2" t="str">
        <f>IF(VLOOKUP($B661,Q,14,FALSE)=0,"",(VLOOKUP($B661,Q,14,FALSE)))</f>
        <v/>
      </c>
      <c r="I661" s="2" t="str">
        <f>IF(VLOOKUP($B661,Q,14,FALSE)=0,"",(VLOOKUP($B661,Q,15,FALSE)))</f>
        <v/>
      </c>
      <c r="J661" s="2" t="str">
        <f>IF(VLOOKUP($B661,Q,14,FALSE)=0,"",(VLOOKUP($B661,Q,16,FALSE)))</f>
        <v/>
      </c>
      <c r="K661" s="2" t="str">
        <f>IF(VLOOKUP($B661,Q,14,FALSE)=0,"",(VLOOKUP($B661,Q,17,FALSE)))</f>
        <v/>
      </c>
    </row>
    <row r="662" spans="2:11" x14ac:dyDescent="0.6">
      <c r="B662" s="1">
        <v>665</v>
      </c>
      <c r="C662" s="2" t="str">
        <f>IF(VLOOKUP($B662,Q,2,FALSE)=0,"",(VLOOKUP($B662,Q,2,FALSE)))</f>
        <v/>
      </c>
      <c r="D662" s="2" t="str">
        <f>IF(VLOOKUP($B662,Q,3,FALSE)=0,"",(VLOOKUP($B662,Q,3,FALSE)))</f>
        <v/>
      </c>
      <c r="E662" s="2" t="str">
        <f>IF(VLOOKUP($B662,Q,8,FALSE)=0,"",(VLOOKUP($B662,Q,8,FALSE)))</f>
        <v/>
      </c>
      <c r="F662" s="19" t="str">
        <f>IF(VLOOKUP($B662,Q,9,FALSE)=0,"",(VLOOKUP($B662,Q,9,FALSE)))</f>
        <v/>
      </c>
      <c r="G662" s="2" t="str">
        <f>IF(VLOOKUP($B662,Q,10,FALSE)=0,"",(VLOOKUP($B662,Q,10,FALSE)))</f>
        <v/>
      </c>
      <c r="H662" s="2" t="str">
        <f>IF(VLOOKUP($B662,Q,14,FALSE)=0,"",(VLOOKUP($B662,Q,14,FALSE)))</f>
        <v/>
      </c>
      <c r="I662" s="2" t="str">
        <f>IF(VLOOKUP($B662,Q,14,FALSE)=0,"",(VLOOKUP($B662,Q,15,FALSE)))</f>
        <v/>
      </c>
      <c r="J662" s="2" t="str">
        <f>IF(VLOOKUP($B662,Q,14,FALSE)=0,"",(VLOOKUP($B662,Q,16,FALSE)))</f>
        <v/>
      </c>
      <c r="K662" s="2" t="str">
        <f>IF(VLOOKUP($B662,Q,14,FALSE)=0,"",(VLOOKUP($B662,Q,17,FALSE)))</f>
        <v/>
      </c>
    </row>
    <row r="663" spans="2:11" x14ac:dyDescent="0.6">
      <c r="B663" s="1">
        <v>666</v>
      </c>
      <c r="C663" s="2" t="str">
        <f>IF(VLOOKUP($B663,Q,2,FALSE)=0,"",(VLOOKUP($B663,Q,2,FALSE)))</f>
        <v/>
      </c>
      <c r="D663" s="2" t="str">
        <f>IF(VLOOKUP($B663,Q,3,FALSE)=0,"",(VLOOKUP($B663,Q,3,FALSE)))</f>
        <v/>
      </c>
      <c r="E663" s="2" t="str">
        <f>IF(VLOOKUP($B663,Q,8,FALSE)=0,"",(VLOOKUP($B663,Q,8,FALSE)))</f>
        <v/>
      </c>
      <c r="F663" s="19" t="str">
        <f>IF(VLOOKUP($B663,Q,9,FALSE)=0,"",(VLOOKUP($B663,Q,9,FALSE)))</f>
        <v/>
      </c>
      <c r="G663" s="2" t="str">
        <f>IF(VLOOKUP($B663,Q,10,FALSE)=0,"",(VLOOKUP($B663,Q,10,FALSE)))</f>
        <v/>
      </c>
      <c r="H663" s="2" t="str">
        <f>IF(VLOOKUP($B663,Q,14,FALSE)=0,"",(VLOOKUP($B663,Q,14,FALSE)))</f>
        <v/>
      </c>
      <c r="I663" s="2" t="str">
        <f>IF(VLOOKUP($B663,Q,14,FALSE)=0,"",(VLOOKUP($B663,Q,15,FALSE)))</f>
        <v/>
      </c>
      <c r="J663" s="2" t="str">
        <f>IF(VLOOKUP($B663,Q,14,FALSE)=0,"",(VLOOKUP($B663,Q,16,FALSE)))</f>
        <v/>
      </c>
      <c r="K663" s="2" t="str">
        <f>IF(VLOOKUP($B663,Q,14,FALSE)=0,"",(VLOOKUP($B663,Q,17,FALSE)))</f>
        <v/>
      </c>
    </row>
    <row r="664" spans="2:11" x14ac:dyDescent="0.6">
      <c r="B664" s="1">
        <v>667</v>
      </c>
      <c r="C664" s="2" t="str">
        <f>IF(VLOOKUP($B664,Q,2,FALSE)=0,"",(VLOOKUP($B664,Q,2,FALSE)))</f>
        <v/>
      </c>
      <c r="D664" s="2" t="str">
        <f>IF(VLOOKUP($B664,Q,3,FALSE)=0,"",(VLOOKUP($B664,Q,3,FALSE)))</f>
        <v/>
      </c>
      <c r="E664" s="2" t="str">
        <f>IF(VLOOKUP($B664,Q,8,FALSE)=0,"",(VLOOKUP($B664,Q,8,FALSE)))</f>
        <v/>
      </c>
      <c r="F664" s="19" t="str">
        <f>IF(VLOOKUP($B664,Q,9,FALSE)=0,"",(VLOOKUP($B664,Q,9,FALSE)))</f>
        <v/>
      </c>
      <c r="G664" s="2" t="str">
        <f>IF(VLOOKUP($B664,Q,10,FALSE)=0,"",(VLOOKUP($B664,Q,10,FALSE)))</f>
        <v/>
      </c>
      <c r="H664" s="2" t="str">
        <f>IF(VLOOKUP($B664,Q,14,FALSE)=0,"",(VLOOKUP($B664,Q,14,FALSE)))</f>
        <v/>
      </c>
      <c r="I664" s="2" t="str">
        <f>IF(VLOOKUP($B664,Q,14,FALSE)=0,"",(VLOOKUP($B664,Q,15,FALSE)))</f>
        <v/>
      </c>
      <c r="J664" s="2" t="str">
        <f>IF(VLOOKUP($B664,Q,14,FALSE)=0,"",(VLOOKUP($B664,Q,16,FALSE)))</f>
        <v/>
      </c>
      <c r="K664" s="2" t="str">
        <f>IF(VLOOKUP($B664,Q,14,FALSE)=0,"",(VLOOKUP($B664,Q,17,FALSE)))</f>
        <v/>
      </c>
    </row>
    <row r="665" spans="2:11" x14ac:dyDescent="0.6">
      <c r="B665" s="1">
        <v>668</v>
      </c>
      <c r="C665" s="2" t="str">
        <f>IF(VLOOKUP($B665,Q,2,FALSE)=0,"",(VLOOKUP($B665,Q,2,FALSE)))</f>
        <v/>
      </c>
      <c r="D665" s="2" t="str">
        <f>IF(VLOOKUP($B665,Q,3,FALSE)=0,"",(VLOOKUP($B665,Q,3,FALSE)))</f>
        <v/>
      </c>
      <c r="E665" s="2" t="str">
        <f>IF(VLOOKUP($B665,Q,8,FALSE)=0,"",(VLOOKUP($B665,Q,8,FALSE)))</f>
        <v/>
      </c>
      <c r="F665" s="19" t="str">
        <f>IF(VLOOKUP($B665,Q,9,FALSE)=0,"",(VLOOKUP($B665,Q,9,FALSE)))</f>
        <v/>
      </c>
      <c r="G665" s="2" t="str">
        <f>IF(VLOOKUP($B665,Q,10,FALSE)=0,"",(VLOOKUP($B665,Q,10,FALSE)))</f>
        <v/>
      </c>
      <c r="H665" s="2" t="str">
        <f>IF(VLOOKUP($B665,Q,14,FALSE)=0,"",(VLOOKUP($B665,Q,14,FALSE)))</f>
        <v/>
      </c>
      <c r="I665" s="2" t="str">
        <f>IF(VLOOKUP($B665,Q,14,FALSE)=0,"",(VLOOKUP($B665,Q,15,FALSE)))</f>
        <v/>
      </c>
      <c r="J665" s="2" t="str">
        <f>IF(VLOOKUP($B665,Q,14,FALSE)=0,"",(VLOOKUP($B665,Q,16,FALSE)))</f>
        <v/>
      </c>
      <c r="K665" s="2" t="str">
        <f>IF(VLOOKUP($B665,Q,14,FALSE)=0,"",(VLOOKUP($B665,Q,17,FALSE)))</f>
        <v/>
      </c>
    </row>
    <row r="666" spans="2:11" x14ac:dyDescent="0.6">
      <c r="B666" s="1">
        <v>669</v>
      </c>
      <c r="C666" s="2" t="str">
        <f>IF(VLOOKUP($B666,Q,2,FALSE)=0,"",(VLOOKUP($B666,Q,2,FALSE)))</f>
        <v/>
      </c>
      <c r="D666" s="2" t="str">
        <f>IF(VLOOKUP($B666,Q,3,FALSE)=0,"",(VLOOKUP($B666,Q,3,FALSE)))</f>
        <v/>
      </c>
      <c r="E666" s="2" t="str">
        <f>IF(VLOOKUP($B666,Q,8,FALSE)=0,"",(VLOOKUP($B666,Q,8,FALSE)))</f>
        <v/>
      </c>
      <c r="F666" s="19" t="str">
        <f>IF(VLOOKUP($B666,Q,9,FALSE)=0,"",(VLOOKUP($B666,Q,9,FALSE)))</f>
        <v/>
      </c>
      <c r="G666" s="2" t="str">
        <f>IF(VLOOKUP($B666,Q,10,FALSE)=0,"",(VLOOKUP($B666,Q,10,FALSE)))</f>
        <v/>
      </c>
      <c r="H666" s="2" t="str">
        <f>IF(VLOOKUP($B666,Q,14,FALSE)=0,"",(VLOOKUP($B666,Q,14,FALSE)))</f>
        <v/>
      </c>
      <c r="I666" s="2" t="str">
        <f>IF(VLOOKUP($B666,Q,14,FALSE)=0,"",(VLOOKUP($B666,Q,15,FALSE)))</f>
        <v/>
      </c>
      <c r="J666" s="2" t="str">
        <f>IF(VLOOKUP($B666,Q,14,FALSE)=0,"",(VLOOKUP($B666,Q,16,FALSE)))</f>
        <v/>
      </c>
      <c r="K666" s="2" t="str">
        <f>IF(VLOOKUP($B666,Q,14,FALSE)=0,"",(VLOOKUP($B666,Q,17,FALSE)))</f>
        <v/>
      </c>
    </row>
    <row r="667" spans="2:11" x14ac:dyDescent="0.6">
      <c r="B667" s="1">
        <v>670</v>
      </c>
      <c r="C667" s="2" t="str">
        <f>IF(VLOOKUP($B667,Q,2,FALSE)=0,"",(VLOOKUP($B667,Q,2,FALSE)))</f>
        <v/>
      </c>
      <c r="D667" s="2" t="str">
        <f>IF(VLOOKUP($B667,Q,3,FALSE)=0,"",(VLOOKUP($B667,Q,3,FALSE)))</f>
        <v/>
      </c>
      <c r="E667" s="2" t="str">
        <f>IF(VLOOKUP($B667,Q,8,FALSE)=0,"",(VLOOKUP($B667,Q,8,FALSE)))</f>
        <v/>
      </c>
      <c r="F667" s="19" t="str">
        <f>IF(VLOOKUP($B667,Q,9,FALSE)=0,"",(VLOOKUP($B667,Q,9,FALSE)))</f>
        <v/>
      </c>
      <c r="G667" s="2" t="str">
        <f>IF(VLOOKUP($B667,Q,10,FALSE)=0,"",(VLOOKUP($B667,Q,10,FALSE)))</f>
        <v/>
      </c>
      <c r="H667" s="2" t="str">
        <f>IF(VLOOKUP($B667,Q,14,FALSE)=0,"",(VLOOKUP($B667,Q,14,FALSE)))</f>
        <v/>
      </c>
      <c r="I667" s="2" t="str">
        <f>IF(VLOOKUP($B667,Q,14,FALSE)=0,"",(VLOOKUP($B667,Q,15,FALSE)))</f>
        <v/>
      </c>
      <c r="J667" s="2" t="str">
        <f>IF(VLOOKUP($B667,Q,14,FALSE)=0,"",(VLOOKUP($B667,Q,16,FALSE)))</f>
        <v/>
      </c>
      <c r="K667" s="2" t="str">
        <f>IF(VLOOKUP($B667,Q,14,FALSE)=0,"",(VLOOKUP($B667,Q,17,FALSE)))</f>
        <v/>
      </c>
    </row>
    <row r="668" spans="2:11" x14ac:dyDescent="0.6">
      <c r="B668" s="1">
        <v>671</v>
      </c>
      <c r="C668" s="2" t="str">
        <f>IF(VLOOKUP($B668,Q,2,FALSE)=0,"",(VLOOKUP($B668,Q,2,FALSE)))</f>
        <v/>
      </c>
      <c r="D668" s="2" t="str">
        <f>IF(VLOOKUP($B668,Q,3,FALSE)=0,"",(VLOOKUP($B668,Q,3,FALSE)))</f>
        <v/>
      </c>
      <c r="E668" s="2" t="str">
        <f>IF(VLOOKUP($B668,Q,8,FALSE)=0,"",(VLOOKUP($B668,Q,8,FALSE)))</f>
        <v/>
      </c>
      <c r="F668" s="19" t="str">
        <f>IF(VLOOKUP($B668,Q,9,FALSE)=0,"",(VLOOKUP($B668,Q,9,FALSE)))</f>
        <v/>
      </c>
      <c r="G668" s="2" t="str">
        <f>IF(VLOOKUP($B668,Q,10,FALSE)=0,"",(VLOOKUP($B668,Q,10,FALSE)))</f>
        <v/>
      </c>
      <c r="H668" s="2" t="str">
        <f>IF(VLOOKUP($B668,Q,14,FALSE)=0,"",(VLOOKUP($B668,Q,14,FALSE)))</f>
        <v/>
      </c>
      <c r="I668" s="2" t="str">
        <f>IF(VLOOKUP($B668,Q,14,FALSE)=0,"",(VLOOKUP($B668,Q,15,FALSE)))</f>
        <v/>
      </c>
      <c r="J668" s="2" t="str">
        <f>IF(VLOOKUP($B668,Q,14,FALSE)=0,"",(VLOOKUP($B668,Q,16,FALSE)))</f>
        <v/>
      </c>
      <c r="K668" s="2" t="str">
        <f>IF(VLOOKUP($B668,Q,14,FALSE)=0,"",(VLOOKUP($B668,Q,17,FALSE)))</f>
        <v/>
      </c>
    </row>
    <row r="669" spans="2:11" x14ac:dyDescent="0.6">
      <c r="B669" s="1">
        <v>672</v>
      </c>
      <c r="C669" s="2" t="str">
        <f>IF(VLOOKUP($B669,Q,2,FALSE)=0,"",(VLOOKUP($B669,Q,2,FALSE)))</f>
        <v/>
      </c>
      <c r="D669" s="2" t="str">
        <f>IF(VLOOKUP($B669,Q,3,FALSE)=0,"",(VLOOKUP($B669,Q,3,FALSE)))</f>
        <v/>
      </c>
      <c r="E669" s="2" t="str">
        <f>IF(VLOOKUP($B669,Q,8,FALSE)=0,"",(VLOOKUP($B669,Q,8,FALSE)))</f>
        <v/>
      </c>
      <c r="F669" s="19" t="str">
        <f>IF(VLOOKUP($B669,Q,9,FALSE)=0,"",(VLOOKUP($B669,Q,9,FALSE)))</f>
        <v/>
      </c>
      <c r="G669" s="2" t="str">
        <f>IF(VLOOKUP($B669,Q,10,FALSE)=0,"",(VLOOKUP($B669,Q,10,FALSE)))</f>
        <v/>
      </c>
      <c r="H669" s="2" t="str">
        <f>IF(VLOOKUP($B669,Q,14,FALSE)=0,"",(VLOOKUP($B669,Q,14,FALSE)))</f>
        <v/>
      </c>
      <c r="I669" s="2" t="str">
        <f>IF(VLOOKUP($B669,Q,14,FALSE)=0,"",(VLOOKUP($B669,Q,15,FALSE)))</f>
        <v/>
      </c>
      <c r="J669" s="2" t="str">
        <f>IF(VLOOKUP($B669,Q,14,FALSE)=0,"",(VLOOKUP($B669,Q,16,FALSE)))</f>
        <v/>
      </c>
      <c r="K669" s="2" t="str">
        <f>IF(VLOOKUP($B669,Q,14,FALSE)=0,"",(VLOOKUP($B669,Q,17,FALSE)))</f>
        <v/>
      </c>
    </row>
    <row r="670" spans="2:11" x14ac:dyDescent="0.6">
      <c r="B670" s="1">
        <v>673</v>
      </c>
      <c r="C670" s="2" t="str">
        <f>IF(VLOOKUP($B670,Q,2,FALSE)=0,"",(VLOOKUP($B670,Q,2,FALSE)))</f>
        <v/>
      </c>
      <c r="D670" s="2" t="str">
        <f>IF(VLOOKUP($B670,Q,3,FALSE)=0,"",(VLOOKUP($B670,Q,3,FALSE)))</f>
        <v/>
      </c>
      <c r="E670" s="2" t="str">
        <f>IF(VLOOKUP($B670,Q,8,FALSE)=0,"",(VLOOKUP($B670,Q,8,FALSE)))</f>
        <v/>
      </c>
      <c r="F670" s="19" t="str">
        <f>IF(VLOOKUP($B670,Q,9,FALSE)=0,"",(VLOOKUP($B670,Q,9,FALSE)))</f>
        <v/>
      </c>
      <c r="G670" s="2" t="str">
        <f>IF(VLOOKUP($B670,Q,10,FALSE)=0,"",(VLOOKUP($B670,Q,10,FALSE)))</f>
        <v/>
      </c>
      <c r="H670" s="2" t="str">
        <f>IF(VLOOKUP($B670,Q,14,FALSE)=0,"",(VLOOKUP($B670,Q,14,FALSE)))</f>
        <v/>
      </c>
      <c r="I670" s="2" t="str">
        <f>IF(VLOOKUP($B670,Q,14,FALSE)=0,"",(VLOOKUP($B670,Q,15,FALSE)))</f>
        <v/>
      </c>
      <c r="J670" s="2" t="str">
        <f>IF(VLOOKUP($B670,Q,14,FALSE)=0,"",(VLOOKUP($B670,Q,16,FALSE)))</f>
        <v/>
      </c>
      <c r="K670" s="2" t="str">
        <f>IF(VLOOKUP($B670,Q,14,FALSE)=0,"",(VLOOKUP($B670,Q,17,FALSE)))</f>
        <v/>
      </c>
    </row>
    <row r="671" spans="2:11" x14ac:dyDescent="0.6">
      <c r="B671" s="1">
        <v>674</v>
      </c>
      <c r="C671" s="2" t="str">
        <f>IF(VLOOKUP($B671,Q,2,FALSE)=0,"",(VLOOKUP($B671,Q,2,FALSE)))</f>
        <v/>
      </c>
      <c r="D671" s="2" t="str">
        <f>IF(VLOOKUP($B671,Q,3,FALSE)=0,"",(VLOOKUP($B671,Q,3,FALSE)))</f>
        <v/>
      </c>
      <c r="E671" s="2" t="str">
        <f>IF(VLOOKUP($B671,Q,8,FALSE)=0,"",(VLOOKUP($B671,Q,8,FALSE)))</f>
        <v/>
      </c>
      <c r="F671" s="19" t="str">
        <f>IF(VLOOKUP($B671,Q,9,FALSE)=0,"",(VLOOKUP($B671,Q,9,FALSE)))</f>
        <v/>
      </c>
      <c r="G671" s="2" t="str">
        <f>IF(VLOOKUP($B671,Q,10,FALSE)=0,"",(VLOOKUP($B671,Q,10,FALSE)))</f>
        <v/>
      </c>
      <c r="H671" s="2" t="str">
        <f>IF(VLOOKUP($B671,Q,14,FALSE)=0,"",(VLOOKUP($B671,Q,14,FALSE)))</f>
        <v/>
      </c>
      <c r="I671" s="2" t="str">
        <f>IF(VLOOKUP($B671,Q,14,FALSE)=0,"",(VLOOKUP($B671,Q,15,FALSE)))</f>
        <v/>
      </c>
      <c r="J671" s="2" t="str">
        <f>IF(VLOOKUP($B671,Q,14,FALSE)=0,"",(VLOOKUP($B671,Q,16,FALSE)))</f>
        <v/>
      </c>
      <c r="K671" s="2" t="str">
        <f>IF(VLOOKUP($B671,Q,14,FALSE)=0,"",(VLOOKUP($B671,Q,17,FALSE)))</f>
        <v/>
      </c>
    </row>
    <row r="672" spans="2:11" x14ac:dyDescent="0.6">
      <c r="B672" s="1">
        <v>675</v>
      </c>
      <c r="C672" s="2" t="str">
        <f>IF(VLOOKUP($B672,Q,2,FALSE)=0,"",(VLOOKUP($B672,Q,2,FALSE)))</f>
        <v/>
      </c>
      <c r="D672" s="2" t="str">
        <f>IF(VLOOKUP($B672,Q,3,FALSE)=0,"",(VLOOKUP($B672,Q,3,FALSE)))</f>
        <v/>
      </c>
      <c r="E672" s="2" t="str">
        <f>IF(VLOOKUP($B672,Q,8,FALSE)=0,"",(VLOOKUP($B672,Q,8,FALSE)))</f>
        <v/>
      </c>
      <c r="F672" s="19" t="str">
        <f>IF(VLOOKUP($B672,Q,9,FALSE)=0,"",(VLOOKUP($B672,Q,9,FALSE)))</f>
        <v/>
      </c>
      <c r="G672" s="2" t="str">
        <f>IF(VLOOKUP($B672,Q,10,FALSE)=0,"",(VLOOKUP($B672,Q,10,FALSE)))</f>
        <v/>
      </c>
      <c r="H672" s="2" t="str">
        <f>IF(VLOOKUP($B672,Q,14,FALSE)=0,"",(VLOOKUP($B672,Q,14,FALSE)))</f>
        <v/>
      </c>
      <c r="I672" s="2" t="str">
        <f>IF(VLOOKUP($B672,Q,14,FALSE)=0,"",(VLOOKUP($B672,Q,15,FALSE)))</f>
        <v/>
      </c>
      <c r="J672" s="2" t="str">
        <f>IF(VLOOKUP($B672,Q,14,FALSE)=0,"",(VLOOKUP($B672,Q,16,FALSE)))</f>
        <v/>
      </c>
      <c r="K672" s="2" t="str">
        <f>IF(VLOOKUP($B672,Q,14,FALSE)=0,"",(VLOOKUP($B672,Q,17,FALSE)))</f>
        <v/>
      </c>
    </row>
    <row r="673" spans="2:11" x14ac:dyDescent="0.6">
      <c r="B673" s="1">
        <v>676</v>
      </c>
      <c r="C673" s="2" t="str">
        <f>IF(VLOOKUP($B673,Q,2,FALSE)=0,"",(VLOOKUP($B673,Q,2,FALSE)))</f>
        <v/>
      </c>
      <c r="D673" s="2" t="str">
        <f>IF(VLOOKUP($B673,Q,3,FALSE)=0,"",(VLOOKUP($B673,Q,3,FALSE)))</f>
        <v/>
      </c>
      <c r="E673" s="2" t="str">
        <f>IF(VLOOKUP($B673,Q,8,FALSE)=0,"",(VLOOKUP($B673,Q,8,FALSE)))</f>
        <v/>
      </c>
      <c r="F673" s="19" t="str">
        <f>IF(VLOOKUP($B673,Q,9,FALSE)=0,"",(VLOOKUP($B673,Q,9,FALSE)))</f>
        <v/>
      </c>
      <c r="G673" s="2" t="str">
        <f>IF(VLOOKUP($B673,Q,10,FALSE)=0,"",(VLOOKUP($B673,Q,10,FALSE)))</f>
        <v/>
      </c>
      <c r="H673" s="2" t="str">
        <f>IF(VLOOKUP($B673,Q,14,FALSE)=0,"",(VLOOKUP($B673,Q,14,FALSE)))</f>
        <v/>
      </c>
      <c r="I673" s="2" t="str">
        <f>IF(VLOOKUP($B673,Q,14,FALSE)=0,"",(VLOOKUP($B673,Q,15,FALSE)))</f>
        <v/>
      </c>
      <c r="J673" s="2" t="str">
        <f>IF(VLOOKUP($B673,Q,14,FALSE)=0,"",(VLOOKUP($B673,Q,16,FALSE)))</f>
        <v/>
      </c>
      <c r="K673" s="2" t="str">
        <f>IF(VLOOKUP($B673,Q,14,FALSE)=0,"",(VLOOKUP($B673,Q,17,FALSE)))</f>
        <v/>
      </c>
    </row>
    <row r="674" spans="2:11" x14ac:dyDescent="0.6">
      <c r="B674" s="1">
        <v>677</v>
      </c>
      <c r="C674" s="2" t="str">
        <f>IF(VLOOKUP($B674,Q,2,FALSE)=0,"",(VLOOKUP($B674,Q,2,FALSE)))</f>
        <v/>
      </c>
      <c r="D674" s="2" t="str">
        <f>IF(VLOOKUP($B674,Q,3,FALSE)=0,"",(VLOOKUP($B674,Q,3,FALSE)))</f>
        <v/>
      </c>
      <c r="E674" s="2" t="str">
        <f>IF(VLOOKUP($B674,Q,8,FALSE)=0,"",(VLOOKUP($B674,Q,8,FALSE)))</f>
        <v/>
      </c>
      <c r="F674" s="19" t="str">
        <f>IF(VLOOKUP($B674,Q,9,FALSE)=0,"",(VLOOKUP($B674,Q,9,FALSE)))</f>
        <v/>
      </c>
      <c r="G674" s="2" t="str">
        <f>IF(VLOOKUP($B674,Q,10,FALSE)=0,"",(VLOOKUP($B674,Q,10,FALSE)))</f>
        <v/>
      </c>
      <c r="H674" s="2" t="str">
        <f>IF(VLOOKUP($B674,Q,14,FALSE)=0,"",(VLOOKUP($B674,Q,14,FALSE)))</f>
        <v/>
      </c>
      <c r="I674" s="2" t="str">
        <f>IF(VLOOKUP($B674,Q,14,FALSE)=0,"",(VLOOKUP($B674,Q,15,FALSE)))</f>
        <v/>
      </c>
      <c r="J674" s="2" t="str">
        <f>IF(VLOOKUP($B674,Q,14,FALSE)=0,"",(VLOOKUP($B674,Q,16,FALSE)))</f>
        <v/>
      </c>
      <c r="K674" s="2" t="str">
        <f>IF(VLOOKUP($B674,Q,14,FALSE)=0,"",(VLOOKUP($B674,Q,17,FALSE)))</f>
        <v/>
      </c>
    </row>
    <row r="675" spans="2:11" x14ac:dyDescent="0.6">
      <c r="B675" s="1">
        <v>678</v>
      </c>
      <c r="C675" s="2" t="str">
        <f>IF(VLOOKUP($B675,Q,2,FALSE)=0,"",(VLOOKUP($B675,Q,2,FALSE)))</f>
        <v/>
      </c>
      <c r="D675" s="2" t="str">
        <f>IF(VLOOKUP($B675,Q,3,FALSE)=0,"",(VLOOKUP($B675,Q,3,FALSE)))</f>
        <v/>
      </c>
      <c r="E675" s="2" t="str">
        <f>IF(VLOOKUP($B675,Q,8,FALSE)=0,"",(VLOOKUP($B675,Q,8,FALSE)))</f>
        <v/>
      </c>
      <c r="F675" s="19" t="str">
        <f>IF(VLOOKUP($B675,Q,9,FALSE)=0,"",(VLOOKUP($B675,Q,9,FALSE)))</f>
        <v/>
      </c>
      <c r="G675" s="2" t="str">
        <f>IF(VLOOKUP($B675,Q,10,FALSE)=0,"",(VLOOKUP($B675,Q,10,FALSE)))</f>
        <v/>
      </c>
      <c r="H675" s="2" t="str">
        <f>IF(VLOOKUP($B675,Q,14,FALSE)=0,"",(VLOOKUP($B675,Q,14,FALSE)))</f>
        <v/>
      </c>
      <c r="I675" s="2" t="str">
        <f>IF(VLOOKUP($B675,Q,14,FALSE)=0,"",(VLOOKUP($B675,Q,15,FALSE)))</f>
        <v/>
      </c>
      <c r="J675" s="2" t="str">
        <f>IF(VLOOKUP($B675,Q,14,FALSE)=0,"",(VLOOKUP($B675,Q,16,FALSE)))</f>
        <v/>
      </c>
      <c r="K675" s="2" t="str">
        <f>IF(VLOOKUP($B675,Q,14,FALSE)=0,"",(VLOOKUP($B675,Q,17,FALSE)))</f>
        <v/>
      </c>
    </row>
    <row r="676" spans="2:11" x14ac:dyDescent="0.6">
      <c r="B676" s="1">
        <v>679</v>
      </c>
      <c r="C676" s="2" t="str">
        <f>IF(VLOOKUP($B676,Q,2,FALSE)=0,"",(VLOOKUP($B676,Q,2,FALSE)))</f>
        <v/>
      </c>
      <c r="D676" s="2" t="str">
        <f>IF(VLOOKUP($B676,Q,3,FALSE)=0,"",(VLOOKUP($B676,Q,3,FALSE)))</f>
        <v/>
      </c>
      <c r="E676" s="2" t="str">
        <f>IF(VLOOKUP($B676,Q,8,FALSE)=0,"",(VLOOKUP($B676,Q,8,FALSE)))</f>
        <v/>
      </c>
      <c r="F676" s="19" t="str">
        <f>IF(VLOOKUP($B676,Q,9,FALSE)=0,"",(VLOOKUP($B676,Q,9,FALSE)))</f>
        <v/>
      </c>
      <c r="G676" s="2" t="str">
        <f>IF(VLOOKUP($B676,Q,10,FALSE)=0,"",(VLOOKUP($B676,Q,10,FALSE)))</f>
        <v/>
      </c>
      <c r="H676" s="2" t="str">
        <f>IF(VLOOKUP($B676,Q,14,FALSE)=0,"",(VLOOKUP($B676,Q,14,FALSE)))</f>
        <v/>
      </c>
      <c r="I676" s="2" t="str">
        <f>IF(VLOOKUP($B676,Q,14,FALSE)=0,"",(VLOOKUP($B676,Q,15,FALSE)))</f>
        <v/>
      </c>
      <c r="J676" s="2" t="str">
        <f>IF(VLOOKUP($B676,Q,14,FALSE)=0,"",(VLOOKUP($B676,Q,16,FALSE)))</f>
        <v/>
      </c>
      <c r="K676" s="2" t="str">
        <f>IF(VLOOKUP($B676,Q,14,FALSE)=0,"",(VLOOKUP($B676,Q,17,FALSE)))</f>
        <v/>
      </c>
    </row>
    <row r="677" spans="2:11" x14ac:dyDescent="0.6">
      <c r="B677" s="1">
        <v>680</v>
      </c>
      <c r="C677" s="2" t="str">
        <f>IF(VLOOKUP($B677,Q,2,FALSE)=0,"",(VLOOKUP($B677,Q,2,FALSE)))</f>
        <v/>
      </c>
      <c r="D677" s="2" t="str">
        <f>IF(VLOOKUP($B677,Q,3,FALSE)=0,"",(VLOOKUP($B677,Q,3,FALSE)))</f>
        <v/>
      </c>
      <c r="E677" s="2" t="str">
        <f>IF(VLOOKUP($B677,Q,8,FALSE)=0,"",(VLOOKUP($B677,Q,8,FALSE)))</f>
        <v/>
      </c>
      <c r="F677" s="19" t="str">
        <f>IF(VLOOKUP($B677,Q,9,FALSE)=0,"",(VLOOKUP($B677,Q,9,FALSE)))</f>
        <v/>
      </c>
      <c r="G677" s="2" t="str">
        <f>IF(VLOOKUP($B677,Q,10,FALSE)=0,"",(VLOOKUP($B677,Q,10,FALSE)))</f>
        <v/>
      </c>
      <c r="H677" s="2" t="str">
        <f>IF(VLOOKUP($B677,Q,14,FALSE)=0,"",(VLOOKUP($B677,Q,14,FALSE)))</f>
        <v/>
      </c>
      <c r="I677" s="2" t="str">
        <f>IF(VLOOKUP($B677,Q,14,FALSE)=0,"",(VLOOKUP($B677,Q,15,FALSE)))</f>
        <v/>
      </c>
      <c r="J677" s="2" t="str">
        <f>IF(VLOOKUP($B677,Q,14,FALSE)=0,"",(VLOOKUP($B677,Q,16,FALSE)))</f>
        <v/>
      </c>
      <c r="K677" s="2" t="str">
        <f>IF(VLOOKUP($B677,Q,14,FALSE)=0,"",(VLOOKUP($B677,Q,17,FALSE)))</f>
        <v/>
      </c>
    </row>
    <row r="678" spans="2:11" x14ac:dyDescent="0.6">
      <c r="B678" s="1">
        <v>681</v>
      </c>
      <c r="C678" s="2" t="str">
        <f>IF(VLOOKUP($B678,Q,2,FALSE)=0,"",(VLOOKUP($B678,Q,2,FALSE)))</f>
        <v/>
      </c>
      <c r="D678" s="2" t="str">
        <f>IF(VLOOKUP($B678,Q,3,FALSE)=0,"",(VLOOKUP($B678,Q,3,FALSE)))</f>
        <v/>
      </c>
      <c r="E678" s="2" t="str">
        <f>IF(VLOOKUP($B678,Q,8,FALSE)=0,"",(VLOOKUP($B678,Q,8,FALSE)))</f>
        <v/>
      </c>
      <c r="F678" s="19" t="str">
        <f>IF(VLOOKUP($B678,Q,9,FALSE)=0,"",(VLOOKUP($B678,Q,9,FALSE)))</f>
        <v/>
      </c>
      <c r="G678" s="2" t="str">
        <f>IF(VLOOKUP($B678,Q,10,FALSE)=0,"",(VLOOKUP($B678,Q,10,FALSE)))</f>
        <v/>
      </c>
      <c r="H678" s="2" t="str">
        <f>IF(VLOOKUP($B678,Q,14,FALSE)=0,"",(VLOOKUP($B678,Q,14,FALSE)))</f>
        <v/>
      </c>
      <c r="I678" s="2" t="str">
        <f>IF(VLOOKUP($B678,Q,14,FALSE)=0,"",(VLOOKUP($B678,Q,15,FALSE)))</f>
        <v/>
      </c>
      <c r="J678" s="2" t="str">
        <f>IF(VLOOKUP($B678,Q,14,FALSE)=0,"",(VLOOKUP($B678,Q,16,FALSE)))</f>
        <v/>
      </c>
      <c r="K678" s="2" t="str">
        <f>IF(VLOOKUP($B678,Q,14,FALSE)=0,"",(VLOOKUP($B678,Q,17,FALSE)))</f>
        <v/>
      </c>
    </row>
    <row r="679" spans="2:11" x14ac:dyDescent="0.6">
      <c r="B679" s="1">
        <v>682</v>
      </c>
      <c r="C679" s="2" t="str">
        <f>IF(VLOOKUP($B679,Q,2,FALSE)=0,"",(VLOOKUP($B679,Q,2,FALSE)))</f>
        <v/>
      </c>
      <c r="D679" s="2" t="str">
        <f>IF(VLOOKUP($B679,Q,3,FALSE)=0,"",(VLOOKUP($B679,Q,3,FALSE)))</f>
        <v/>
      </c>
      <c r="E679" s="2" t="str">
        <f>IF(VLOOKUP($B679,Q,8,FALSE)=0,"",(VLOOKUP($B679,Q,8,FALSE)))</f>
        <v/>
      </c>
      <c r="F679" s="19" t="str">
        <f>IF(VLOOKUP($B679,Q,9,FALSE)=0,"",(VLOOKUP($B679,Q,9,FALSE)))</f>
        <v/>
      </c>
      <c r="G679" s="2" t="str">
        <f>IF(VLOOKUP($B679,Q,10,FALSE)=0,"",(VLOOKUP($B679,Q,10,FALSE)))</f>
        <v/>
      </c>
      <c r="H679" s="2" t="str">
        <f>IF(VLOOKUP($B679,Q,14,FALSE)=0,"",(VLOOKUP($B679,Q,14,FALSE)))</f>
        <v/>
      </c>
      <c r="I679" s="2" t="str">
        <f>IF(VLOOKUP($B679,Q,14,FALSE)=0,"",(VLOOKUP($B679,Q,15,FALSE)))</f>
        <v/>
      </c>
      <c r="J679" s="2" t="str">
        <f>IF(VLOOKUP($B679,Q,14,FALSE)=0,"",(VLOOKUP($B679,Q,16,FALSE)))</f>
        <v/>
      </c>
      <c r="K679" s="2" t="str">
        <f>IF(VLOOKUP($B679,Q,14,FALSE)=0,"",(VLOOKUP($B679,Q,17,FALSE)))</f>
        <v/>
      </c>
    </row>
    <row r="680" spans="2:11" x14ac:dyDescent="0.6">
      <c r="B680" s="1">
        <v>683</v>
      </c>
      <c r="C680" s="2" t="str">
        <f>IF(VLOOKUP($B680,Q,2,FALSE)=0,"",(VLOOKUP($B680,Q,2,FALSE)))</f>
        <v/>
      </c>
      <c r="D680" s="2" t="str">
        <f>IF(VLOOKUP($B680,Q,3,FALSE)=0,"",(VLOOKUP($B680,Q,3,FALSE)))</f>
        <v/>
      </c>
      <c r="E680" s="2" t="str">
        <f>IF(VLOOKUP($B680,Q,8,FALSE)=0,"",(VLOOKUP($B680,Q,8,FALSE)))</f>
        <v/>
      </c>
      <c r="F680" s="19" t="str">
        <f>IF(VLOOKUP($B680,Q,9,FALSE)=0,"",(VLOOKUP($B680,Q,9,FALSE)))</f>
        <v/>
      </c>
      <c r="G680" s="2" t="str">
        <f>IF(VLOOKUP($B680,Q,10,FALSE)=0,"",(VLOOKUP($B680,Q,10,FALSE)))</f>
        <v/>
      </c>
      <c r="H680" s="2" t="str">
        <f>IF(VLOOKUP($B680,Q,14,FALSE)=0,"",(VLOOKUP($B680,Q,14,FALSE)))</f>
        <v/>
      </c>
      <c r="I680" s="2" t="str">
        <f>IF(VLOOKUP($B680,Q,14,FALSE)=0,"",(VLOOKUP($B680,Q,15,FALSE)))</f>
        <v/>
      </c>
      <c r="J680" s="2" t="str">
        <f>IF(VLOOKUP($B680,Q,14,FALSE)=0,"",(VLOOKUP($B680,Q,16,FALSE)))</f>
        <v/>
      </c>
      <c r="K680" s="2" t="str">
        <f>IF(VLOOKUP($B680,Q,14,FALSE)=0,"",(VLOOKUP($B680,Q,17,FALSE)))</f>
        <v/>
      </c>
    </row>
    <row r="681" spans="2:11" x14ac:dyDescent="0.6">
      <c r="B681" s="1">
        <v>684</v>
      </c>
      <c r="C681" s="2" t="str">
        <f>IF(VLOOKUP($B681,Q,2,FALSE)=0,"",(VLOOKUP($B681,Q,2,FALSE)))</f>
        <v/>
      </c>
      <c r="D681" s="2" t="str">
        <f>IF(VLOOKUP($B681,Q,3,FALSE)=0,"",(VLOOKUP($B681,Q,3,FALSE)))</f>
        <v/>
      </c>
      <c r="E681" s="2" t="str">
        <f>IF(VLOOKUP($B681,Q,8,FALSE)=0,"",(VLOOKUP($B681,Q,8,FALSE)))</f>
        <v/>
      </c>
      <c r="F681" s="19" t="str">
        <f>IF(VLOOKUP($B681,Q,9,FALSE)=0,"",(VLOOKUP($B681,Q,9,FALSE)))</f>
        <v/>
      </c>
      <c r="G681" s="2" t="str">
        <f>IF(VLOOKUP($B681,Q,10,FALSE)=0,"",(VLOOKUP($B681,Q,10,FALSE)))</f>
        <v/>
      </c>
      <c r="H681" s="2" t="str">
        <f>IF(VLOOKUP($B681,Q,14,FALSE)=0,"",(VLOOKUP($B681,Q,14,FALSE)))</f>
        <v/>
      </c>
      <c r="I681" s="2" t="str">
        <f>IF(VLOOKUP($B681,Q,14,FALSE)=0,"",(VLOOKUP($B681,Q,15,FALSE)))</f>
        <v/>
      </c>
      <c r="J681" s="2" t="str">
        <f>IF(VLOOKUP($B681,Q,14,FALSE)=0,"",(VLOOKUP($B681,Q,16,FALSE)))</f>
        <v/>
      </c>
      <c r="K681" s="2" t="str">
        <f>IF(VLOOKUP($B681,Q,14,FALSE)=0,"",(VLOOKUP($B681,Q,17,FALSE)))</f>
        <v/>
      </c>
    </row>
    <row r="682" spans="2:11" x14ac:dyDescent="0.6">
      <c r="B682" s="1">
        <v>685</v>
      </c>
      <c r="C682" s="2" t="str">
        <f>IF(VLOOKUP($B682,Q,2,FALSE)=0,"",(VLOOKUP($B682,Q,2,FALSE)))</f>
        <v/>
      </c>
      <c r="D682" s="2" t="str">
        <f>IF(VLOOKUP($B682,Q,3,FALSE)=0,"",(VLOOKUP($B682,Q,3,FALSE)))</f>
        <v/>
      </c>
      <c r="E682" s="2" t="str">
        <f>IF(VLOOKUP($B682,Q,8,FALSE)=0,"",(VLOOKUP($B682,Q,8,FALSE)))</f>
        <v/>
      </c>
      <c r="F682" s="19" t="str">
        <f>IF(VLOOKUP($B682,Q,9,FALSE)=0,"",(VLOOKUP($B682,Q,9,FALSE)))</f>
        <v/>
      </c>
      <c r="G682" s="2" t="str">
        <f>IF(VLOOKUP($B682,Q,10,FALSE)=0,"",(VLOOKUP($B682,Q,10,FALSE)))</f>
        <v/>
      </c>
      <c r="H682" s="2" t="str">
        <f>IF(VLOOKUP($B682,Q,14,FALSE)=0,"",(VLOOKUP($B682,Q,14,FALSE)))</f>
        <v/>
      </c>
      <c r="I682" s="2" t="str">
        <f>IF(VLOOKUP($B682,Q,14,FALSE)=0,"",(VLOOKUP($B682,Q,15,FALSE)))</f>
        <v/>
      </c>
      <c r="J682" s="2" t="str">
        <f>IF(VLOOKUP($B682,Q,14,FALSE)=0,"",(VLOOKUP($B682,Q,16,FALSE)))</f>
        <v/>
      </c>
      <c r="K682" s="2" t="str">
        <f>IF(VLOOKUP($B682,Q,14,FALSE)=0,"",(VLOOKUP($B682,Q,17,FALSE)))</f>
        <v/>
      </c>
    </row>
    <row r="683" spans="2:11" x14ac:dyDescent="0.6">
      <c r="B683" s="1">
        <v>686</v>
      </c>
      <c r="C683" s="2" t="str">
        <f>IF(VLOOKUP($B683,Q,2,FALSE)=0,"",(VLOOKUP($B683,Q,2,FALSE)))</f>
        <v/>
      </c>
      <c r="D683" s="2" t="str">
        <f>IF(VLOOKUP($B683,Q,3,FALSE)=0,"",(VLOOKUP($B683,Q,3,FALSE)))</f>
        <v/>
      </c>
      <c r="E683" s="2" t="str">
        <f>IF(VLOOKUP($B683,Q,8,FALSE)=0,"",(VLOOKUP($B683,Q,8,FALSE)))</f>
        <v/>
      </c>
      <c r="F683" s="19" t="str">
        <f>IF(VLOOKUP($B683,Q,9,FALSE)=0,"",(VLOOKUP($B683,Q,9,FALSE)))</f>
        <v/>
      </c>
      <c r="G683" s="2" t="str">
        <f>IF(VLOOKUP($B683,Q,10,FALSE)=0,"",(VLOOKUP($B683,Q,10,FALSE)))</f>
        <v/>
      </c>
      <c r="H683" s="2" t="str">
        <f>IF(VLOOKUP($B683,Q,14,FALSE)=0,"",(VLOOKUP($B683,Q,14,FALSE)))</f>
        <v/>
      </c>
      <c r="I683" s="2" t="str">
        <f>IF(VLOOKUP($B683,Q,14,FALSE)=0,"",(VLOOKUP($B683,Q,15,FALSE)))</f>
        <v/>
      </c>
      <c r="J683" s="2" t="str">
        <f>IF(VLOOKUP($B683,Q,14,FALSE)=0,"",(VLOOKUP($B683,Q,16,FALSE)))</f>
        <v/>
      </c>
      <c r="K683" s="2" t="str">
        <f>IF(VLOOKUP($B683,Q,14,FALSE)=0,"",(VLOOKUP($B683,Q,17,FALSE)))</f>
        <v/>
      </c>
    </row>
    <row r="684" spans="2:11" x14ac:dyDescent="0.6">
      <c r="B684" s="1">
        <v>687</v>
      </c>
      <c r="C684" s="2" t="str">
        <f>IF(VLOOKUP($B684,Q,2,FALSE)=0,"",(VLOOKUP($B684,Q,2,FALSE)))</f>
        <v/>
      </c>
      <c r="D684" s="2" t="str">
        <f>IF(VLOOKUP($B684,Q,3,FALSE)=0,"",(VLOOKUP($B684,Q,3,FALSE)))</f>
        <v/>
      </c>
      <c r="E684" s="2" t="str">
        <f>IF(VLOOKUP($B684,Q,8,FALSE)=0,"",(VLOOKUP($B684,Q,8,FALSE)))</f>
        <v/>
      </c>
      <c r="F684" s="19" t="str">
        <f>IF(VLOOKUP($B684,Q,9,FALSE)=0,"",(VLOOKUP($B684,Q,9,FALSE)))</f>
        <v/>
      </c>
      <c r="G684" s="2" t="str">
        <f>IF(VLOOKUP($B684,Q,10,FALSE)=0,"",(VLOOKUP($B684,Q,10,FALSE)))</f>
        <v/>
      </c>
      <c r="H684" s="2" t="str">
        <f>IF(VLOOKUP($B684,Q,14,FALSE)=0,"",(VLOOKUP($B684,Q,14,FALSE)))</f>
        <v/>
      </c>
      <c r="I684" s="2" t="str">
        <f>IF(VLOOKUP($B684,Q,14,FALSE)=0,"",(VLOOKUP($B684,Q,15,FALSE)))</f>
        <v/>
      </c>
      <c r="J684" s="2" t="str">
        <f>IF(VLOOKUP($B684,Q,14,FALSE)=0,"",(VLOOKUP($B684,Q,16,FALSE)))</f>
        <v/>
      </c>
      <c r="K684" s="2" t="str">
        <f>IF(VLOOKUP($B684,Q,14,FALSE)=0,"",(VLOOKUP($B684,Q,17,FALSE)))</f>
        <v/>
      </c>
    </row>
    <row r="685" spans="2:11" x14ac:dyDescent="0.6">
      <c r="B685" s="1">
        <v>688</v>
      </c>
      <c r="C685" s="2" t="str">
        <f>IF(VLOOKUP($B685,Q,2,FALSE)=0,"",(VLOOKUP($B685,Q,2,FALSE)))</f>
        <v/>
      </c>
      <c r="D685" s="2" t="str">
        <f>IF(VLOOKUP($B685,Q,3,FALSE)=0,"",(VLOOKUP($B685,Q,3,FALSE)))</f>
        <v/>
      </c>
      <c r="E685" s="2" t="str">
        <f>IF(VLOOKUP($B685,Q,8,FALSE)=0,"",(VLOOKUP($B685,Q,8,FALSE)))</f>
        <v/>
      </c>
      <c r="F685" s="19" t="str">
        <f>IF(VLOOKUP($B685,Q,9,FALSE)=0,"",(VLOOKUP($B685,Q,9,FALSE)))</f>
        <v/>
      </c>
      <c r="G685" s="2" t="str">
        <f>IF(VLOOKUP($B685,Q,10,FALSE)=0,"",(VLOOKUP($B685,Q,10,FALSE)))</f>
        <v/>
      </c>
      <c r="H685" s="2" t="str">
        <f>IF(VLOOKUP($B685,Q,14,FALSE)=0,"",(VLOOKUP($B685,Q,14,FALSE)))</f>
        <v/>
      </c>
      <c r="I685" s="2" t="str">
        <f>IF(VLOOKUP($B685,Q,14,FALSE)=0,"",(VLOOKUP($B685,Q,15,FALSE)))</f>
        <v/>
      </c>
      <c r="J685" s="2" t="str">
        <f>IF(VLOOKUP($B685,Q,14,FALSE)=0,"",(VLOOKUP($B685,Q,16,FALSE)))</f>
        <v/>
      </c>
      <c r="K685" s="2" t="str">
        <f>IF(VLOOKUP($B685,Q,14,FALSE)=0,"",(VLOOKUP($B685,Q,17,FALSE)))</f>
        <v/>
      </c>
    </row>
    <row r="686" spans="2:11" x14ac:dyDescent="0.6">
      <c r="B686" s="1">
        <v>689</v>
      </c>
      <c r="C686" s="2" t="str">
        <f>IF(VLOOKUP($B686,Q,2,FALSE)=0,"",(VLOOKUP($B686,Q,2,FALSE)))</f>
        <v/>
      </c>
      <c r="D686" s="2" t="str">
        <f>IF(VLOOKUP($B686,Q,3,FALSE)=0,"",(VLOOKUP($B686,Q,3,FALSE)))</f>
        <v/>
      </c>
      <c r="E686" s="2" t="str">
        <f>IF(VLOOKUP($B686,Q,8,FALSE)=0,"",(VLOOKUP($B686,Q,8,FALSE)))</f>
        <v/>
      </c>
      <c r="F686" s="19" t="str">
        <f>IF(VLOOKUP($B686,Q,9,FALSE)=0,"",(VLOOKUP($B686,Q,9,FALSE)))</f>
        <v/>
      </c>
      <c r="G686" s="2" t="str">
        <f>IF(VLOOKUP($B686,Q,10,FALSE)=0,"",(VLOOKUP($B686,Q,10,FALSE)))</f>
        <v/>
      </c>
      <c r="H686" s="2" t="str">
        <f>IF(VLOOKUP($B686,Q,14,FALSE)=0,"",(VLOOKUP($B686,Q,14,FALSE)))</f>
        <v/>
      </c>
      <c r="I686" s="2" t="str">
        <f>IF(VLOOKUP($B686,Q,14,FALSE)=0,"",(VLOOKUP($B686,Q,15,FALSE)))</f>
        <v/>
      </c>
      <c r="J686" s="2" t="str">
        <f>IF(VLOOKUP($B686,Q,14,FALSE)=0,"",(VLOOKUP($B686,Q,16,FALSE)))</f>
        <v/>
      </c>
      <c r="K686" s="2" t="str">
        <f>IF(VLOOKUP($B686,Q,14,FALSE)=0,"",(VLOOKUP($B686,Q,17,FALSE)))</f>
        <v/>
      </c>
    </row>
    <row r="687" spans="2:11" x14ac:dyDescent="0.6">
      <c r="B687" s="1">
        <v>690</v>
      </c>
      <c r="C687" s="2" t="str">
        <f>IF(VLOOKUP($B687,Q,2,FALSE)=0,"",(VLOOKUP($B687,Q,2,FALSE)))</f>
        <v/>
      </c>
      <c r="D687" s="2" t="str">
        <f>IF(VLOOKUP($B687,Q,3,FALSE)=0,"",(VLOOKUP($B687,Q,3,FALSE)))</f>
        <v/>
      </c>
      <c r="E687" s="2" t="str">
        <f>IF(VLOOKUP($B687,Q,8,FALSE)=0,"",(VLOOKUP($B687,Q,8,FALSE)))</f>
        <v/>
      </c>
      <c r="F687" s="19" t="str">
        <f>IF(VLOOKUP($B687,Q,9,FALSE)=0,"",(VLOOKUP($B687,Q,9,FALSE)))</f>
        <v/>
      </c>
      <c r="G687" s="2" t="str">
        <f>IF(VLOOKUP($B687,Q,10,FALSE)=0,"",(VLOOKUP($B687,Q,10,FALSE)))</f>
        <v/>
      </c>
      <c r="H687" s="2" t="str">
        <f>IF(VLOOKUP($B687,Q,14,FALSE)=0,"",(VLOOKUP($B687,Q,14,FALSE)))</f>
        <v/>
      </c>
      <c r="I687" s="2" t="str">
        <f>IF(VLOOKUP($B687,Q,14,FALSE)=0,"",(VLOOKUP($B687,Q,15,FALSE)))</f>
        <v/>
      </c>
      <c r="J687" s="2" t="str">
        <f>IF(VLOOKUP($B687,Q,14,FALSE)=0,"",(VLOOKUP($B687,Q,16,FALSE)))</f>
        <v/>
      </c>
      <c r="K687" s="2" t="str">
        <f>IF(VLOOKUP($B687,Q,14,FALSE)=0,"",(VLOOKUP($B687,Q,17,FALSE)))</f>
        <v/>
      </c>
    </row>
    <row r="688" spans="2:11" x14ac:dyDescent="0.6">
      <c r="B688" s="1">
        <v>691</v>
      </c>
      <c r="C688" s="2" t="str">
        <f>IF(VLOOKUP($B688,Q,2,FALSE)=0,"",(VLOOKUP($B688,Q,2,FALSE)))</f>
        <v/>
      </c>
      <c r="D688" s="2" t="str">
        <f>IF(VLOOKUP($B688,Q,3,FALSE)=0,"",(VLOOKUP($B688,Q,3,FALSE)))</f>
        <v/>
      </c>
      <c r="E688" s="2" t="str">
        <f>IF(VLOOKUP($B688,Q,8,FALSE)=0,"",(VLOOKUP($B688,Q,8,FALSE)))</f>
        <v/>
      </c>
      <c r="F688" s="19" t="str">
        <f>IF(VLOOKUP($B688,Q,9,FALSE)=0,"",(VLOOKUP($B688,Q,9,FALSE)))</f>
        <v/>
      </c>
      <c r="G688" s="2" t="str">
        <f>IF(VLOOKUP($B688,Q,10,FALSE)=0,"",(VLOOKUP($B688,Q,10,FALSE)))</f>
        <v/>
      </c>
      <c r="H688" s="2" t="str">
        <f>IF(VLOOKUP($B688,Q,14,FALSE)=0,"",(VLOOKUP($B688,Q,14,FALSE)))</f>
        <v/>
      </c>
      <c r="I688" s="2" t="str">
        <f>IF(VLOOKUP($B688,Q,14,FALSE)=0,"",(VLOOKUP($B688,Q,15,FALSE)))</f>
        <v/>
      </c>
      <c r="J688" s="2" t="str">
        <f>IF(VLOOKUP($B688,Q,14,FALSE)=0,"",(VLOOKUP($B688,Q,16,FALSE)))</f>
        <v/>
      </c>
      <c r="K688" s="2" t="str">
        <f>IF(VLOOKUP($B688,Q,14,FALSE)=0,"",(VLOOKUP($B688,Q,17,FALSE)))</f>
        <v/>
      </c>
    </row>
    <row r="689" spans="2:11" x14ac:dyDescent="0.6">
      <c r="B689" s="1">
        <v>692</v>
      </c>
      <c r="C689" s="2" t="str">
        <f>IF(VLOOKUP($B689,Q,2,FALSE)=0,"",(VLOOKUP($B689,Q,2,FALSE)))</f>
        <v/>
      </c>
      <c r="D689" s="2" t="str">
        <f>IF(VLOOKUP($B689,Q,3,FALSE)=0,"",(VLOOKUP($B689,Q,3,FALSE)))</f>
        <v/>
      </c>
      <c r="E689" s="2" t="str">
        <f>IF(VLOOKUP($B689,Q,8,FALSE)=0,"",(VLOOKUP($B689,Q,8,FALSE)))</f>
        <v/>
      </c>
      <c r="F689" s="19" t="str">
        <f>IF(VLOOKUP($B689,Q,9,FALSE)=0,"",(VLOOKUP($B689,Q,9,FALSE)))</f>
        <v/>
      </c>
      <c r="G689" s="2" t="str">
        <f>IF(VLOOKUP($B689,Q,10,FALSE)=0,"",(VLOOKUP($B689,Q,10,FALSE)))</f>
        <v/>
      </c>
      <c r="H689" s="2" t="str">
        <f>IF(VLOOKUP($B689,Q,14,FALSE)=0,"",(VLOOKUP($B689,Q,14,FALSE)))</f>
        <v/>
      </c>
      <c r="I689" s="2" t="str">
        <f>IF(VLOOKUP($B689,Q,14,FALSE)=0,"",(VLOOKUP($B689,Q,15,FALSE)))</f>
        <v/>
      </c>
      <c r="J689" s="2" t="str">
        <f>IF(VLOOKUP($B689,Q,14,FALSE)=0,"",(VLOOKUP($B689,Q,16,FALSE)))</f>
        <v/>
      </c>
      <c r="K689" s="2" t="str">
        <f>IF(VLOOKUP($B689,Q,14,FALSE)=0,"",(VLOOKUP($B689,Q,17,FALSE)))</f>
        <v/>
      </c>
    </row>
    <row r="690" spans="2:11" x14ac:dyDescent="0.6">
      <c r="B690" s="1">
        <v>693</v>
      </c>
      <c r="C690" s="2" t="str">
        <f>IF(VLOOKUP($B690,Q,2,FALSE)=0,"",(VLOOKUP($B690,Q,2,FALSE)))</f>
        <v/>
      </c>
      <c r="D690" s="2" t="str">
        <f>IF(VLOOKUP($B690,Q,3,FALSE)=0,"",(VLOOKUP($B690,Q,3,FALSE)))</f>
        <v/>
      </c>
      <c r="E690" s="2" t="str">
        <f>IF(VLOOKUP($B690,Q,8,FALSE)=0,"",(VLOOKUP($B690,Q,8,FALSE)))</f>
        <v/>
      </c>
      <c r="F690" s="19" t="str">
        <f>IF(VLOOKUP($B690,Q,9,FALSE)=0,"",(VLOOKUP($B690,Q,9,FALSE)))</f>
        <v/>
      </c>
      <c r="G690" s="2" t="str">
        <f>IF(VLOOKUP($B690,Q,10,FALSE)=0,"",(VLOOKUP($B690,Q,10,FALSE)))</f>
        <v/>
      </c>
      <c r="H690" s="2" t="str">
        <f>IF(VLOOKUP($B690,Q,14,FALSE)=0,"",(VLOOKUP($B690,Q,14,FALSE)))</f>
        <v/>
      </c>
      <c r="I690" s="2" t="str">
        <f>IF(VLOOKUP($B690,Q,14,FALSE)=0,"",(VLOOKUP($B690,Q,15,FALSE)))</f>
        <v/>
      </c>
      <c r="J690" s="2" t="str">
        <f>IF(VLOOKUP($B690,Q,14,FALSE)=0,"",(VLOOKUP($B690,Q,16,FALSE)))</f>
        <v/>
      </c>
      <c r="K690" s="2" t="str">
        <f>IF(VLOOKUP($B690,Q,14,FALSE)=0,"",(VLOOKUP($B690,Q,17,FALSE)))</f>
        <v/>
      </c>
    </row>
    <row r="691" spans="2:11" x14ac:dyDescent="0.6">
      <c r="B691" s="1">
        <v>694</v>
      </c>
      <c r="C691" s="2" t="str">
        <f>IF(VLOOKUP($B691,Q,2,FALSE)=0,"",(VLOOKUP($B691,Q,2,FALSE)))</f>
        <v/>
      </c>
      <c r="D691" s="2" t="str">
        <f>IF(VLOOKUP($B691,Q,3,FALSE)=0,"",(VLOOKUP($B691,Q,3,FALSE)))</f>
        <v/>
      </c>
      <c r="E691" s="2" t="str">
        <f>IF(VLOOKUP($B691,Q,8,FALSE)=0,"",(VLOOKUP($B691,Q,8,FALSE)))</f>
        <v/>
      </c>
      <c r="F691" s="19" t="str">
        <f>IF(VLOOKUP($B691,Q,9,FALSE)=0,"",(VLOOKUP($B691,Q,9,FALSE)))</f>
        <v/>
      </c>
      <c r="G691" s="2" t="str">
        <f>IF(VLOOKUP($B691,Q,10,FALSE)=0,"",(VLOOKUP($B691,Q,10,FALSE)))</f>
        <v/>
      </c>
      <c r="H691" s="2" t="str">
        <f>IF(VLOOKUP($B691,Q,14,FALSE)=0,"",(VLOOKUP($B691,Q,14,FALSE)))</f>
        <v/>
      </c>
      <c r="I691" s="2" t="str">
        <f>IF(VLOOKUP($B691,Q,14,FALSE)=0,"",(VLOOKUP($B691,Q,15,FALSE)))</f>
        <v/>
      </c>
      <c r="J691" s="2" t="str">
        <f>IF(VLOOKUP($B691,Q,14,FALSE)=0,"",(VLOOKUP($B691,Q,16,FALSE)))</f>
        <v/>
      </c>
      <c r="K691" s="2" t="str">
        <f>IF(VLOOKUP($B691,Q,14,FALSE)=0,"",(VLOOKUP($B691,Q,17,FALSE)))</f>
        <v/>
      </c>
    </row>
    <row r="692" spans="2:11" x14ac:dyDescent="0.6">
      <c r="B692" s="1">
        <v>695</v>
      </c>
      <c r="C692" s="2" t="str">
        <f>IF(VLOOKUP($B692,Q,2,FALSE)=0,"",(VLOOKUP($B692,Q,2,FALSE)))</f>
        <v/>
      </c>
      <c r="D692" s="2" t="str">
        <f>IF(VLOOKUP($B692,Q,3,FALSE)=0,"",(VLOOKUP($B692,Q,3,FALSE)))</f>
        <v/>
      </c>
      <c r="E692" s="2" t="str">
        <f>IF(VLOOKUP($B692,Q,8,FALSE)=0,"",(VLOOKUP($B692,Q,8,FALSE)))</f>
        <v/>
      </c>
      <c r="F692" s="19" t="str">
        <f>IF(VLOOKUP($B692,Q,9,FALSE)=0,"",(VLOOKUP($B692,Q,9,FALSE)))</f>
        <v/>
      </c>
      <c r="G692" s="2" t="str">
        <f>IF(VLOOKUP($B692,Q,10,FALSE)=0,"",(VLOOKUP($B692,Q,10,FALSE)))</f>
        <v/>
      </c>
      <c r="H692" s="2" t="str">
        <f>IF(VLOOKUP($B692,Q,14,FALSE)=0,"",(VLOOKUP($B692,Q,14,FALSE)))</f>
        <v/>
      </c>
      <c r="I692" s="2" t="str">
        <f>IF(VLOOKUP($B692,Q,14,FALSE)=0,"",(VLOOKUP($B692,Q,15,FALSE)))</f>
        <v/>
      </c>
      <c r="J692" s="2" t="str">
        <f>IF(VLOOKUP($B692,Q,14,FALSE)=0,"",(VLOOKUP($B692,Q,16,FALSE)))</f>
        <v/>
      </c>
      <c r="K692" s="2" t="str">
        <f>IF(VLOOKUP($B692,Q,14,FALSE)=0,"",(VLOOKUP($B692,Q,17,FALSE)))</f>
        <v/>
      </c>
    </row>
    <row r="693" spans="2:11" x14ac:dyDescent="0.6">
      <c r="B693" s="1">
        <v>696</v>
      </c>
      <c r="C693" s="2" t="str">
        <f>IF(VLOOKUP($B693,Q,2,FALSE)=0,"",(VLOOKUP($B693,Q,2,FALSE)))</f>
        <v/>
      </c>
      <c r="D693" s="2" t="str">
        <f>IF(VLOOKUP($B693,Q,3,FALSE)=0,"",(VLOOKUP($B693,Q,3,FALSE)))</f>
        <v/>
      </c>
      <c r="E693" s="2" t="str">
        <f>IF(VLOOKUP($B693,Q,8,FALSE)=0,"",(VLOOKUP($B693,Q,8,FALSE)))</f>
        <v/>
      </c>
      <c r="F693" s="19" t="str">
        <f>IF(VLOOKUP($B693,Q,9,FALSE)=0,"",(VLOOKUP($B693,Q,9,FALSE)))</f>
        <v/>
      </c>
      <c r="G693" s="2" t="str">
        <f>IF(VLOOKUP($B693,Q,10,FALSE)=0,"",(VLOOKUP($B693,Q,10,FALSE)))</f>
        <v/>
      </c>
      <c r="H693" s="2" t="str">
        <f>IF(VLOOKUP($B693,Q,14,FALSE)=0,"",(VLOOKUP($B693,Q,14,FALSE)))</f>
        <v/>
      </c>
      <c r="I693" s="2" t="str">
        <f>IF(VLOOKUP($B693,Q,14,FALSE)=0,"",(VLOOKUP($B693,Q,15,FALSE)))</f>
        <v/>
      </c>
      <c r="J693" s="2" t="str">
        <f>IF(VLOOKUP($B693,Q,14,FALSE)=0,"",(VLOOKUP($B693,Q,16,FALSE)))</f>
        <v/>
      </c>
      <c r="K693" s="2" t="str">
        <f>IF(VLOOKUP($B693,Q,14,FALSE)=0,"",(VLOOKUP($B693,Q,17,FALSE)))</f>
        <v/>
      </c>
    </row>
    <row r="694" spans="2:11" x14ac:dyDescent="0.6">
      <c r="B694" s="1">
        <v>697</v>
      </c>
      <c r="C694" s="2" t="str">
        <f>IF(VLOOKUP($B694,Q,2,FALSE)=0,"",(VLOOKUP($B694,Q,2,FALSE)))</f>
        <v/>
      </c>
      <c r="D694" s="2" t="str">
        <f>IF(VLOOKUP($B694,Q,3,FALSE)=0,"",(VLOOKUP($B694,Q,3,FALSE)))</f>
        <v/>
      </c>
      <c r="E694" s="2" t="str">
        <f>IF(VLOOKUP($B694,Q,8,FALSE)=0,"",(VLOOKUP($B694,Q,8,FALSE)))</f>
        <v/>
      </c>
      <c r="F694" s="19" t="str">
        <f>IF(VLOOKUP($B694,Q,9,FALSE)=0,"",(VLOOKUP($B694,Q,9,FALSE)))</f>
        <v/>
      </c>
      <c r="G694" s="2" t="str">
        <f>IF(VLOOKUP($B694,Q,10,FALSE)=0,"",(VLOOKUP($B694,Q,10,FALSE)))</f>
        <v/>
      </c>
      <c r="H694" s="2" t="str">
        <f>IF(VLOOKUP($B694,Q,14,FALSE)=0,"",(VLOOKUP($B694,Q,14,FALSE)))</f>
        <v/>
      </c>
      <c r="I694" s="2" t="str">
        <f>IF(VLOOKUP($B694,Q,14,FALSE)=0,"",(VLOOKUP($B694,Q,15,FALSE)))</f>
        <v/>
      </c>
      <c r="J694" s="2" t="str">
        <f>IF(VLOOKUP($B694,Q,14,FALSE)=0,"",(VLOOKUP($B694,Q,16,FALSE)))</f>
        <v/>
      </c>
      <c r="K694" s="2" t="str">
        <f>IF(VLOOKUP($B694,Q,14,FALSE)=0,"",(VLOOKUP($B694,Q,17,FALSE)))</f>
        <v/>
      </c>
    </row>
    <row r="695" spans="2:11" x14ac:dyDescent="0.6">
      <c r="B695" s="1">
        <v>698</v>
      </c>
      <c r="C695" s="2" t="str">
        <f>IF(VLOOKUP($B695,Q,2,FALSE)=0,"",(VLOOKUP($B695,Q,2,FALSE)))</f>
        <v/>
      </c>
      <c r="D695" s="2" t="str">
        <f>IF(VLOOKUP($B695,Q,3,FALSE)=0,"",(VLOOKUP($B695,Q,3,FALSE)))</f>
        <v/>
      </c>
      <c r="E695" s="2" t="str">
        <f>IF(VLOOKUP($B695,Q,8,FALSE)=0,"",(VLOOKUP($B695,Q,8,FALSE)))</f>
        <v/>
      </c>
      <c r="F695" s="19" t="str">
        <f>IF(VLOOKUP($B695,Q,9,FALSE)=0,"",(VLOOKUP($B695,Q,9,FALSE)))</f>
        <v/>
      </c>
      <c r="G695" s="2" t="str">
        <f>IF(VLOOKUP($B695,Q,10,FALSE)=0,"",(VLOOKUP($B695,Q,10,FALSE)))</f>
        <v/>
      </c>
      <c r="H695" s="2" t="str">
        <f>IF(VLOOKUP($B695,Q,14,FALSE)=0,"",(VLOOKUP($B695,Q,14,FALSE)))</f>
        <v/>
      </c>
      <c r="I695" s="2" t="str">
        <f>IF(VLOOKUP($B695,Q,14,FALSE)=0,"",(VLOOKUP($B695,Q,15,FALSE)))</f>
        <v/>
      </c>
      <c r="J695" s="2" t="str">
        <f>IF(VLOOKUP($B695,Q,14,FALSE)=0,"",(VLOOKUP($B695,Q,16,FALSE)))</f>
        <v/>
      </c>
      <c r="K695" s="2" t="str">
        <f>IF(VLOOKUP($B695,Q,14,FALSE)=0,"",(VLOOKUP($B695,Q,17,FALSE)))</f>
        <v/>
      </c>
    </row>
    <row r="696" spans="2:11" x14ac:dyDescent="0.6">
      <c r="B696" s="1">
        <v>699</v>
      </c>
      <c r="C696" s="2" t="str">
        <f>IF(VLOOKUP($B696,Q,2,FALSE)=0,"",(VLOOKUP($B696,Q,2,FALSE)))</f>
        <v/>
      </c>
      <c r="D696" s="2" t="str">
        <f>IF(VLOOKUP($B696,Q,3,FALSE)=0,"",(VLOOKUP($B696,Q,3,FALSE)))</f>
        <v/>
      </c>
      <c r="E696" s="2" t="str">
        <f>IF(VLOOKUP($B696,Q,8,FALSE)=0,"",(VLOOKUP($B696,Q,8,FALSE)))</f>
        <v/>
      </c>
      <c r="F696" s="19" t="str">
        <f>IF(VLOOKUP($B696,Q,9,FALSE)=0,"",(VLOOKUP($B696,Q,9,FALSE)))</f>
        <v/>
      </c>
      <c r="G696" s="2" t="str">
        <f>IF(VLOOKUP($B696,Q,10,FALSE)=0,"",(VLOOKUP($B696,Q,10,FALSE)))</f>
        <v/>
      </c>
      <c r="H696" s="2" t="str">
        <f>IF(VLOOKUP($B696,Q,14,FALSE)=0,"",(VLOOKUP($B696,Q,14,FALSE)))</f>
        <v/>
      </c>
      <c r="I696" s="2" t="str">
        <f>IF(VLOOKUP($B696,Q,14,FALSE)=0,"",(VLOOKUP($B696,Q,15,FALSE)))</f>
        <v/>
      </c>
      <c r="J696" s="2" t="str">
        <f>IF(VLOOKUP($B696,Q,14,FALSE)=0,"",(VLOOKUP($B696,Q,16,FALSE)))</f>
        <v/>
      </c>
      <c r="K696" s="2" t="str">
        <f>IF(VLOOKUP($B696,Q,14,FALSE)=0,"",(VLOOKUP($B696,Q,17,FALSE)))</f>
        <v/>
      </c>
    </row>
    <row r="697" spans="2:11" x14ac:dyDescent="0.6">
      <c r="B697" s="1">
        <v>700</v>
      </c>
      <c r="C697" s="2" t="str">
        <f>IF(VLOOKUP($B697,Q,2,FALSE)=0,"",(VLOOKUP($B697,Q,2,FALSE)))</f>
        <v/>
      </c>
      <c r="D697" s="2" t="str">
        <f>IF(VLOOKUP($B697,Q,3,FALSE)=0,"",(VLOOKUP($B697,Q,3,FALSE)))</f>
        <v/>
      </c>
      <c r="E697" s="2" t="str">
        <f>IF(VLOOKUP($B697,Q,8,FALSE)=0,"",(VLOOKUP($B697,Q,8,FALSE)))</f>
        <v/>
      </c>
      <c r="F697" s="19" t="str">
        <f>IF(VLOOKUP($B697,Q,9,FALSE)=0,"",(VLOOKUP($B697,Q,9,FALSE)))</f>
        <v/>
      </c>
      <c r="G697" s="2" t="str">
        <f>IF(VLOOKUP($B697,Q,10,FALSE)=0,"",(VLOOKUP($B697,Q,10,FALSE)))</f>
        <v/>
      </c>
      <c r="H697" s="2" t="str">
        <f>IF(VLOOKUP($B697,Q,14,FALSE)=0,"",(VLOOKUP($B697,Q,14,FALSE)))</f>
        <v/>
      </c>
      <c r="I697" s="2" t="str">
        <f>IF(VLOOKUP($B697,Q,14,FALSE)=0,"",(VLOOKUP($B697,Q,15,FALSE)))</f>
        <v/>
      </c>
      <c r="J697" s="2" t="str">
        <f>IF(VLOOKUP($B697,Q,14,FALSE)=0,"",(VLOOKUP($B697,Q,16,FALSE)))</f>
        <v/>
      </c>
      <c r="K697" s="2" t="str">
        <f>IF(VLOOKUP($B697,Q,14,FALSE)=0,"",(VLOOKUP($B697,Q,17,FALSE)))</f>
        <v/>
      </c>
    </row>
    <row r="698" spans="2:11" x14ac:dyDescent="0.6">
      <c r="B698" s="1">
        <v>701</v>
      </c>
      <c r="C698" s="2" t="str">
        <f>IF(VLOOKUP($B698,Q,2,FALSE)=0,"",(VLOOKUP($B698,Q,2,FALSE)))</f>
        <v/>
      </c>
      <c r="D698" s="2" t="str">
        <f>IF(VLOOKUP($B698,Q,3,FALSE)=0,"",(VLOOKUP($B698,Q,3,FALSE)))</f>
        <v/>
      </c>
      <c r="E698" s="2" t="str">
        <f>IF(VLOOKUP($B698,Q,8,FALSE)=0,"",(VLOOKUP($B698,Q,8,FALSE)))</f>
        <v/>
      </c>
      <c r="F698" s="19" t="str">
        <f>IF(VLOOKUP($B698,Q,9,FALSE)=0,"",(VLOOKUP($B698,Q,9,FALSE)))</f>
        <v/>
      </c>
      <c r="G698" s="2" t="str">
        <f>IF(VLOOKUP($B698,Q,10,FALSE)=0,"",(VLOOKUP($B698,Q,10,FALSE)))</f>
        <v/>
      </c>
      <c r="H698" s="2" t="str">
        <f>IF(VLOOKUP($B698,Q,14,FALSE)=0,"",(VLOOKUP($B698,Q,14,FALSE)))</f>
        <v/>
      </c>
      <c r="I698" s="2" t="str">
        <f>IF(VLOOKUP($B698,Q,14,FALSE)=0,"",(VLOOKUP($B698,Q,15,FALSE)))</f>
        <v/>
      </c>
      <c r="J698" s="2" t="str">
        <f>IF(VLOOKUP($B698,Q,14,FALSE)=0,"",(VLOOKUP($B698,Q,16,FALSE)))</f>
        <v/>
      </c>
      <c r="K698" s="2" t="str">
        <f>IF(VLOOKUP($B698,Q,14,FALSE)=0,"",(VLOOKUP($B698,Q,17,FALSE)))</f>
        <v/>
      </c>
    </row>
    <row r="699" spans="2:11" x14ac:dyDescent="0.6">
      <c r="B699" s="1">
        <v>702</v>
      </c>
      <c r="C699" s="2" t="str">
        <f>IF(VLOOKUP($B699,Q,2,FALSE)=0,"",(VLOOKUP($B699,Q,2,FALSE)))</f>
        <v/>
      </c>
      <c r="D699" s="2" t="str">
        <f>IF(VLOOKUP($B699,Q,3,FALSE)=0,"",(VLOOKUP($B699,Q,3,FALSE)))</f>
        <v/>
      </c>
      <c r="E699" s="2" t="str">
        <f>IF(VLOOKUP($B699,Q,8,FALSE)=0,"",(VLOOKUP($B699,Q,8,FALSE)))</f>
        <v/>
      </c>
      <c r="F699" s="19" t="str">
        <f>IF(VLOOKUP($B699,Q,9,FALSE)=0,"",(VLOOKUP($B699,Q,9,FALSE)))</f>
        <v/>
      </c>
      <c r="G699" s="2" t="str">
        <f>IF(VLOOKUP($B699,Q,10,FALSE)=0,"",(VLOOKUP($B699,Q,10,FALSE)))</f>
        <v/>
      </c>
      <c r="H699" s="2" t="str">
        <f>IF(VLOOKUP($B699,Q,14,FALSE)=0,"",(VLOOKUP($B699,Q,14,FALSE)))</f>
        <v/>
      </c>
      <c r="I699" s="2" t="str">
        <f>IF(VLOOKUP($B699,Q,14,FALSE)=0,"",(VLOOKUP($B699,Q,15,FALSE)))</f>
        <v/>
      </c>
      <c r="J699" s="2" t="str">
        <f>IF(VLOOKUP($B699,Q,14,FALSE)=0,"",(VLOOKUP($B699,Q,16,FALSE)))</f>
        <v/>
      </c>
      <c r="K699" s="2" t="str">
        <f>IF(VLOOKUP($B699,Q,14,FALSE)=0,"",(VLOOKUP($B699,Q,17,FALSE)))</f>
        <v/>
      </c>
    </row>
    <row r="700" spans="2:11" x14ac:dyDescent="0.6">
      <c r="B700" s="1">
        <v>703</v>
      </c>
      <c r="C700" s="2" t="str">
        <f>IF(VLOOKUP($B700,Q,2,FALSE)=0,"",(VLOOKUP($B700,Q,2,FALSE)))</f>
        <v/>
      </c>
      <c r="D700" s="2" t="str">
        <f>IF(VLOOKUP($B700,Q,3,FALSE)=0,"",(VLOOKUP($B700,Q,3,FALSE)))</f>
        <v/>
      </c>
      <c r="E700" s="2" t="str">
        <f>IF(VLOOKUP($B700,Q,8,FALSE)=0,"",(VLOOKUP($B700,Q,8,FALSE)))</f>
        <v/>
      </c>
      <c r="F700" s="19" t="str">
        <f>IF(VLOOKUP($B700,Q,9,FALSE)=0,"",(VLOOKUP($B700,Q,9,FALSE)))</f>
        <v/>
      </c>
      <c r="G700" s="2" t="str">
        <f>IF(VLOOKUP($B700,Q,10,FALSE)=0,"",(VLOOKUP($B700,Q,10,FALSE)))</f>
        <v/>
      </c>
      <c r="H700" s="2" t="str">
        <f>IF(VLOOKUP($B700,Q,14,FALSE)=0,"",(VLOOKUP($B700,Q,14,FALSE)))</f>
        <v/>
      </c>
      <c r="I700" s="2" t="str">
        <f>IF(VLOOKUP($B700,Q,14,FALSE)=0,"",(VLOOKUP($B700,Q,15,FALSE)))</f>
        <v/>
      </c>
      <c r="J700" s="2" t="str">
        <f>IF(VLOOKUP($B700,Q,14,FALSE)=0,"",(VLOOKUP($B700,Q,16,FALSE)))</f>
        <v/>
      </c>
      <c r="K700" s="2" t="str">
        <f>IF(VLOOKUP($B700,Q,14,FALSE)=0,"",(VLOOKUP($B700,Q,17,FALSE)))</f>
        <v/>
      </c>
    </row>
    <row r="701" spans="2:11" x14ac:dyDescent="0.6">
      <c r="B701" s="1">
        <v>704</v>
      </c>
      <c r="C701" s="2" t="str">
        <f>IF(VLOOKUP($B701,Q,2,FALSE)=0,"",(VLOOKUP($B701,Q,2,FALSE)))</f>
        <v/>
      </c>
      <c r="D701" s="2" t="str">
        <f>IF(VLOOKUP($B701,Q,3,FALSE)=0,"",(VLOOKUP($B701,Q,3,FALSE)))</f>
        <v/>
      </c>
      <c r="E701" s="2" t="str">
        <f>IF(VLOOKUP($B701,Q,8,FALSE)=0,"",(VLOOKUP($B701,Q,8,FALSE)))</f>
        <v/>
      </c>
      <c r="F701" s="19" t="str">
        <f>IF(VLOOKUP($B701,Q,9,FALSE)=0,"",(VLOOKUP($B701,Q,9,FALSE)))</f>
        <v/>
      </c>
      <c r="G701" s="2" t="str">
        <f>IF(VLOOKUP($B701,Q,10,FALSE)=0,"",(VLOOKUP($B701,Q,10,FALSE)))</f>
        <v/>
      </c>
      <c r="H701" s="2" t="str">
        <f>IF(VLOOKUP($B701,Q,14,FALSE)=0,"",(VLOOKUP($B701,Q,14,FALSE)))</f>
        <v/>
      </c>
      <c r="I701" s="2" t="str">
        <f>IF(VLOOKUP($B701,Q,14,FALSE)=0,"",(VLOOKUP($B701,Q,15,FALSE)))</f>
        <v/>
      </c>
      <c r="J701" s="2" t="str">
        <f>IF(VLOOKUP($B701,Q,14,FALSE)=0,"",(VLOOKUP($B701,Q,16,FALSE)))</f>
        <v/>
      </c>
      <c r="K701" s="2" t="str">
        <f>IF(VLOOKUP($B701,Q,14,FALSE)=0,"",(VLOOKUP($B701,Q,17,FALSE)))</f>
        <v/>
      </c>
    </row>
    <row r="702" spans="2:11" x14ac:dyDescent="0.6">
      <c r="B702" s="1">
        <v>705</v>
      </c>
      <c r="C702" s="2" t="str">
        <f>IF(VLOOKUP($B702,Q,2,FALSE)=0,"",(VLOOKUP($B702,Q,2,FALSE)))</f>
        <v/>
      </c>
      <c r="D702" s="2" t="str">
        <f>IF(VLOOKUP($B702,Q,3,FALSE)=0,"",(VLOOKUP($B702,Q,3,FALSE)))</f>
        <v/>
      </c>
      <c r="E702" s="2" t="str">
        <f>IF(VLOOKUP($B702,Q,8,FALSE)=0,"",(VLOOKUP($B702,Q,8,FALSE)))</f>
        <v/>
      </c>
      <c r="F702" s="19" t="str">
        <f>IF(VLOOKUP($B702,Q,9,FALSE)=0,"",(VLOOKUP($B702,Q,9,FALSE)))</f>
        <v/>
      </c>
      <c r="G702" s="2" t="str">
        <f>IF(VLOOKUP($B702,Q,10,FALSE)=0,"",(VLOOKUP($B702,Q,10,FALSE)))</f>
        <v/>
      </c>
      <c r="H702" s="2" t="str">
        <f>IF(VLOOKUP($B702,Q,14,FALSE)=0,"",(VLOOKUP($B702,Q,14,FALSE)))</f>
        <v/>
      </c>
      <c r="I702" s="2" t="str">
        <f>IF(VLOOKUP($B702,Q,14,FALSE)=0,"",(VLOOKUP($B702,Q,15,FALSE)))</f>
        <v/>
      </c>
      <c r="J702" s="2" t="str">
        <f>IF(VLOOKUP($B702,Q,14,FALSE)=0,"",(VLOOKUP($B702,Q,16,FALSE)))</f>
        <v/>
      </c>
      <c r="K702" s="2" t="str">
        <f>IF(VLOOKUP($B702,Q,14,FALSE)=0,"",(VLOOKUP($B702,Q,17,FALSE)))</f>
        <v/>
      </c>
    </row>
    <row r="703" spans="2:11" x14ac:dyDescent="0.6">
      <c r="B703" s="1">
        <v>706</v>
      </c>
      <c r="C703" s="2" t="str">
        <f>IF(VLOOKUP($B703,Q,2,FALSE)=0,"",(VLOOKUP($B703,Q,2,FALSE)))</f>
        <v/>
      </c>
      <c r="D703" s="2" t="str">
        <f>IF(VLOOKUP($B703,Q,3,FALSE)=0,"",(VLOOKUP($B703,Q,3,FALSE)))</f>
        <v/>
      </c>
      <c r="E703" s="2" t="str">
        <f>IF(VLOOKUP($B703,Q,8,FALSE)=0,"",(VLOOKUP($B703,Q,8,FALSE)))</f>
        <v/>
      </c>
      <c r="F703" s="19" t="str">
        <f>IF(VLOOKUP($B703,Q,9,FALSE)=0,"",(VLOOKUP($B703,Q,9,FALSE)))</f>
        <v/>
      </c>
      <c r="G703" s="2" t="str">
        <f>IF(VLOOKUP($B703,Q,10,FALSE)=0,"",(VLOOKUP($B703,Q,10,FALSE)))</f>
        <v/>
      </c>
      <c r="H703" s="2" t="str">
        <f>IF(VLOOKUP($B703,Q,14,FALSE)=0,"",(VLOOKUP($B703,Q,14,FALSE)))</f>
        <v/>
      </c>
      <c r="I703" s="2" t="str">
        <f>IF(VLOOKUP($B703,Q,14,FALSE)=0,"",(VLOOKUP($B703,Q,15,FALSE)))</f>
        <v/>
      </c>
      <c r="J703" s="2" t="str">
        <f>IF(VLOOKUP($B703,Q,14,FALSE)=0,"",(VLOOKUP($B703,Q,16,FALSE)))</f>
        <v/>
      </c>
      <c r="K703" s="2" t="str">
        <f>IF(VLOOKUP($B703,Q,14,FALSE)=0,"",(VLOOKUP($B703,Q,17,FALSE)))</f>
        <v/>
      </c>
    </row>
    <row r="704" spans="2:11" x14ac:dyDescent="0.6">
      <c r="B704" s="1">
        <v>707</v>
      </c>
      <c r="C704" s="2" t="str">
        <f>IF(VLOOKUP($B704,Q,2,FALSE)=0,"",(VLOOKUP($B704,Q,2,FALSE)))</f>
        <v/>
      </c>
      <c r="D704" s="2" t="str">
        <f>IF(VLOOKUP($B704,Q,3,FALSE)=0,"",(VLOOKUP($B704,Q,3,FALSE)))</f>
        <v/>
      </c>
      <c r="E704" s="2" t="str">
        <f>IF(VLOOKUP($B704,Q,8,FALSE)=0,"",(VLOOKUP($B704,Q,8,FALSE)))</f>
        <v/>
      </c>
      <c r="F704" s="19" t="str">
        <f>IF(VLOOKUP($B704,Q,9,FALSE)=0,"",(VLOOKUP($B704,Q,9,FALSE)))</f>
        <v/>
      </c>
      <c r="G704" s="2" t="str">
        <f>IF(VLOOKUP($B704,Q,10,FALSE)=0,"",(VLOOKUP($B704,Q,10,FALSE)))</f>
        <v/>
      </c>
      <c r="H704" s="2" t="str">
        <f>IF(VLOOKUP($B704,Q,14,FALSE)=0,"",(VLOOKUP($B704,Q,14,FALSE)))</f>
        <v/>
      </c>
      <c r="I704" s="2" t="str">
        <f>IF(VLOOKUP($B704,Q,14,FALSE)=0,"",(VLOOKUP($B704,Q,15,FALSE)))</f>
        <v/>
      </c>
      <c r="J704" s="2" t="str">
        <f>IF(VLOOKUP($B704,Q,14,FALSE)=0,"",(VLOOKUP($B704,Q,16,FALSE)))</f>
        <v/>
      </c>
      <c r="K704" s="2" t="str">
        <f>IF(VLOOKUP($B704,Q,14,FALSE)=0,"",(VLOOKUP($B704,Q,17,FALSE)))</f>
        <v/>
      </c>
    </row>
    <row r="705" spans="2:11" x14ac:dyDescent="0.6">
      <c r="B705" s="1">
        <v>708</v>
      </c>
      <c r="C705" s="2" t="str">
        <f>IF(VLOOKUP($B705,Q,2,FALSE)=0,"",(VLOOKUP($B705,Q,2,FALSE)))</f>
        <v/>
      </c>
      <c r="D705" s="2" t="str">
        <f>IF(VLOOKUP($B705,Q,3,FALSE)=0,"",(VLOOKUP($B705,Q,3,FALSE)))</f>
        <v/>
      </c>
      <c r="E705" s="2" t="str">
        <f>IF(VLOOKUP($B705,Q,8,FALSE)=0,"",(VLOOKUP($B705,Q,8,FALSE)))</f>
        <v/>
      </c>
      <c r="F705" s="19" t="str">
        <f>IF(VLOOKUP($B705,Q,9,FALSE)=0,"",(VLOOKUP($B705,Q,9,FALSE)))</f>
        <v/>
      </c>
      <c r="G705" s="2" t="str">
        <f>IF(VLOOKUP($B705,Q,10,FALSE)=0,"",(VLOOKUP($B705,Q,10,FALSE)))</f>
        <v/>
      </c>
      <c r="H705" s="2" t="str">
        <f>IF(VLOOKUP($B705,Q,14,FALSE)=0,"",(VLOOKUP($B705,Q,14,FALSE)))</f>
        <v/>
      </c>
      <c r="I705" s="2" t="str">
        <f>IF(VLOOKUP($B705,Q,14,FALSE)=0,"",(VLOOKUP($B705,Q,15,FALSE)))</f>
        <v/>
      </c>
      <c r="J705" s="2" t="str">
        <f>IF(VLOOKUP($B705,Q,14,FALSE)=0,"",(VLOOKUP($B705,Q,16,FALSE)))</f>
        <v/>
      </c>
      <c r="K705" s="2" t="str">
        <f>IF(VLOOKUP($B705,Q,14,FALSE)=0,"",(VLOOKUP($B705,Q,17,FALSE)))</f>
        <v/>
      </c>
    </row>
    <row r="706" spans="2:11" x14ac:dyDescent="0.6">
      <c r="B706" s="1">
        <v>709</v>
      </c>
      <c r="C706" s="2" t="str">
        <f>IF(VLOOKUP($B706,Q,2,FALSE)=0,"",(VLOOKUP($B706,Q,2,FALSE)))</f>
        <v/>
      </c>
      <c r="D706" s="2" t="str">
        <f>IF(VLOOKUP($B706,Q,3,FALSE)=0,"",(VLOOKUP($B706,Q,3,FALSE)))</f>
        <v/>
      </c>
      <c r="E706" s="2" t="str">
        <f>IF(VLOOKUP($B706,Q,8,FALSE)=0,"",(VLOOKUP($B706,Q,8,FALSE)))</f>
        <v/>
      </c>
      <c r="F706" s="19" t="str">
        <f>IF(VLOOKUP($B706,Q,9,FALSE)=0,"",(VLOOKUP($B706,Q,9,FALSE)))</f>
        <v/>
      </c>
      <c r="G706" s="2" t="str">
        <f>IF(VLOOKUP($B706,Q,10,FALSE)=0,"",(VLOOKUP($B706,Q,10,FALSE)))</f>
        <v/>
      </c>
      <c r="H706" s="2" t="str">
        <f>IF(VLOOKUP($B706,Q,14,FALSE)=0,"",(VLOOKUP($B706,Q,14,FALSE)))</f>
        <v/>
      </c>
      <c r="I706" s="2" t="str">
        <f>IF(VLOOKUP($B706,Q,14,FALSE)=0,"",(VLOOKUP($B706,Q,15,FALSE)))</f>
        <v/>
      </c>
      <c r="J706" s="2" t="str">
        <f>IF(VLOOKUP($B706,Q,14,FALSE)=0,"",(VLOOKUP($B706,Q,16,FALSE)))</f>
        <v/>
      </c>
      <c r="K706" s="2" t="str">
        <f>IF(VLOOKUP($B706,Q,14,FALSE)=0,"",(VLOOKUP($B706,Q,17,FALSE)))</f>
        <v/>
      </c>
    </row>
    <row r="707" spans="2:11" x14ac:dyDescent="0.6">
      <c r="B707" s="1">
        <v>710</v>
      </c>
      <c r="C707" s="2" t="str">
        <f>IF(VLOOKUP($B707,Q,2,FALSE)=0,"",(VLOOKUP($B707,Q,2,FALSE)))</f>
        <v/>
      </c>
      <c r="D707" s="2" t="str">
        <f>IF(VLOOKUP($B707,Q,3,FALSE)=0,"",(VLOOKUP($B707,Q,3,FALSE)))</f>
        <v/>
      </c>
      <c r="E707" s="2" t="str">
        <f>IF(VLOOKUP($B707,Q,8,FALSE)=0,"",(VLOOKUP($B707,Q,8,FALSE)))</f>
        <v/>
      </c>
      <c r="F707" s="19" t="str">
        <f>IF(VLOOKUP($B707,Q,9,FALSE)=0,"",(VLOOKUP($B707,Q,9,FALSE)))</f>
        <v/>
      </c>
      <c r="G707" s="2" t="str">
        <f>IF(VLOOKUP($B707,Q,10,FALSE)=0,"",(VLOOKUP($B707,Q,10,FALSE)))</f>
        <v/>
      </c>
      <c r="H707" s="2" t="str">
        <f>IF(VLOOKUP($B707,Q,14,FALSE)=0,"",(VLOOKUP($B707,Q,14,FALSE)))</f>
        <v/>
      </c>
      <c r="I707" s="2" t="str">
        <f>IF(VLOOKUP($B707,Q,14,FALSE)=0,"",(VLOOKUP($B707,Q,15,FALSE)))</f>
        <v/>
      </c>
      <c r="J707" s="2" t="str">
        <f>IF(VLOOKUP($B707,Q,14,FALSE)=0,"",(VLOOKUP($B707,Q,16,FALSE)))</f>
        <v/>
      </c>
      <c r="K707" s="2" t="str">
        <f>IF(VLOOKUP($B707,Q,14,FALSE)=0,"",(VLOOKUP($B707,Q,17,FALSE)))</f>
        <v/>
      </c>
    </row>
    <row r="708" spans="2:11" x14ac:dyDescent="0.6">
      <c r="B708" s="1">
        <v>711</v>
      </c>
      <c r="C708" s="2" t="str">
        <f>IF(VLOOKUP($B708,Q,2,FALSE)=0,"",(VLOOKUP($B708,Q,2,FALSE)))</f>
        <v/>
      </c>
      <c r="D708" s="2" t="str">
        <f>IF(VLOOKUP($B708,Q,3,FALSE)=0,"",(VLOOKUP($B708,Q,3,FALSE)))</f>
        <v/>
      </c>
      <c r="E708" s="2" t="str">
        <f>IF(VLOOKUP($B708,Q,8,FALSE)=0,"",(VLOOKUP($B708,Q,8,FALSE)))</f>
        <v/>
      </c>
      <c r="F708" s="19" t="str">
        <f>IF(VLOOKUP($B708,Q,9,FALSE)=0,"",(VLOOKUP($B708,Q,9,FALSE)))</f>
        <v/>
      </c>
      <c r="G708" s="2" t="str">
        <f>IF(VLOOKUP($B708,Q,10,FALSE)=0,"",(VLOOKUP($B708,Q,10,FALSE)))</f>
        <v/>
      </c>
      <c r="H708" s="2" t="str">
        <f>IF(VLOOKUP($B708,Q,14,FALSE)=0,"",(VLOOKUP($B708,Q,14,FALSE)))</f>
        <v/>
      </c>
      <c r="I708" s="2" t="str">
        <f>IF(VLOOKUP($B708,Q,14,FALSE)=0,"",(VLOOKUP($B708,Q,15,FALSE)))</f>
        <v/>
      </c>
      <c r="J708" s="2" t="str">
        <f>IF(VLOOKUP($B708,Q,14,FALSE)=0,"",(VLOOKUP($B708,Q,16,FALSE)))</f>
        <v/>
      </c>
      <c r="K708" s="2" t="str">
        <f>IF(VLOOKUP($B708,Q,14,FALSE)=0,"",(VLOOKUP($B708,Q,17,FALSE)))</f>
        <v/>
      </c>
    </row>
    <row r="709" spans="2:11" x14ac:dyDescent="0.6">
      <c r="B709" s="1">
        <v>712</v>
      </c>
      <c r="C709" s="2" t="str">
        <f>IF(VLOOKUP($B709,Q,2,FALSE)=0,"",(VLOOKUP($B709,Q,2,FALSE)))</f>
        <v/>
      </c>
      <c r="D709" s="2" t="str">
        <f>IF(VLOOKUP($B709,Q,3,FALSE)=0,"",(VLOOKUP($B709,Q,3,FALSE)))</f>
        <v/>
      </c>
      <c r="E709" s="2" t="str">
        <f>IF(VLOOKUP($B709,Q,8,FALSE)=0,"",(VLOOKUP($B709,Q,8,FALSE)))</f>
        <v/>
      </c>
      <c r="F709" s="19" t="str">
        <f>IF(VLOOKUP($B709,Q,9,FALSE)=0,"",(VLOOKUP($B709,Q,9,FALSE)))</f>
        <v/>
      </c>
      <c r="G709" s="2" t="str">
        <f>IF(VLOOKUP($B709,Q,10,FALSE)=0,"",(VLOOKUP($B709,Q,10,FALSE)))</f>
        <v/>
      </c>
      <c r="H709" s="2" t="str">
        <f>IF(VLOOKUP($B709,Q,14,FALSE)=0,"",(VLOOKUP($B709,Q,14,FALSE)))</f>
        <v/>
      </c>
      <c r="I709" s="2" t="str">
        <f>IF(VLOOKUP($B709,Q,14,FALSE)=0,"",(VLOOKUP($B709,Q,15,FALSE)))</f>
        <v/>
      </c>
      <c r="J709" s="2" t="str">
        <f>IF(VLOOKUP($B709,Q,14,FALSE)=0,"",(VLOOKUP($B709,Q,16,FALSE)))</f>
        <v/>
      </c>
      <c r="K709" s="2" t="str">
        <f>IF(VLOOKUP($B709,Q,14,FALSE)=0,"",(VLOOKUP($B709,Q,17,FALSE)))</f>
        <v/>
      </c>
    </row>
    <row r="710" spans="2:11" x14ac:dyDescent="0.6">
      <c r="B710" s="1">
        <v>713</v>
      </c>
      <c r="C710" s="2" t="str">
        <f>IF(VLOOKUP($B710,Q,2,FALSE)=0,"",(VLOOKUP($B710,Q,2,FALSE)))</f>
        <v/>
      </c>
      <c r="D710" s="2" t="str">
        <f>IF(VLOOKUP($B710,Q,3,FALSE)=0,"",(VLOOKUP($B710,Q,3,FALSE)))</f>
        <v/>
      </c>
      <c r="E710" s="2" t="str">
        <f>IF(VLOOKUP($B710,Q,8,FALSE)=0,"",(VLOOKUP($B710,Q,8,FALSE)))</f>
        <v/>
      </c>
      <c r="F710" s="19" t="str">
        <f>IF(VLOOKUP($B710,Q,9,FALSE)=0,"",(VLOOKUP($B710,Q,9,FALSE)))</f>
        <v/>
      </c>
      <c r="G710" s="2" t="str">
        <f>IF(VLOOKUP($B710,Q,10,FALSE)=0,"",(VLOOKUP($B710,Q,10,FALSE)))</f>
        <v/>
      </c>
      <c r="H710" s="2" t="str">
        <f>IF(VLOOKUP($B710,Q,14,FALSE)=0,"",(VLOOKUP($B710,Q,14,FALSE)))</f>
        <v/>
      </c>
      <c r="I710" s="2" t="str">
        <f>IF(VLOOKUP($B710,Q,14,FALSE)=0,"",(VLOOKUP($B710,Q,15,FALSE)))</f>
        <v/>
      </c>
      <c r="J710" s="2" t="str">
        <f>IF(VLOOKUP($B710,Q,14,FALSE)=0,"",(VLOOKUP($B710,Q,16,FALSE)))</f>
        <v/>
      </c>
      <c r="K710" s="2" t="str">
        <f>IF(VLOOKUP($B710,Q,14,FALSE)=0,"",(VLOOKUP($B710,Q,17,FALSE)))</f>
        <v/>
      </c>
    </row>
    <row r="711" spans="2:11" x14ac:dyDescent="0.6">
      <c r="B711" s="1">
        <v>714</v>
      </c>
      <c r="C711" s="2" t="str">
        <f>IF(VLOOKUP($B711,Q,2,FALSE)=0,"",(VLOOKUP($B711,Q,2,FALSE)))</f>
        <v/>
      </c>
      <c r="D711" s="2" t="str">
        <f>IF(VLOOKUP($B711,Q,3,FALSE)=0,"",(VLOOKUP($B711,Q,3,FALSE)))</f>
        <v/>
      </c>
      <c r="E711" s="2" t="str">
        <f>IF(VLOOKUP($B711,Q,8,FALSE)=0,"",(VLOOKUP($B711,Q,8,FALSE)))</f>
        <v/>
      </c>
      <c r="F711" s="19" t="str">
        <f>IF(VLOOKUP($B711,Q,9,FALSE)=0,"",(VLOOKUP($B711,Q,9,FALSE)))</f>
        <v/>
      </c>
      <c r="G711" s="2" t="str">
        <f>IF(VLOOKUP($B711,Q,10,FALSE)=0,"",(VLOOKUP($B711,Q,10,FALSE)))</f>
        <v/>
      </c>
      <c r="H711" s="2" t="str">
        <f>IF(VLOOKUP($B711,Q,14,FALSE)=0,"",(VLOOKUP($B711,Q,14,FALSE)))</f>
        <v/>
      </c>
      <c r="I711" s="2" t="str">
        <f>IF(VLOOKUP($B711,Q,14,FALSE)=0,"",(VLOOKUP($B711,Q,15,FALSE)))</f>
        <v/>
      </c>
      <c r="J711" s="2" t="str">
        <f>IF(VLOOKUP($B711,Q,14,FALSE)=0,"",(VLOOKUP($B711,Q,16,FALSE)))</f>
        <v/>
      </c>
      <c r="K711" s="2" t="str">
        <f>IF(VLOOKUP($B711,Q,14,FALSE)=0,"",(VLOOKUP($B711,Q,17,FALSE)))</f>
        <v/>
      </c>
    </row>
    <row r="712" spans="2:11" x14ac:dyDescent="0.6">
      <c r="B712" s="1">
        <v>715</v>
      </c>
      <c r="C712" s="2" t="str">
        <f>IF(VLOOKUP($B712,Q,2,FALSE)=0,"",(VLOOKUP($B712,Q,2,FALSE)))</f>
        <v/>
      </c>
      <c r="D712" s="2" t="str">
        <f>IF(VLOOKUP($B712,Q,3,FALSE)=0,"",(VLOOKUP($B712,Q,3,FALSE)))</f>
        <v/>
      </c>
      <c r="E712" s="2" t="str">
        <f>IF(VLOOKUP($B712,Q,8,FALSE)=0,"",(VLOOKUP($B712,Q,8,FALSE)))</f>
        <v/>
      </c>
      <c r="F712" s="19" t="str">
        <f>IF(VLOOKUP($B712,Q,9,FALSE)=0,"",(VLOOKUP($B712,Q,9,FALSE)))</f>
        <v/>
      </c>
      <c r="G712" s="2" t="str">
        <f>IF(VLOOKUP($B712,Q,10,FALSE)=0,"",(VLOOKUP($B712,Q,10,FALSE)))</f>
        <v/>
      </c>
      <c r="H712" s="2" t="str">
        <f>IF(VLOOKUP($B712,Q,14,FALSE)=0,"",(VLOOKUP($B712,Q,14,FALSE)))</f>
        <v/>
      </c>
      <c r="I712" s="2" t="str">
        <f>IF(VLOOKUP($B712,Q,14,FALSE)=0,"",(VLOOKUP($B712,Q,15,FALSE)))</f>
        <v/>
      </c>
      <c r="J712" s="2" t="str">
        <f>IF(VLOOKUP($B712,Q,14,FALSE)=0,"",(VLOOKUP($B712,Q,16,FALSE)))</f>
        <v/>
      </c>
      <c r="K712" s="2" t="str">
        <f>IF(VLOOKUP($B712,Q,14,FALSE)=0,"",(VLOOKUP($B712,Q,17,FALSE)))</f>
        <v/>
      </c>
    </row>
    <row r="713" spans="2:11" x14ac:dyDescent="0.6">
      <c r="B713" s="1">
        <v>716</v>
      </c>
      <c r="C713" s="2" t="str">
        <f>IF(VLOOKUP($B713,Q,2,FALSE)=0,"",(VLOOKUP($B713,Q,2,FALSE)))</f>
        <v/>
      </c>
      <c r="D713" s="2" t="str">
        <f>IF(VLOOKUP($B713,Q,3,FALSE)=0,"",(VLOOKUP($B713,Q,3,FALSE)))</f>
        <v/>
      </c>
      <c r="E713" s="2" t="str">
        <f>IF(VLOOKUP($B713,Q,8,FALSE)=0,"",(VLOOKUP($B713,Q,8,FALSE)))</f>
        <v/>
      </c>
      <c r="F713" s="19" t="str">
        <f>IF(VLOOKUP($B713,Q,9,FALSE)=0,"",(VLOOKUP($B713,Q,9,FALSE)))</f>
        <v/>
      </c>
      <c r="G713" s="2" t="str">
        <f>IF(VLOOKUP($B713,Q,10,FALSE)=0,"",(VLOOKUP($B713,Q,10,FALSE)))</f>
        <v/>
      </c>
      <c r="H713" s="2" t="str">
        <f>IF(VLOOKUP($B713,Q,14,FALSE)=0,"",(VLOOKUP($B713,Q,14,FALSE)))</f>
        <v/>
      </c>
      <c r="I713" s="2" t="str">
        <f>IF(VLOOKUP($B713,Q,14,FALSE)=0,"",(VLOOKUP($B713,Q,15,FALSE)))</f>
        <v/>
      </c>
      <c r="J713" s="2" t="str">
        <f>IF(VLOOKUP($B713,Q,14,FALSE)=0,"",(VLOOKUP($B713,Q,16,FALSE)))</f>
        <v/>
      </c>
      <c r="K713" s="2" t="str">
        <f>IF(VLOOKUP($B713,Q,14,FALSE)=0,"",(VLOOKUP($B713,Q,17,FALSE)))</f>
        <v/>
      </c>
    </row>
    <row r="714" spans="2:11" x14ac:dyDescent="0.6">
      <c r="B714" s="1">
        <v>717</v>
      </c>
      <c r="C714" s="2" t="str">
        <f>IF(VLOOKUP($B714,Q,2,FALSE)=0,"",(VLOOKUP($B714,Q,2,FALSE)))</f>
        <v/>
      </c>
      <c r="D714" s="2" t="str">
        <f>IF(VLOOKUP($B714,Q,3,FALSE)=0,"",(VLOOKUP($B714,Q,3,FALSE)))</f>
        <v/>
      </c>
      <c r="E714" s="2" t="str">
        <f>IF(VLOOKUP($B714,Q,8,FALSE)=0,"",(VLOOKUP($B714,Q,8,FALSE)))</f>
        <v/>
      </c>
      <c r="F714" s="19" t="str">
        <f>IF(VLOOKUP($B714,Q,9,FALSE)=0,"",(VLOOKUP($B714,Q,9,FALSE)))</f>
        <v/>
      </c>
      <c r="G714" s="2" t="str">
        <f>IF(VLOOKUP($B714,Q,10,FALSE)=0,"",(VLOOKUP($B714,Q,10,FALSE)))</f>
        <v/>
      </c>
      <c r="H714" s="2" t="str">
        <f>IF(VLOOKUP($B714,Q,14,FALSE)=0,"",(VLOOKUP($B714,Q,14,FALSE)))</f>
        <v/>
      </c>
      <c r="I714" s="2" t="str">
        <f>IF(VLOOKUP($B714,Q,14,FALSE)=0,"",(VLOOKUP($B714,Q,15,FALSE)))</f>
        <v/>
      </c>
      <c r="J714" s="2" t="str">
        <f>IF(VLOOKUP($B714,Q,14,FALSE)=0,"",(VLOOKUP($B714,Q,16,FALSE)))</f>
        <v/>
      </c>
      <c r="K714" s="2" t="str">
        <f>IF(VLOOKUP($B714,Q,14,FALSE)=0,"",(VLOOKUP($B714,Q,17,FALSE)))</f>
        <v/>
      </c>
    </row>
    <row r="715" spans="2:11" x14ac:dyDescent="0.6">
      <c r="B715" s="1">
        <v>718</v>
      </c>
      <c r="C715" s="2" t="str">
        <f>IF(VLOOKUP($B715,Q,2,FALSE)=0,"",(VLOOKUP($B715,Q,2,FALSE)))</f>
        <v/>
      </c>
      <c r="D715" s="2" t="str">
        <f>IF(VLOOKUP($B715,Q,3,FALSE)=0,"",(VLOOKUP($B715,Q,3,FALSE)))</f>
        <v/>
      </c>
      <c r="E715" s="2" t="str">
        <f>IF(VLOOKUP($B715,Q,8,FALSE)=0,"",(VLOOKUP($B715,Q,8,FALSE)))</f>
        <v/>
      </c>
      <c r="F715" s="19" t="str">
        <f>IF(VLOOKUP($B715,Q,9,FALSE)=0,"",(VLOOKUP($B715,Q,9,FALSE)))</f>
        <v/>
      </c>
      <c r="G715" s="2" t="str">
        <f>IF(VLOOKUP($B715,Q,10,FALSE)=0,"",(VLOOKUP($B715,Q,10,FALSE)))</f>
        <v/>
      </c>
      <c r="H715" s="2" t="str">
        <f>IF(VLOOKUP($B715,Q,14,FALSE)=0,"",(VLOOKUP($B715,Q,14,FALSE)))</f>
        <v/>
      </c>
      <c r="I715" s="2" t="str">
        <f>IF(VLOOKUP($B715,Q,14,FALSE)=0,"",(VLOOKUP($B715,Q,15,FALSE)))</f>
        <v/>
      </c>
      <c r="J715" s="2" t="str">
        <f>IF(VLOOKUP($B715,Q,14,FALSE)=0,"",(VLOOKUP($B715,Q,16,FALSE)))</f>
        <v/>
      </c>
      <c r="K715" s="2" t="str">
        <f>IF(VLOOKUP($B715,Q,14,FALSE)=0,"",(VLOOKUP($B715,Q,17,FALSE)))</f>
        <v/>
      </c>
    </row>
    <row r="716" spans="2:11" x14ac:dyDescent="0.6">
      <c r="B716" s="1">
        <v>719</v>
      </c>
      <c r="C716" s="2" t="str">
        <f>IF(VLOOKUP($B716,Q,2,FALSE)=0,"",(VLOOKUP($B716,Q,2,FALSE)))</f>
        <v/>
      </c>
      <c r="D716" s="2" t="str">
        <f>IF(VLOOKUP($B716,Q,3,FALSE)=0,"",(VLOOKUP($B716,Q,3,FALSE)))</f>
        <v/>
      </c>
      <c r="E716" s="2" t="str">
        <f>IF(VLOOKUP($B716,Q,8,FALSE)=0,"",(VLOOKUP($B716,Q,8,FALSE)))</f>
        <v/>
      </c>
      <c r="F716" s="19" t="str">
        <f>IF(VLOOKUP($B716,Q,9,FALSE)=0,"",(VLOOKUP($B716,Q,9,FALSE)))</f>
        <v/>
      </c>
      <c r="G716" s="2" t="str">
        <f>IF(VLOOKUP($B716,Q,10,FALSE)=0,"",(VLOOKUP($B716,Q,10,FALSE)))</f>
        <v/>
      </c>
      <c r="H716" s="2" t="str">
        <f>IF(VLOOKUP($B716,Q,14,FALSE)=0,"",(VLOOKUP($B716,Q,14,FALSE)))</f>
        <v/>
      </c>
      <c r="I716" s="2" t="str">
        <f>IF(VLOOKUP($B716,Q,14,FALSE)=0,"",(VLOOKUP($B716,Q,15,FALSE)))</f>
        <v/>
      </c>
      <c r="J716" s="2" t="str">
        <f>IF(VLOOKUP($B716,Q,14,FALSE)=0,"",(VLOOKUP($B716,Q,16,FALSE)))</f>
        <v/>
      </c>
      <c r="K716" s="2" t="str">
        <f>IF(VLOOKUP($B716,Q,14,FALSE)=0,"",(VLOOKUP($B716,Q,17,FALSE)))</f>
        <v/>
      </c>
    </row>
    <row r="717" spans="2:11" x14ac:dyDescent="0.6">
      <c r="B717" s="1">
        <v>720</v>
      </c>
      <c r="C717" s="2" t="str">
        <f>IF(VLOOKUP($B717,Q,2,FALSE)=0,"",(VLOOKUP($B717,Q,2,FALSE)))</f>
        <v/>
      </c>
      <c r="D717" s="2" t="str">
        <f>IF(VLOOKUP($B717,Q,3,FALSE)=0,"",(VLOOKUP($B717,Q,3,FALSE)))</f>
        <v/>
      </c>
      <c r="E717" s="2" t="str">
        <f>IF(VLOOKUP($B717,Q,8,FALSE)=0,"",(VLOOKUP($B717,Q,8,FALSE)))</f>
        <v/>
      </c>
      <c r="F717" s="19" t="str">
        <f>IF(VLOOKUP($B717,Q,9,FALSE)=0,"",(VLOOKUP($B717,Q,9,FALSE)))</f>
        <v/>
      </c>
      <c r="G717" s="2" t="str">
        <f>IF(VLOOKUP($B717,Q,10,FALSE)=0,"",(VLOOKUP($B717,Q,10,FALSE)))</f>
        <v/>
      </c>
      <c r="H717" s="2" t="str">
        <f>IF(VLOOKUP($B717,Q,14,FALSE)=0,"",(VLOOKUP($B717,Q,14,FALSE)))</f>
        <v/>
      </c>
      <c r="I717" s="2" t="str">
        <f>IF(VLOOKUP($B717,Q,14,FALSE)=0,"",(VLOOKUP($B717,Q,15,FALSE)))</f>
        <v/>
      </c>
      <c r="J717" s="2" t="str">
        <f>IF(VLOOKUP($B717,Q,14,FALSE)=0,"",(VLOOKUP($B717,Q,16,FALSE)))</f>
        <v/>
      </c>
      <c r="K717" s="2" t="str">
        <f>IF(VLOOKUP($B717,Q,14,FALSE)=0,"",(VLOOKUP($B717,Q,17,FALSE)))</f>
        <v/>
      </c>
    </row>
    <row r="718" spans="2:11" x14ac:dyDescent="0.6">
      <c r="B718" s="1">
        <v>721</v>
      </c>
      <c r="C718" s="2" t="str">
        <f>IF(VLOOKUP($B718,Q,2,FALSE)=0,"",(VLOOKUP($B718,Q,2,FALSE)))</f>
        <v/>
      </c>
      <c r="D718" s="2" t="str">
        <f>IF(VLOOKUP($B718,Q,3,FALSE)=0,"",(VLOOKUP($B718,Q,3,FALSE)))</f>
        <v/>
      </c>
      <c r="E718" s="2" t="str">
        <f>IF(VLOOKUP($B718,Q,8,FALSE)=0,"",(VLOOKUP($B718,Q,8,FALSE)))</f>
        <v/>
      </c>
      <c r="F718" s="19" t="str">
        <f>IF(VLOOKUP($B718,Q,9,FALSE)=0,"",(VLOOKUP($B718,Q,9,FALSE)))</f>
        <v/>
      </c>
      <c r="G718" s="2" t="str">
        <f>IF(VLOOKUP($B718,Q,10,FALSE)=0,"",(VLOOKUP($B718,Q,10,FALSE)))</f>
        <v/>
      </c>
      <c r="H718" s="2" t="str">
        <f>IF(VLOOKUP($B718,Q,14,FALSE)=0,"",(VLOOKUP($B718,Q,14,FALSE)))</f>
        <v/>
      </c>
      <c r="I718" s="2" t="str">
        <f>IF(VLOOKUP($B718,Q,14,FALSE)=0,"",(VLOOKUP($B718,Q,15,FALSE)))</f>
        <v/>
      </c>
      <c r="J718" s="2" t="str">
        <f>IF(VLOOKUP($B718,Q,14,FALSE)=0,"",(VLOOKUP($B718,Q,16,FALSE)))</f>
        <v/>
      </c>
      <c r="K718" s="2" t="str">
        <f>IF(VLOOKUP($B718,Q,14,FALSE)=0,"",(VLOOKUP($B718,Q,17,FALSE)))</f>
        <v/>
      </c>
    </row>
    <row r="719" spans="2:11" x14ac:dyDescent="0.6">
      <c r="B719" s="1">
        <v>722</v>
      </c>
      <c r="C719" s="2" t="str">
        <f>IF(VLOOKUP($B719,Q,2,FALSE)=0,"",(VLOOKUP($B719,Q,2,FALSE)))</f>
        <v/>
      </c>
      <c r="D719" s="2" t="str">
        <f>IF(VLOOKUP($B719,Q,3,FALSE)=0,"",(VLOOKUP($B719,Q,3,FALSE)))</f>
        <v/>
      </c>
      <c r="E719" s="2" t="str">
        <f>IF(VLOOKUP($B719,Q,8,FALSE)=0,"",(VLOOKUP($B719,Q,8,FALSE)))</f>
        <v/>
      </c>
      <c r="F719" s="19" t="str">
        <f>IF(VLOOKUP($B719,Q,9,FALSE)=0,"",(VLOOKUP($B719,Q,9,FALSE)))</f>
        <v/>
      </c>
      <c r="G719" s="2" t="str">
        <f>IF(VLOOKUP($B719,Q,10,FALSE)=0,"",(VLOOKUP($B719,Q,10,FALSE)))</f>
        <v/>
      </c>
      <c r="H719" s="2" t="str">
        <f>IF(VLOOKUP($B719,Q,14,FALSE)=0,"",(VLOOKUP($B719,Q,14,FALSE)))</f>
        <v/>
      </c>
      <c r="I719" s="2" t="str">
        <f>IF(VLOOKUP($B719,Q,14,FALSE)=0,"",(VLOOKUP($B719,Q,15,FALSE)))</f>
        <v/>
      </c>
      <c r="J719" s="2" t="str">
        <f>IF(VLOOKUP($B719,Q,14,FALSE)=0,"",(VLOOKUP($B719,Q,16,FALSE)))</f>
        <v/>
      </c>
      <c r="K719" s="2" t="str">
        <f>IF(VLOOKUP($B719,Q,14,FALSE)=0,"",(VLOOKUP($B719,Q,17,FALSE)))</f>
        <v/>
      </c>
    </row>
    <row r="720" spans="2:11" x14ac:dyDescent="0.6">
      <c r="B720" s="1">
        <v>723</v>
      </c>
      <c r="C720" s="2" t="str">
        <f>IF(VLOOKUP($B720,Q,2,FALSE)=0,"",(VLOOKUP($B720,Q,2,FALSE)))</f>
        <v/>
      </c>
      <c r="D720" s="2" t="str">
        <f>IF(VLOOKUP($B720,Q,3,FALSE)=0,"",(VLOOKUP($B720,Q,3,FALSE)))</f>
        <v/>
      </c>
      <c r="E720" s="2" t="str">
        <f>IF(VLOOKUP($B720,Q,8,FALSE)=0,"",(VLOOKUP($B720,Q,8,FALSE)))</f>
        <v/>
      </c>
      <c r="F720" s="19" t="str">
        <f>IF(VLOOKUP($B720,Q,9,FALSE)=0,"",(VLOOKUP($B720,Q,9,FALSE)))</f>
        <v/>
      </c>
      <c r="G720" s="2" t="str">
        <f>IF(VLOOKUP($B720,Q,10,FALSE)=0,"",(VLOOKUP($B720,Q,10,FALSE)))</f>
        <v/>
      </c>
      <c r="H720" s="2" t="str">
        <f>IF(VLOOKUP($B720,Q,14,FALSE)=0,"",(VLOOKUP($B720,Q,14,FALSE)))</f>
        <v/>
      </c>
      <c r="I720" s="2" t="str">
        <f>IF(VLOOKUP($B720,Q,14,FALSE)=0,"",(VLOOKUP($B720,Q,15,FALSE)))</f>
        <v/>
      </c>
      <c r="J720" s="2" t="str">
        <f>IF(VLOOKUP($B720,Q,14,FALSE)=0,"",(VLOOKUP($B720,Q,16,FALSE)))</f>
        <v/>
      </c>
      <c r="K720" s="2" t="str">
        <f>IF(VLOOKUP($B720,Q,14,FALSE)=0,"",(VLOOKUP($B720,Q,17,FALSE)))</f>
        <v/>
      </c>
    </row>
    <row r="721" spans="2:11" x14ac:dyDescent="0.6">
      <c r="B721" s="1">
        <v>724</v>
      </c>
      <c r="C721" s="2" t="str">
        <f>IF(VLOOKUP($B721,Q,2,FALSE)=0,"",(VLOOKUP($B721,Q,2,FALSE)))</f>
        <v/>
      </c>
      <c r="D721" s="2" t="str">
        <f>IF(VLOOKUP($B721,Q,3,FALSE)=0,"",(VLOOKUP($B721,Q,3,FALSE)))</f>
        <v/>
      </c>
      <c r="E721" s="2" t="str">
        <f>IF(VLOOKUP($B721,Q,8,FALSE)=0,"",(VLOOKUP($B721,Q,8,FALSE)))</f>
        <v/>
      </c>
      <c r="F721" s="19" t="str">
        <f>IF(VLOOKUP($B721,Q,9,FALSE)=0,"",(VLOOKUP($B721,Q,9,FALSE)))</f>
        <v/>
      </c>
      <c r="G721" s="2" t="str">
        <f>IF(VLOOKUP($B721,Q,10,FALSE)=0,"",(VLOOKUP($B721,Q,10,FALSE)))</f>
        <v/>
      </c>
      <c r="H721" s="2" t="str">
        <f>IF(VLOOKUP($B721,Q,14,FALSE)=0,"",(VLOOKUP($B721,Q,14,FALSE)))</f>
        <v/>
      </c>
      <c r="I721" s="2" t="str">
        <f>IF(VLOOKUP($B721,Q,14,FALSE)=0,"",(VLOOKUP($B721,Q,15,FALSE)))</f>
        <v/>
      </c>
      <c r="J721" s="2" t="str">
        <f>IF(VLOOKUP($B721,Q,14,FALSE)=0,"",(VLOOKUP($B721,Q,16,FALSE)))</f>
        <v/>
      </c>
      <c r="K721" s="2" t="str">
        <f>IF(VLOOKUP($B721,Q,14,FALSE)=0,"",(VLOOKUP($B721,Q,17,FALSE)))</f>
        <v/>
      </c>
    </row>
    <row r="722" spans="2:11" x14ac:dyDescent="0.6">
      <c r="B722" s="1">
        <v>725</v>
      </c>
      <c r="C722" s="2" t="str">
        <f>IF(VLOOKUP($B722,Q,2,FALSE)=0,"",(VLOOKUP($B722,Q,2,FALSE)))</f>
        <v/>
      </c>
      <c r="D722" s="2" t="str">
        <f>IF(VLOOKUP($B722,Q,3,FALSE)=0,"",(VLOOKUP($B722,Q,3,FALSE)))</f>
        <v/>
      </c>
      <c r="E722" s="2" t="str">
        <f>IF(VLOOKUP($B722,Q,8,FALSE)=0,"",(VLOOKUP($B722,Q,8,FALSE)))</f>
        <v/>
      </c>
      <c r="F722" s="19" t="str">
        <f>IF(VLOOKUP($B722,Q,9,FALSE)=0,"",(VLOOKUP($B722,Q,9,FALSE)))</f>
        <v/>
      </c>
      <c r="G722" s="2" t="str">
        <f>IF(VLOOKUP($B722,Q,10,FALSE)=0,"",(VLOOKUP($B722,Q,10,FALSE)))</f>
        <v/>
      </c>
      <c r="H722" s="2" t="str">
        <f>IF(VLOOKUP($B722,Q,14,FALSE)=0,"",(VLOOKUP($B722,Q,14,FALSE)))</f>
        <v/>
      </c>
      <c r="I722" s="2" t="str">
        <f>IF(VLOOKUP($B722,Q,14,FALSE)=0,"",(VLOOKUP($B722,Q,15,FALSE)))</f>
        <v/>
      </c>
      <c r="J722" s="2" t="str">
        <f>IF(VLOOKUP($B722,Q,14,FALSE)=0,"",(VLOOKUP($B722,Q,16,FALSE)))</f>
        <v/>
      </c>
      <c r="K722" s="2" t="str">
        <f>IF(VLOOKUP($B722,Q,14,FALSE)=0,"",(VLOOKUP($B722,Q,17,FALSE)))</f>
        <v/>
      </c>
    </row>
    <row r="723" spans="2:11" x14ac:dyDescent="0.6">
      <c r="B723" s="1">
        <v>726</v>
      </c>
      <c r="C723" s="2" t="str">
        <f>IF(VLOOKUP($B723,Q,2,FALSE)=0,"",(VLOOKUP($B723,Q,2,FALSE)))</f>
        <v/>
      </c>
      <c r="D723" s="2" t="str">
        <f>IF(VLOOKUP($B723,Q,3,FALSE)=0,"",(VLOOKUP($B723,Q,3,FALSE)))</f>
        <v/>
      </c>
      <c r="E723" s="2" t="str">
        <f>IF(VLOOKUP($B723,Q,8,FALSE)=0,"",(VLOOKUP($B723,Q,8,FALSE)))</f>
        <v/>
      </c>
      <c r="F723" s="19" t="str">
        <f>IF(VLOOKUP($B723,Q,9,FALSE)=0,"",(VLOOKUP($B723,Q,9,FALSE)))</f>
        <v/>
      </c>
      <c r="G723" s="2" t="str">
        <f>IF(VLOOKUP($B723,Q,10,FALSE)=0,"",(VLOOKUP($B723,Q,10,FALSE)))</f>
        <v/>
      </c>
      <c r="H723" s="2" t="str">
        <f>IF(VLOOKUP($B723,Q,14,FALSE)=0,"",(VLOOKUP($B723,Q,14,FALSE)))</f>
        <v/>
      </c>
      <c r="I723" s="2" t="str">
        <f>IF(VLOOKUP($B723,Q,14,FALSE)=0,"",(VLOOKUP($B723,Q,15,FALSE)))</f>
        <v/>
      </c>
      <c r="J723" s="2" t="str">
        <f>IF(VLOOKUP($B723,Q,14,FALSE)=0,"",(VLOOKUP($B723,Q,16,FALSE)))</f>
        <v/>
      </c>
      <c r="K723" s="2" t="str">
        <f>IF(VLOOKUP($B723,Q,14,FALSE)=0,"",(VLOOKUP($B723,Q,17,FALSE)))</f>
        <v/>
      </c>
    </row>
    <row r="724" spans="2:11" x14ac:dyDescent="0.6">
      <c r="B724" s="1">
        <v>727</v>
      </c>
      <c r="C724" s="2" t="str">
        <f>IF(VLOOKUP($B724,Q,2,FALSE)=0,"",(VLOOKUP($B724,Q,2,FALSE)))</f>
        <v/>
      </c>
      <c r="D724" s="2" t="str">
        <f>IF(VLOOKUP($B724,Q,3,FALSE)=0,"",(VLOOKUP($B724,Q,3,FALSE)))</f>
        <v/>
      </c>
      <c r="E724" s="2" t="str">
        <f>IF(VLOOKUP($B724,Q,8,FALSE)=0,"",(VLOOKUP($B724,Q,8,FALSE)))</f>
        <v/>
      </c>
      <c r="F724" s="19" t="str">
        <f>IF(VLOOKUP($B724,Q,9,FALSE)=0,"",(VLOOKUP($B724,Q,9,FALSE)))</f>
        <v/>
      </c>
      <c r="G724" s="2" t="str">
        <f>IF(VLOOKUP($B724,Q,10,FALSE)=0,"",(VLOOKUP($B724,Q,10,FALSE)))</f>
        <v/>
      </c>
      <c r="H724" s="2" t="str">
        <f>IF(VLOOKUP($B724,Q,14,FALSE)=0,"",(VLOOKUP($B724,Q,14,FALSE)))</f>
        <v/>
      </c>
      <c r="I724" s="2" t="str">
        <f>IF(VLOOKUP($B724,Q,14,FALSE)=0,"",(VLOOKUP($B724,Q,15,FALSE)))</f>
        <v/>
      </c>
      <c r="J724" s="2" t="str">
        <f>IF(VLOOKUP($B724,Q,14,FALSE)=0,"",(VLOOKUP($B724,Q,16,FALSE)))</f>
        <v/>
      </c>
      <c r="K724" s="2" t="str">
        <f>IF(VLOOKUP($B724,Q,14,FALSE)=0,"",(VLOOKUP($B724,Q,17,FALSE)))</f>
        <v/>
      </c>
    </row>
    <row r="725" spans="2:11" x14ac:dyDescent="0.6">
      <c r="B725" s="1">
        <v>728</v>
      </c>
      <c r="C725" s="2" t="str">
        <f>IF(VLOOKUP($B725,Q,2,FALSE)=0,"",(VLOOKUP($B725,Q,2,FALSE)))</f>
        <v/>
      </c>
      <c r="D725" s="2" t="str">
        <f>IF(VLOOKUP($B725,Q,3,FALSE)=0,"",(VLOOKUP($B725,Q,3,FALSE)))</f>
        <v/>
      </c>
      <c r="E725" s="2" t="str">
        <f>IF(VLOOKUP($B725,Q,8,FALSE)=0,"",(VLOOKUP($B725,Q,8,FALSE)))</f>
        <v/>
      </c>
      <c r="F725" s="19" t="str">
        <f>IF(VLOOKUP($B725,Q,9,FALSE)=0,"",(VLOOKUP($B725,Q,9,FALSE)))</f>
        <v/>
      </c>
      <c r="G725" s="2" t="str">
        <f>IF(VLOOKUP($B725,Q,10,FALSE)=0,"",(VLOOKUP($B725,Q,10,FALSE)))</f>
        <v/>
      </c>
      <c r="H725" s="2" t="str">
        <f>IF(VLOOKUP($B725,Q,14,FALSE)=0,"",(VLOOKUP($B725,Q,14,FALSE)))</f>
        <v/>
      </c>
      <c r="I725" s="2" t="str">
        <f>IF(VLOOKUP($B725,Q,14,FALSE)=0,"",(VLOOKUP($B725,Q,15,FALSE)))</f>
        <v/>
      </c>
      <c r="J725" s="2" t="str">
        <f>IF(VLOOKUP($B725,Q,14,FALSE)=0,"",(VLOOKUP($B725,Q,16,FALSE)))</f>
        <v/>
      </c>
      <c r="K725" s="2" t="str">
        <f>IF(VLOOKUP($B725,Q,14,FALSE)=0,"",(VLOOKUP($B725,Q,17,FALSE)))</f>
        <v/>
      </c>
    </row>
    <row r="726" spans="2:11" x14ac:dyDescent="0.6">
      <c r="B726" s="1">
        <v>729</v>
      </c>
      <c r="C726" s="2" t="str">
        <f>IF(VLOOKUP($B726,Q,2,FALSE)=0,"",(VLOOKUP($B726,Q,2,FALSE)))</f>
        <v/>
      </c>
      <c r="D726" s="2" t="str">
        <f>IF(VLOOKUP($B726,Q,3,FALSE)=0,"",(VLOOKUP($B726,Q,3,FALSE)))</f>
        <v/>
      </c>
      <c r="E726" s="2" t="str">
        <f>IF(VLOOKUP($B726,Q,8,FALSE)=0,"",(VLOOKUP($B726,Q,8,FALSE)))</f>
        <v/>
      </c>
      <c r="F726" s="19" t="str">
        <f>IF(VLOOKUP($B726,Q,9,FALSE)=0,"",(VLOOKUP($B726,Q,9,FALSE)))</f>
        <v/>
      </c>
      <c r="G726" s="2" t="str">
        <f>IF(VLOOKUP($B726,Q,10,FALSE)=0,"",(VLOOKUP($B726,Q,10,FALSE)))</f>
        <v/>
      </c>
      <c r="H726" s="2" t="str">
        <f>IF(VLOOKUP($B726,Q,14,FALSE)=0,"",(VLOOKUP($B726,Q,14,FALSE)))</f>
        <v/>
      </c>
      <c r="I726" s="2" t="str">
        <f>IF(VLOOKUP($B726,Q,14,FALSE)=0,"",(VLOOKUP($B726,Q,15,FALSE)))</f>
        <v/>
      </c>
      <c r="J726" s="2" t="str">
        <f>IF(VLOOKUP($B726,Q,14,FALSE)=0,"",(VLOOKUP($B726,Q,16,FALSE)))</f>
        <v/>
      </c>
      <c r="K726" s="2" t="str">
        <f>IF(VLOOKUP($B726,Q,14,FALSE)=0,"",(VLOOKUP($B726,Q,17,FALSE)))</f>
        <v/>
      </c>
    </row>
    <row r="727" spans="2:11" x14ac:dyDescent="0.6">
      <c r="B727" s="1">
        <v>730</v>
      </c>
      <c r="C727" s="2" t="str">
        <f>IF(VLOOKUP($B727,Q,2,FALSE)=0,"",(VLOOKUP($B727,Q,2,FALSE)))</f>
        <v/>
      </c>
      <c r="D727" s="2" t="str">
        <f>IF(VLOOKUP($B727,Q,3,FALSE)=0,"",(VLOOKUP($B727,Q,3,FALSE)))</f>
        <v/>
      </c>
      <c r="E727" s="2" t="str">
        <f>IF(VLOOKUP($B727,Q,8,FALSE)=0,"",(VLOOKUP($B727,Q,8,FALSE)))</f>
        <v/>
      </c>
      <c r="F727" s="19" t="str">
        <f>IF(VLOOKUP($B727,Q,9,FALSE)=0,"",(VLOOKUP($B727,Q,9,FALSE)))</f>
        <v/>
      </c>
      <c r="G727" s="2" t="str">
        <f>IF(VLOOKUP($B727,Q,10,FALSE)=0,"",(VLOOKUP($B727,Q,10,FALSE)))</f>
        <v/>
      </c>
      <c r="H727" s="2" t="str">
        <f>IF(VLOOKUP($B727,Q,14,FALSE)=0,"",(VLOOKUP($B727,Q,14,FALSE)))</f>
        <v/>
      </c>
      <c r="I727" s="2" t="str">
        <f>IF(VLOOKUP($B727,Q,14,FALSE)=0,"",(VLOOKUP($B727,Q,15,FALSE)))</f>
        <v/>
      </c>
      <c r="J727" s="2" t="str">
        <f>IF(VLOOKUP($B727,Q,14,FALSE)=0,"",(VLOOKUP($B727,Q,16,FALSE)))</f>
        <v/>
      </c>
      <c r="K727" s="2" t="str">
        <f>IF(VLOOKUP($B727,Q,14,FALSE)=0,"",(VLOOKUP($B727,Q,17,FALSE)))</f>
        <v/>
      </c>
    </row>
    <row r="728" spans="2:11" x14ac:dyDescent="0.6">
      <c r="B728" s="1">
        <v>731</v>
      </c>
      <c r="C728" s="2" t="str">
        <f>IF(VLOOKUP($B728,Q,2,FALSE)=0,"",(VLOOKUP($B728,Q,2,FALSE)))</f>
        <v/>
      </c>
      <c r="D728" s="2" t="str">
        <f>IF(VLOOKUP($B728,Q,3,FALSE)=0,"",(VLOOKUP($B728,Q,3,FALSE)))</f>
        <v/>
      </c>
      <c r="E728" s="2" t="str">
        <f>IF(VLOOKUP($B728,Q,8,FALSE)=0,"",(VLOOKUP($B728,Q,8,FALSE)))</f>
        <v/>
      </c>
      <c r="F728" s="19" t="str">
        <f>IF(VLOOKUP($B728,Q,9,FALSE)=0,"",(VLOOKUP($B728,Q,9,FALSE)))</f>
        <v/>
      </c>
      <c r="G728" s="2" t="str">
        <f>IF(VLOOKUP($B728,Q,10,FALSE)=0,"",(VLOOKUP($B728,Q,10,FALSE)))</f>
        <v/>
      </c>
      <c r="H728" s="2" t="str">
        <f>IF(VLOOKUP($B728,Q,14,FALSE)=0,"",(VLOOKUP($B728,Q,14,FALSE)))</f>
        <v/>
      </c>
      <c r="I728" s="2" t="str">
        <f>IF(VLOOKUP($B728,Q,14,FALSE)=0,"",(VLOOKUP($B728,Q,15,FALSE)))</f>
        <v/>
      </c>
      <c r="J728" s="2" t="str">
        <f>IF(VLOOKUP($B728,Q,14,FALSE)=0,"",(VLOOKUP($B728,Q,16,FALSE)))</f>
        <v/>
      </c>
      <c r="K728" s="2" t="str">
        <f>IF(VLOOKUP($B728,Q,14,FALSE)=0,"",(VLOOKUP($B728,Q,17,FALSE)))</f>
        <v/>
      </c>
    </row>
    <row r="729" spans="2:11" x14ac:dyDescent="0.6">
      <c r="B729" s="1">
        <v>732</v>
      </c>
      <c r="C729" s="2" t="str">
        <f>IF(VLOOKUP($B729,Q,2,FALSE)=0,"",(VLOOKUP($B729,Q,2,FALSE)))</f>
        <v/>
      </c>
      <c r="D729" s="2" t="str">
        <f>IF(VLOOKUP($B729,Q,3,FALSE)=0,"",(VLOOKUP($B729,Q,3,FALSE)))</f>
        <v/>
      </c>
      <c r="E729" s="2" t="str">
        <f>IF(VLOOKUP($B729,Q,8,FALSE)=0,"",(VLOOKUP($B729,Q,8,FALSE)))</f>
        <v/>
      </c>
      <c r="F729" s="19" t="str">
        <f>IF(VLOOKUP($B729,Q,9,FALSE)=0,"",(VLOOKUP($B729,Q,9,FALSE)))</f>
        <v/>
      </c>
      <c r="G729" s="2" t="str">
        <f>IF(VLOOKUP($B729,Q,10,FALSE)=0,"",(VLOOKUP($B729,Q,10,FALSE)))</f>
        <v/>
      </c>
      <c r="H729" s="2" t="str">
        <f>IF(VLOOKUP($B729,Q,14,FALSE)=0,"",(VLOOKUP($B729,Q,14,FALSE)))</f>
        <v/>
      </c>
      <c r="I729" s="2" t="str">
        <f>IF(VLOOKUP($B729,Q,14,FALSE)=0,"",(VLOOKUP($B729,Q,15,FALSE)))</f>
        <v/>
      </c>
      <c r="J729" s="2" t="str">
        <f>IF(VLOOKUP($B729,Q,14,FALSE)=0,"",(VLOOKUP($B729,Q,16,FALSE)))</f>
        <v/>
      </c>
      <c r="K729" s="2" t="str">
        <f>IF(VLOOKUP($B729,Q,14,FALSE)=0,"",(VLOOKUP($B729,Q,17,FALSE)))</f>
        <v/>
      </c>
    </row>
    <row r="730" spans="2:11" x14ac:dyDescent="0.6">
      <c r="B730" s="1">
        <v>733</v>
      </c>
      <c r="C730" s="2" t="str">
        <f>IF(VLOOKUP($B730,Q,2,FALSE)=0,"",(VLOOKUP($B730,Q,2,FALSE)))</f>
        <v/>
      </c>
      <c r="D730" s="2" t="str">
        <f>IF(VLOOKUP($B730,Q,3,FALSE)=0,"",(VLOOKUP($B730,Q,3,FALSE)))</f>
        <v/>
      </c>
      <c r="E730" s="2" t="str">
        <f>IF(VLOOKUP($B730,Q,8,FALSE)=0,"",(VLOOKUP($B730,Q,8,FALSE)))</f>
        <v/>
      </c>
      <c r="F730" s="19" t="str">
        <f>IF(VLOOKUP($B730,Q,9,FALSE)=0,"",(VLOOKUP($B730,Q,9,FALSE)))</f>
        <v/>
      </c>
      <c r="G730" s="2" t="str">
        <f>IF(VLOOKUP($B730,Q,10,FALSE)=0,"",(VLOOKUP($B730,Q,10,FALSE)))</f>
        <v/>
      </c>
      <c r="H730" s="2" t="str">
        <f>IF(VLOOKUP($B730,Q,14,FALSE)=0,"",(VLOOKUP($B730,Q,14,FALSE)))</f>
        <v/>
      </c>
      <c r="I730" s="2" t="str">
        <f>IF(VLOOKUP($B730,Q,14,FALSE)=0,"",(VLOOKUP($B730,Q,15,FALSE)))</f>
        <v/>
      </c>
      <c r="J730" s="2" t="str">
        <f>IF(VLOOKUP($B730,Q,14,FALSE)=0,"",(VLOOKUP($B730,Q,16,FALSE)))</f>
        <v/>
      </c>
      <c r="K730" s="2" t="str">
        <f>IF(VLOOKUP($B730,Q,14,FALSE)=0,"",(VLOOKUP($B730,Q,17,FALSE)))</f>
        <v/>
      </c>
    </row>
    <row r="731" spans="2:11" x14ac:dyDescent="0.6">
      <c r="B731" s="1">
        <v>734</v>
      </c>
      <c r="C731" s="2" t="str">
        <f>IF(VLOOKUP($B731,Q,2,FALSE)=0,"",(VLOOKUP($B731,Q,2,FALSE)))</f>
        <v/>
      </c>
      <c r="D731" s="2" t="str">
        <f>IF(VLOOKUP($B731,Q,3,FALSE)=0,"",(VLOOKUP($B731,Q,3,FALSE)))</f>
        <v/>
      </c>
      <c r="E731" s="2" t="str">
        <f>IF(VLOOKUP($B731,Q,8,FALSE)=0,"",(VLOOKUP($B731,Q,8,FALSE)))</f>
        <v/>
      </c>
      <c r="F731" s="19" t="str">
        <f>IF(VLOOKUP($B731,Q,9,FALSE)=0,"",(VLOOKUP($B731,Q,9,FALSE)))</f>
        <v/>
      </c>
      <c r="G731" s="2" t="str">
        <f>IF(VLOOKUP($B731,Q,10,FALSE)=0,"",(VLOOKUP($B731,Q,10,FALSE)))</f>
        <v/>
      </c>
      <c r="H731" s="2" t="str">
        <f>IF(VLOOKUP($B731,Q,14,FALSE)=0,"",(VLOOKUP($B731,Q,14,FALSE)))</f>
        <v/>
      </c>
      <c r="I731" s="2" t="str">
        <f>IF(VLOOKUP($B731,Q,14,FALSE)=0,"",(VLOOKUP($B731,Q,15,FALSE)))</f>
        <v/>
      </c>
      <c r="J731" s="2" t="str">
        <f>IF(VLOOKUP($B731,Q,14,FALSE)=0,"",(VLOOKUP($B731,Q,16,FALSE)))</f>
        <v/>
      </c>
      <c r="K731" s="2" t="str">
        <f>IF(VLOOKUP($B731,Q,14,FALSE)=0,"",(VLOOKUP($B731,Q,17,FALSE)))</f>
        <v/>
      </c>
    </row>
    <row r="732" spans="2:11" x14ac:dyDescent="0.6">
      <c r="B732" s="1">
        <v>735</v>
      </c>
      <c r="C732" s="2" t="str">
        <f>IF(VLOOKUP($B732,Q,2,FALSE)=0,"",(VLOOKUP($B732,Q,2,FALSE)))</f>
        <v/>
      </c>
      <c r="D732" s="2" t="str">
        <f>IF(VLOOKUP($B732,Q,3,FALSE)=0,"",(VLOOKUP($B732,Q,3,FALSE)))</f>
        <v/>
      </c>
      <c r="E732" s="2" t="str">
        <f>IF(VLOOKUP($B732,Q,8,FALSE)=0,"",(VLOOKUP($B732,Q,8,FALSE)))</f>
        <v/>
      </c>
      <c r="F732" s="19" t="str">
        <f>IF(VLOOKUP($B732,Q,9,FALSE)=0,"",(VLOOKUP($B732,Q,9,FALSE)))</f>
        <v/>
      </c>
      <c r="G732" s="2" t="str">
        <f>IF(VLOOKUP($B732,Q,10,FALSE)=0,"",(VLOOKUP($B732,Q,10,FALSE)))</f>
        <v/>
      </c>
      <c r="H732" s="2" t="str">
        <f>IF(VLOOKUP($B732,Q,14,FALSE)=0,"",(VLOOKUP($B732,Q,14,FALSE)))</f>
        <v/>
      </c>
      <c r="I732" s="2" t="str">
        <f>IF(VLOOKUP($B732,Q,14,FALSE)=0,"",(VLOOKUP($B732,Q,15,FALSE)))</f>
        <v/>
      </c>
      <c r="J732" s="2" t="str">
        <f>IF(VLOOKUP($B732,Q,14,FALSE)=0,"",(VLOOKUP($B732,Q,16,FALSE)))</f>
        <v/>
      </c>
      <c r="K732" s="2" t="str">
        <f>IF(VLOOKUP($B732,Q,14,FALSE)=0,"",(VLOOKUP($B732,Q,17,FALSE)))</f>
        <v/>
      </c>
    </row>
    <row r="733" spans="2:11" x14ac:dyDescent="0.6">
      <c r="B733" s="1">
        <v>736</v>
      </c>
      <c r="C733" s="2" t="str">
        <f>IF(VLOOKUP($B733,Q,2,FALSE)=0,"",(VLOOKUP($B733,Q,2,FALSE)))</f>
        <v/>
      </c>
      <c r="D733" s="2" t="str">
        <f>IF(VLOOKUP($B733,Q,3,FALSE)=0,"",(VLOOKUP($B733,Q,3,FALSE)))</f>
        <v/>
      </c>
      <c r="E733" s="2" t="str">
        <f>IF(VLOOKUP($B733,Q,8,FALSE)=0,"",(VLOOKUP($B733,Q,8,FALSE)))</f>
        <v/>
      </c>
      <c r="F733" s="19" t="str">
        <f>IF(VLOOKUP($B733,Q,9,FALSE)=0,"",(VLOOKUP($B733,Q,9,FALSE)))</f>
        <v/>
      </c>
      <c r="G733" s="2" t="str">
        <f>IF(VLOOKUP($B733,Q,10,FALSE)=0,"",(VLOOKUP($B733,Q,10,FALSE)))</f>
        <v/>
      </c>
      <c r="H733" s="2" t="str">
        <f>IF(VLOOKUP($B733,Q,14,FALSE)=0,"",(VLOOKUP($B733,Q,14,FALSE)))</f>
        <v/>
      </c>
      <c r="I733" s="2" t="str">
        <f>IF(VLOOKUP($B733,Q,14,FALSE)=0,"",(VLOOKUP($B733,Q,15,FALSE)))</f>
        <v/>
      </c>
      <c r="J733" s="2" t="str">
        <f>IF(VLOOKUP($B733,Q,14,FALSE)=0,"",(VLOOKUP($B733,Q,16,FALSE)))</f>
        <v/>
      </c>
      <c r="K733" s="2" t="str">
        <f>IF(VLOOKUP($B733,Q,14,FALSE)=0,"",(VLOOKUP($B733,Q,17,FALSE)))</f>
        <v/>
      </c>
    </row>
    <row r="734" spans="2:11" x14ac:dyDescent="0.6">
      <c r="B734" s="1">
        <v>737</v>
      </c>
      <c r="C734" s="2" t="str">
        <f>IF(VLOOKUP($B734,Q,2,FALSE)=0,"",(VLOOKUP($B734,Q,2,FALSE)))</f>
        <v/>
      </c>
      <c r="D734" s="2" t="str">
        <f>IF(VLOOKUP($B734,Q,3,FALSE)=0,"",(VLOOKUP($B734,Q,3,FALSE)))</f>
        <v/>
      </c>
      <c r="E734" s="2" t="str">
        <f>IF(VLOOKUP($B734,Q,8,FALSE)=0,"",(VLOOKUP($B734,Q,8,FALSE)))</f>
        <v/>
      </c>
      <c r="F734" s="19" t="str">
        <f>IF(VLOOKUP($B734,Q,9,FALSE)=0,"",(VLOOKUP($B734,Q,9,FALSE)))</f>
        <v/>
      </c>
      <c r="G734" s="2" t="str">
        <f>IF(VLOOKUP($B734,Q,10,FALSE)=0,"",(VLOOKUP($B734,Q,10,FALSE)))</f>
        <v/>
      </c>
      <c r="H734" s="2" t="str">
        <f>IF(VLOOKUP($B734,Q,14,FALSE)=0,"",(VLOOKUP($B734,Q,14,FALSE)))</f>
        <v/>
      </c>
      <c r="I734" s="2" t="str">
        <f>IF(VLOOKUP($B734,Q,14,FALSE)=0,"",(VLOOKUP($B734,Q,15,FALSE)))</f>
        <v/>
      </c>
      <c r="J734" s="2" t="str">
        <f>IF(VLOOKUP($B734,Q,14,FALSE)=0,"",(VLOOKUP($B734,Q,16,FALSE)))</f>
        <v/>
      </c>
      <c r="K734" s="2" t="str">
        <f>IF(VLOOKUP($B734,Q,14,FALSE)=0,"",(VLOOKUP($B734,Q,17,FALSE)))</f>
        <v/>
      </c>
    </row>
    <row r="735" spans="2:11" x14ac:dyDescent="0.6">
      <c r="B735" s="1">
        <v>738</v>
      </c>
      <c r="C735" s="2" t="str">
        <f>IF(VLOOKUP($B735,Q,2,FALSE)=0,"",(VLOOKUP($B735,Q,2,FALSE)))</f>
        <v/>
      </c>
      <c r="D735" s="2" t="str">
        <f>IF(VLOOKUP($B735,Q,3,FALSE)=0,"",(VLOOKUP($B735,Q,3,FALSE)))</f>
        <v/>
      </c>
      <c r="E735" s="2" t="str">
        <f>IF(VLOOKUP($B735,Q,8,FALSE)=0,"",(VLOOKUP($B735,Q,8,FALSE)))</f>
        <v/>
      </c>
      <c r="F735" s="19" t="str">
        <f>IF(VLOOKUP($B735,Q,9,FALSE)=0,"",(VLOOKUP($B735,Q,9,FALSE)))</f>
        <v/>
      </c>
      <c r="G735" s="2" t="str">
        <f>IF(VLOOKUP($B735,Q,10,FALSE)=0,"",(VLOOKUP($B735,Q,10,FALSE)))</f>
        <v/>
      </c>
      <c r="H735" s="2" t="str">
        <f>IF(VLOOKUP($B735,Q,14,FALSE)=0,"",(VLOOKUP($B735,Q,14,FALSE)))</f>
        <v/>
      </c>
      <c r="I735" s="2" t="str">
        <f>IF(VLOOKUP($B735,Q,14,FALSE)=0,"",(VLOOKUP($B735,Q,15,FALSE)))</f>
        <v/>
      </c>
      <c r="J735" s="2" t="str">
        <f>IF(VLOOKUP($B735,Q,14,FALSE)=0,"",(VLOOKUP($B735,Q,16,FALSE)))</f>
        <v/>
      </c>
      <c r="K735" s="2" t="str">
        <f>IF(VLOOKUP($B735,Q,14,FALSE)=0,"",(VLOOKUP($B735,Q,17,FALSE)))</f>
        <v/>
      </c>
    </row>
    <row r="736" spans="2:11" x14ac:dyDescent="0.6">
      <c r="B736" s="1">
        <v>739</v>
      </c>
      <c r="C736" s="2" t="str">
        <f>IF(VLOOKUP($B736,Q,2,FALSE)=0,"",(VLOOKUP($B736,Q,2,FALSE)))</f>
        <v/>
      </c>
      <c r="D736" s="2" t="str">
        <f>IF(VLOOKUP($B736,Q,3,FALSE)=0,"",(VLOOKUP($B736,Q,3,FALSE)))</f>
        <v/>
      </c>
      <c r="E736" s="2" t="str">
        <f>IF(VLOOKUP($B736,Q,8,FALSE)=0,"",(VLOOKUP($B736,Q,8,FALSE)))</f>
        <v/>
      </c>
      <c r="F736" s="19" t="str">
        <f>IF(VLOOKUP($B736,Q,9,FALSE)=0,"",(VLOOKUP($B736,Q,9,FALSE)))</f>
        <v/>
      </c>
      <c r="G736" s="2" t="str">
        <f>IF(VLOOKUP($B736,Q,10,FALSE)=0,"",(VLOOKUP($B736,Q,10,FALSE)))</f>
        <v/>
      </c>
      <c r="H736" s="2" t="str">
        <f>IF(VLOOKUP($B736,Q,14,FALSE)=0,"",(VLOOKUP($B736,Q,14,FALSE)))</f>
        <v/>
      </c>
      <c r="I736" s="2" t="str">
        <f>IF(VLOOKUP($B736,Q,14,FALSE)=0,"",(VLOOKUP($B736,Q,15,FALSE)))</f>
        <v/>
      </c>
      <c r="J736" s="2" t="str">
        <f>IF(VLOOKUP($B736,Q,14,FALSE)=0,"",(VLOOKUP($B736,Q,16,FALSE)))</f>
        <v/>
      </c>
      <c r="K736" s="2" t="str">
        <f>IF(VLOOKUP($B736,Q,14,FALSE)=0,"",(VLOOKUP($B736,Q,17,FALSE)))</f>
        <v/>
      </c>
    </row>
    <row r="737" spans="2:11" x14ac:dyDescent="0.6">
      <c r="B737" s="1">
        <v>740</v>
      </c>
      <c r="C737" s="2" t="str">
        <f>IF(VLOOKUP($B737,Q,2,FALSE)=0,"",(VLOOKUP($B737,Q,2,FALSE)))</f>
        <v/>
      </c>
      <c r="D737" s="2" t="str">
        <f>IF(VLOOKUP($B737,Q,3,FALSE)=0,"",(VLOOKUP($B737,Q,3,FALSE)))</f>
        <v/>
      </c>
      <c r="E737" s="2" t="str">
        <f>IF(VLOOKUP($B737,Q,8,FALSE)=0,"",(VLOOKUP($B737,Q,8,FALSE)))</f>
        <v/>
      </c>
      <c r="F737" s="19" t="str">
        <f>IF(VLOOKUP($B737,Q,9,FALSE)=0,"",(VLOOKUP($B737,Q,9,FALSE)))</f>
        <v/>
      </c>
      <c r="G737" s="2" t="str">
        <f>IF(VLOOKUP($B737,Q,10,FALSE)=0,"",(VLOOKUP($B737,Q,10,FALSE)))</f>
        <v/>
      </c>
      <c r="H737" s="2" t="str">
        <f>IF(VLOOKUP($B737,Q,14,FALSE)=0,"",(VLOOKUP($B737,Q,14,FALSE)))</f>
        <v/>
      </c>
      <c r="I737" s="2" t="str">
        <f>IF(VLOOKUP($B737,Q,14,FALSE)=0,"",(VLOOKUP($B737,Q,15,FALSE)))</f>
        <v/>
      </c>
      <c r="J737" s="2" t="str">
        <f>IF(VLOOKUP($B737,Q,14,FALSE)=0,"",(VLOOKUP($B737,Q,16,FALSE)))</f>
        <v/>
      </c>
      <c r="K737" s="2" t="str">
        <f>IF(VLOOKUP($B737,Q,14,FALSE)=0,"",(VLOOKUP($B737,Q,17,FALSE)))</f>
        <v/>
      </c>
    </row>
    <row r="738" spans="2:11" x14ac:dyDescent="0.6">
      <c r="B738" s="1">
        <v>741</v>
      </c>
      <c r="C738" s="2" t="str">
        <f>IF(VLOOKUP($B738,Q,2,FALSE)=0,"",(VLOOKUP($B738,Q,2,FALSE)))</f>
        <v/>
      </c>
      <c r="D738" s="2" t="str">
        <f>IF(VLOOKUP($B738,Q,3,FALSE)=0,"",(VLOOKUP($B738,Q,3,FALSE)))</f>
        <v/>
      </c>
      <c r="E738" s="2" t="str">
        <f>IF(VLOOKUP($B738,Q,8,FALSE)=0,"",(VLOOKUP($B738,Q,8,FALSE)))</f>
        <v/>
      </c>
      <c r="F738" s="19" t="str">
        <f>IF(VLOOKUP($B738,Q,9,FALSE)=0,"",(VLOOKUP($B738,Q,9,FALSE)))</f>
        <v/>
      </c>
      <c r="G738" s="2" t="str">
        <f>IF(VLOOKUP($B738,Q,10,FALSE)=0,"",(VLOOKUP($B738,Q,10,FALSE)))</f>
        <v/>
      </c>
      <c r="H738" s="2" t="str">
        <f>IF(VLOOKUP($B738,Q,14,FALSE)=0,"",(VLOOKUP($B738,Q,14,FALSE)))</f>
        <v/>
      </c>
      <c r="I738" s="2" t="str">
        <f>IF(VLOOKUP($B738,Q,14,FALSE)=0,"",(VLOOKUP($B738,Q,15,FALSE)))</f>
        <v/>
      </c>
      <c r="J738" s="2" t="str">
        <f>IF(VLOOKUP($B738,Q,14,FALSE)=0,"",(VLOOKUP($B738,Q,16,FALSE)))</f>
        <v/>
      </c>
      <c r="K738" s="2" t="str">
        <f>IF(VLOOKUP($B738,Q,14,FALSE)=0,"",(VLOOKUP($B738,Q,17,FALSE)))</f>
        <v/>
      </c>
    </row>
    <row r="739" spans="2:11" x14ac:dyDescent="0.6">
      <c r="B739" s="1">
        <v>742</v>
      </c>
      <c r="C739" s="2" t="str">
        <f>IF(VLOOKUP($B739,Q,2,FALSE)=0,"",(VLOOKUP($B739,Q,2,FALSE)))</f>
        <v/>
      </c>
      <c r="D739" s="2" t="str">
        <f>IF(VLOOKUP($B739,Q,3,FALSE)=0,"",(VLOOKUP($B739,Q,3,FALSE)))</f>
        <v/>
      </c>
      <c r="E739" s="2" t="str">
        <f>IF(VLOOKUP($B739,Q,8,FALSE)=0,"",(VLOOKUP($B739,Q,8,FALSE)))</f>
        <v/>
      </c>
      <c r="F739" s="19" t="str">
        <f>IF(VLOOKUP($B739,Q,9,FALSE)=0,"",(VLOOKUP($B739,Q,9,FALSE)))</f>
        <v/>
      </c>
      <c r="G739" s="2" t="str">
        <f>IF(VLOOKUP($B739,Q,10,FALSE)=0,"",(VLOOKUP($B739,Q,10,FALSE)))</f>
        <v/>
      </c>
      <c r="H739" s="2" t="str">
        <f>IF(VLOOKUP($B739,Q,14,FALSE)=0,"",(VLOOKUP($B739,Q,14,FALSE)))</f>
        <v/>
      </c>
      <c r="I739" s="2" t="str">
        <f>IF(VLOOKUP($B739,Q,14,FALSE)=0,"",(VLOOKUP($B739,Q,15,FALSE)))</f>
        <v/>
      </c>
      <c r="J739" s="2" t="str">
        <f>IF(VLOOKUP($B739,Q,14,FALSE)=0,"",(VLOOKUP($B739,Q,16,FALSE)))</f>
        <v/>
      </c>
      <c r="K739" s="2" t="str">
        <f>IF(VLOOKUP($B739,Q,14,FALSE)=0,"",(VLOOKUP($B739,Q,17,FALSE)))</f>
        <v/>
      </c>
    </row>
    <row r="740" spans="2:11" x14ac:dyDescent="0.6">
      <c r="B740" s="1">
        <v>743</v>
      </c>
      <c r="C740" s="2" t="str">
        <f>IF(VLOOKUP($B740,Q,2,FALSE)=0,"",(VLOOKUP($B740,Q,2,FALSE)))</f>
        <v/>
      </c>
      <c r="D740" s="2" t="str">
        <f>IF(VLOOKUP($B740,Q,3,FALSE)=0,"",(VLOOKUP($B740,Q,3,FALSE)))</f>
        <v/>
      </c>
      <c r="E740" s="2" t="str">
        <f>IF(VLOOKUP($B740,Q,8,FALSE)=0,"",(VLOOKUP($B740,Q,8,FALSE)))</f>
        <v/>
      </c>
      <c r="F740" s="19" t="str">
        <f>IF(VLOOKUP($B740,Q,9,FALSE)=0,"",(VLOOKUP($B740,Q,9,FALSE)))</f>
        <v/>
      </c>
      <c r="G740" s="2" t="str">
        <f>IF(VLOOKUP($B740,Q,10,FALSE)=0,"",(VLOOKUP($B740,Q,10,FALSE)))</f>
        <v/>
      </c>
      <c r="H740" s="2" t="str">
        <f>IF(VLOOKUP($B740,Q,14,FALSE)=0,"",(VLOOKUP($B740,Q,14,FALSE)))</f>
        <v/>
      </c>
      <c r="I740" s="2" t="str">
        <f>IF(VLOOKUP($B740,Q,14,FALSE)=0,"",(VLOOKUP($B740,Q,15,FALSE)))</f>
        <v/>
      </c>
      <c r="J740" s="2" t="str">
        <f>IF(VLOOKUP($B740,Q,14,FALSE)=0,"",(VLOOKUP($B740,Q,16,FALSE)))</f>
        <v/>
      </c>
      <c r="K740" s="2" t="str">
        <f>IF(VLOOKUP($B740,Q,14,FALSE)=0,"",(VLOOKUP($B740,Q,17,FALSE)))</f>
        <v/>
      </c>
    </row>
    <row r="741" spans="2:11" x14ac:dyDescent="0.6">
      <c r="B741" s="1">
        <v>744</v>
      </c>
      <c r="C741" s="2" t="str">
        <f>IF(VLOOKUP($B741,Q,2,FALSE)=0,"",(VLOOKUP($B741,Q,2,FALSE)))</f>
        <v/>
      </c>
      <c r="D741" s="2" t="str">
        <f>IF(VLOOKUP($B741,Q,3,FALSE)=0,"",(VLOOKUP($B741,Q,3,FALSE)))</f>
        <v/>
      </c>
      <c r="E741" s="2" t="str">
        <f>IF(VLOOKUP($B741,Q,8,FALSE)=0,"",(VLOOKUP($B741,Q,8,FALSE)))</f>
        <v/>
      </c>
      <c r="F741" s="19" t="str">
        <f>IF(VLOOKUP($B741,Q,9,FALSE)=0,"",(VLOOKUP($B741,Q,9,FALSE)))</f>
        <v/>
      </c>
      <c r="G741" s="2" t="str">
        <f>IF(VLOOKUP($B741,Q,10,FALSE)=0,"",(VLOOKUP($B741,Q,10,FALSE)))</f>
        <v/>
      </c>
      <c r="H741" s="2" t="str">
        <f>IF(VLOOKUP($B741,Q,14,FALSE)=0,"",(VLOOKUP($B741,Q,14,FALSE)))</f>
        <v/>
      </c>
      <c r="I741" s="2" t="str">
        <f>IF(VLOOKUP($B741,Q,14,FALSE)=0,"",(VLOOKUP($B741,Q,15,FALSE)))</f>
        <v/>
      </c>
      <c r="J741" s="2" t="str">
        <f>IF(VLOOKUP($B741,Q,14,FALSE)=0,"",(VLOOKUP($B741,Q,16,FALSE)))</f>
        <v/>
      </c>
      <c r="K741" s="2" t="str">
        <f>IF(VLOOKUP($B741,Q,14,FALSE)=0,"",(VLOOKUP($B741,Q,17,FALSE)))</f>
        <v/>
      </c>
    </row>
    <row r="742" spans="2:11" x14ac:dyDescent="0.6">
      <c r="B742" s="1">
        <v>745</v>
      </c>
      <c r="C742" s="2" t="str">
        <f>IF(VLOOKUP($B742,Q,2,FALSE)=0,"",(VLOOKUP($B742,Q,2,FALSE)))</f>
        <v/>
      </c>
      <c r="D742" s="2" t="str">
        <f>IF(VLOOKUP($B742,Q,3,FALSE)=0,"",(VLOOKUP($B742,Q,3,FALSE)))</f>
        <v/>
      </c>
      <c r="E742" s="2" t="str">
        <f>IF(VLOOKUP($B742,Q,8,FALSE)=0,"",(VLOOKUP($B742,Q,8,FALSE)))</f>
        <v/>
      </c>
      <c r="F742" s="19" t="str">
        <f>IF(VLOOKUP($B742,Q,9,FALSE)=0,"",(VLOOKUP($B742,Q,9,FALSE)))</f>
        <v/>
      </c>
      <c r="G742" s="2" t="str">
        <f>IF(VLOOKUP($B742,Q,10,FALSE)=0,"",(VLOOKUP($B742,Q,10,FALSE)))</f>
        <v/>
      </c>
      <c r="H742" s="2" t="str">
        <f>IF(VLOOKUP($B742,Q,14,FALSE)=0,"",(VLOOKUP($B742,Q,14,FALSE)))</f>
        <v/>
      </c>
      <c r="I742" s="2" t="str">
        <f>IF(VLOOKUP($B742,Q,14,FALSE)=0,"",(VLOOKUP($B742,Q,15,FALSE)))</f>
        <v/>
      </c>
      <c r="J742" s="2" t="str">
        <f>IF(VLOOKUP($B742,Q,14,FALSE)=0,"",(VLOOKUP($B742,Q,16,FALSE)))</f>
        <v/>
      </c>
      <c r="K742" s="2" t="str">
        <f>IF(VLOOKUP($B742,Q,14,FALSE)=0,"",(VLOOKUP($B742,Q,17,FALSE)))</f>
        <v/>
      </c>
    </row>
    <row r="743" spans="2:11" x14ac:dyDescent="0.6">
      <c r="B743" s="1">
        <v>746</v>
      </c>
      <c r="C743" s="2" t="str">
        <f>IF(VLOOKUP($B743,Q,2,FALSE)=0,"",(VLOOKUP($B743,Q,2,FALSE)))</f>
        <v/>
      </c>
      <c r="D743" s="2" t="str">
        <f>IF(VLOOKUP($B743,Q,3,FALSE)=0,"",(VLOOKUP($B743,Q,3,FALSE)))</f>
        <v/>
      </c>
      <c r="E743" s="2" t="str">
        <f>IF(VLOOKUP($B743,Q,8,FALSE)=0,"",(VLOOKUP($B743,Q,8,FALSE)))</f>
        <v/>
      </c>
      <c r="F743" s="19" t="str">
        <f>IF(VLOOKUP($B743,Q,9,FALSE)=0,"",(VLOOKUP($B743,Q,9,FALSE)))</f>
        <v/>
      </c>
      <c r="G743" s="2" t="str">
        <f>IF(VLOOKUP($B743,Q,10,FALSE)=0,"",(VLOOKUP($B743,Q,10,FALSE)))</f>
        <v/>
      </c>
      <c r="H743" s="2" t="str">
        <f>IF(VLOOKUP($B743,Q,14,FALSE)=0,"",(VLOOKUP($B743,Q,14,FALSE)))</f>
        <v/>
      </c>
      <c r="I743" s="2" t="str">
        <f>IF(VLOOKUP($B743,Q,14,FALSE)=0,"",(VLOOKUP($B743,Q,15,FALSE)))</f>
        <v/>
      </c>
      <c r="J743" s="2" t="str">
        <f>IF(VLOOKUP($B743,Q,14,FALSE)=0,"",(VLOOKUP($B743,Q,16,FALSE)))</f>
        <v/>
      </c>
      <c r="K743" s="2" t="str">
        <f>IF(VLOOKUP($B743,Q,14,FALSE)=0,"",(VLOOKUP($B743,Q,17,FALSE)))</f>
        <v/>
      </c>
    </row>
    <row r="744" spans="2:11" x14ac:dyDescent="0.6">
      <c r="B744" s="1">
        <v>747</v>
      </c>
      <c r="C744" s="2" t="str">
        <f>IF(VLOOKUP($B744,Q,2,FALSE)=0,"",(VLOOKUP($B744,Q,2,FALSE)))</f>
        <v/>
      </c>
      <c r="D744" s="2" t="str">
        <f>IF(VLOOKUP($B744,Q,3,FALSE)=0,"",(VLOOKUP($B744,Q,3,FALSE)))</f>
        <v/>
      </c>
      <c r="E744" s="2" t="str">
        <f>IF(VLOOKUP($B744,Q,8,FALSE)=0,"",(VLOOKUP($B744,Q,8,FALSE)))</f>
        <v/>
      </c>
      <c r="F744" s="19" t="str">
        <f>IF(VLOOKUP($B744,Q,9,FALSE)=0,"",(VLOOKUP($B744,Q,9,FALSE)))</f>
        <v/>
      </c>
      <c r="G744" s="2" t="str">
        <f>IF(VLOOKUP($B744,Q,10,FALSE)=0,"",(VLOOKUP($B744,Q,10,FALSE)))</f>
        <v/>
      </c>
      <c r="H744" s="2" t="str">
        <f>IF(VLOOKUP($B744,Q,14,FALSE)=0,"",(VLOOKUP($B744,Q,14,FALSE)))</f>
        <v/>
      </c>
      <c r="I744" s="2" t="str">
        <f>IF(VLOOKUP($B744,Q,14,FALSE)=0,"",(VLOOKUP($B744,Q,15,FALSE)))</f>
        <v/>
      </c>
      <c r="J744" s="2" t="str">
        <f>IF(VLOOKUP($B744,Q,14,FALSE)=0,"",(VLOOKUP($B744,Q,16,FALSE)))</f>
        <v/>
      </c>
      <c r="K744" s="2" t="str">
        <f>IF(VLOOKUP($B744,Q,14,FALSE)=0,"",(VLOOKUP($B744,Q,17,FALSE)))</f>
        <v/>
      </c>
    </row>
    <row r="745" spans="2:11" x14ac:dyDescent="0.6">
      <c r="B745" s="1">
        <v>748</v>
      </c>
      <c r="C745" s="2" t="str">
        <f>IF(VLOOKUP($B745,Q,2,FALSE)=0,"",(VLOOKUP($B745,Q,2,FALSE)))</f>
        <v/>
      </c>
      <c r="D745" s="2" t="str">
        <f>IF(VLOOKUP($B745,Q,3,FALSE)=0,"",(VLOOKUP($B745,Q,3,FALSE)))</f>
        <v/>
      </c>
      <c r="E745" s="2" t="str">
        <f>IF(VLOOKUP($B745,Q,8,FALSE)=0,"",(VLOOKUP($B745,Q,8,FALSE)))</f>
        <v/>
      </c>
      <c r="F745" s="19" t="str">
        <f>IF(VLOOKUP($B745,Q,9,FALSE)=0,"",(VLOOKUP($B745,Q,9,FALSE)))</f>
        <v/>
      </c>
      <c r="G745" s="2" t="str">
        <f>IF(VLOOKUP($B745,Q,10,FALSE)=0,"",(VLOOKUP($B745,Q,10,FALSE)))</f>
        <v/>
      </c>
      <c r="H745" s="2" t="str">
        <f>IF(VLOOKUP($B745,Q,14,FALSE)=0,"",(VLOOKUP($B745,Q,14,FALSE)))</f>
        <v/>
      </c>
      <c r="I745" s="2" t="str">
        <f>IF(VLOOKUP($B745,Q,14,FALSE)=0,"",(VLOOKUP($B745,Q,15,FALSE)))</f>
        <v/>
      </c>
      <c r="J745" s="2" t="str">
        <f>IF(VLOOKUP($B745,Q,14,FALSE)=0,"",(VLOOKUP($B745,Q,16,FALSE)))</f>
        <v/>
      </c>
      <c r="K745" s="2" t="str">
        <f>IF(VLOOKUP($B745,Q,14,FALSE)=0,"",(VLOOKUP($B745,Q,17,FALSE)))</f>
        <v/>
      </c>
    </row>
    <row r="746" spans="2:11" x14ac:dyDescent="0.6">
      <c r="B746" s="1">
        <v>749</v>
      </c>
      <c r="C746" s="2" t="str">
        <f>IF(VLOOKUP($B746,Q,2,FALSE)=0,"",(VLOOKUP($B746,Q,2,FALSE)))</f>
        <v/>
      </c>
      <c r="D746" s="2" t="str">
        <f>IF(VLOOKUP($B746,Q,3,FALSE)=0,"",(VLOOKUP($B746,Q,3,FALSE)))</f>
        <v/>
      </c>
      <c r="E746" s="2" t="str">
        <f>IF(VLOOKUP($B746,Q,8,FALSE)=0,"",(VLOOKUP($B746,Q,8,FALSE)))</f>
        <v/>
      </c>
      <c r="F746" s="19" t="str">
        <f>IF(VLOOKUP($B746,Q,9,FALSE)=0,"",(VLOOKUP($B746,Q,9,FALSE)))</f>
        <v/>
      </c>
      <c r="G746" s="2" t="str">
        <f>IF(VLOOKUP($B746,Q,10,FALSE)=0,"",(VLOOKUP($B746,Q,10,FALSE)))</f>
        <v/>
      </c>
      <c r="H746" s="2" t="str">
        <f>IF(VLOOKUP($B746,Q,14,FALSE)=0,"",(VLOOKUP($B746,Q,14,FALSE)))</f>
        <v/>
      </c>
      <c r="I746" s="2" t="str">
        <f>IF(VLOOKUP($B746,Q,14,FALSE)=0,"",(VLOOKUP($B746,Q,15,FALSE)))</f>
        <v/>
      </c>
      <c r="J746" s="2" t="str">
        <f>IF(VLOOKUP($B746,Q,14,FALSE)=0,"",(VLOOKUP($B746,Q,16,FALSE)))</f>
        <v/>
      </c>
      <c r="K746" s="2" t="str">
        <f>IF(VLOOKUP($B746,Q,14,FALSE)=0,"",(VLOOKUP($B746,Q,17,FALSE)))</f>
        <v/>
      </c>
    </row>
    <row r="747" spans="2:11" x14ac:dyDescent="0.6">
      <c r="B747" s="1">
        <v>750</v>
      </c>
      <c r="C747" s="2" t="str">
        <f>IF(VLOOKUP($B747,Q,2,FALSE)=0,"",(VLOOKUP($B747,Q,2,FALSE)))</f>
        <v/>
      </c>
      <c r="D747" s="2" t="str">
        <f>IF(VLOOKUP($B747,Q,3,FALSE)=0,"",(VLOOKUP($B747,Q,3,FALSE)))</f>
        <v/>
      </c>
      <c r="E747" s="2" t="str">
        <f>IF(VLOOKUP($B747,Q,8,FALSE)=0,"",(VLOOKUP($B747,Q,8,FALSE)))</f>
        <v/>
      </c>
      <c r="F747" s="19" t="str">
        <f>IF(VLOOKUP($B747,Q,9,FALSE)=0,"",(VLOOKUP($B747,Q,9,FALSE)))</f>
        <v/>
      </c>
      <c r="G747" s="2" t="str">
        <f>IF(VLOOKUP($B747,Q,10,FALSE)=0,"",(VLOOKUP($B747,Q,10,FALSE)))</f>
        <v/>
      </c>
      <c r="H747" s="2" t="str">
        <f>IF(VLOOKUP($B747,Q,14,FALSE)=0,"",(VLOOKUP($B747,Q,14,FALSE)))</f>
        <v/>
      </c>
      <c r="I747" s="2" t="str">
        <f>IF(VLOOKUP($B747,Q,14,FALSE)=0,"",(VLOOKUP($B747,Q,15,FALSE)))</f>
        <v/>
      </c>
      <c r="J747" s="2" t="str">
        <f>IF(VLOOKUP($B747,Q,14,FALSE)=0,"",(VLOOKUP($B747,Q,16,FALSE)))</f>
        <v/>
      </c>
      <c r="K747" s="2" t="str">
        <f>IF(VLOOKUP($B747,Q,14,FALSE)=0,"",(VLOOKUP($B747,Q,17,FALSE)))</f>
        <v/>
      </c>
    </row>
    <row r="748" spans="2:11" x14ac:dyDescent="0.6">
      <c r="B748" s="1">
        <v>751</v>
      </c>
      <c r="C748" s="2" t="str">
        <f>IF(VLOOKUP($B748,Q,2,FALSE)=0,"",(VLOOKUP($B748,Q,2,FALSE)))</f>
        <v/>
      </c>
      <c r="D748" s="2" t="str">
        <f>IF(VLOOKUP($B748,Q,3,FALSE)=0,"",(VLOOKUP($B748,Q,3,FALSE)))</f>
        <v/>
      </c>
      <c r="E748" s="2" t="str">
        <f>IF(VLOOKUP($B748,Q,8,FALSE)=0,"",(VLOOKUP($B748,Q,8,FALSE)))</f>
        <v/>
      </c>
      <c r="F748" s="19" t="str">
        <f>IF(VLOOKUP($B748,Q,9,FALSE)=0,"",(VLOOKUP($B748,Q,9,FALSE)))</f>
        <v/>
      </c>
      <c r="G748" s="2" t="str">
        <f>IF(VLOOKUP($B748,Q,10,FALSE)=0,"",(VLOOKUP($B748,Q,10,FALSE)))</f>
        <v/>
      </c>
      <c r="H748" s="2" t="str">
        <f>IF(VLOOKUP($B748,Q,14,FALSE)=0,"",(VLOOKUP($B748,Q,14,FALSE)))</f>
        <v/>
      </c>
      <c r="I748" s="2" t="str">
        <f>IF(VLOOKUP($B748,Q,14,FALSE)=0,"",(VLOOKUP($B748,Q,15,FALSE)))</f>
        <v/>
      </c>
      <c r="J748" s="2" t="str">
        <f>IF(VLOOKUP($B748,Q,14,FALSE)=0,"",(VLOOKUP($B748,Q,16,FALSE)))</f>
        <v/>
      </c>
      <c r="K748" s="2" t="str">
        <f>IF(VLOOKUP($B748,Q,14,FALSE)=0,"",(VLOOKUP($B748,Q,17,FALSE)))</f>
        <v/>
      </c>
    </row>
    <row r="749" spans="2:11" x14ac:dyDescent="0.6">
      <c r="B749" s="1">
        <v>752</v>
      </c>
      <c r="C749" s="2" t="str">
        <f>IF(VLOOKUP($B749,Q,2,FALSE)=0,"",(VLOOKUP($B749,Q,2,FALSE)))</f>
        <v/>
      </c>
      <c r="D749" s="2" t="str">
        <f>IF(VLOOKUP($B749,Q,3,FALSE)=0,"",(VLOOKUP($B749,Q,3,FALSE)))</f>
        <v/>
      </c>
      <c r="E749" s="2" t="str">
        <f>IF(VLOOKUP($B749,Q,8,FALSE)=0,"",(VLOOKUP($B749,Q,8,FALSE)))</f>
        <v/>
      </c>
      <c r="F749" s="19" t="str">
        <f>IF(VLOOKUP($B749,Q,9,FALSE)=0,"",(VLOOKUP($B749,Q,9,FALSE)))</f>
        <v/>
      </c>
      <c r="G749" s="2" t="str">
        <f>IF(VLOOKUP($B749,Q,10,FALSE)=0,"",(VLOOKUP($B749,Q,10,FALSE)))</f>
        <v/>
      </c>
      <c r="H749" s="2" t="str">
        <f>IF(VLOOKUP($B749,Q,14,FALSE)=0,"",(VLOOKUP($B749,Q,14,FALSE)))</f>
        <v/>
      </c>
      <c r="I749" s="2" t="str">
        <f>IF(VLOOKUP($B749,Q,14,FALSE)=0,"",(VLOOKUP($B749,Q,15,FALSE)))</f>
        <v/>
      </c>
      <c r="J749" s="2" t="str">
        <f>IF(VLOOKUP($B749,Q,14,FALSE)=0,"",(VLOOKUP($B749,Q,16,FALSE)))</f>
        <v/>
      </c>
      <c r="K749" s="2" t="str">
        <f>IF(VLOOKUP($B749,Q,14,FALSE)=0,"",(VLOOKUP($B749,Q,17,FALSE)))</f>
        <v/>
      </c>
    </row>
    <row r="750" spans="2:11" x14ac:dyDescent="0.6">
      <c r="B750" s="1">
        <v>753</v>
      </c>
      <c r="C750" s="2" t="str">
        <f>IF(VLOOKUP($B750,Q,2,FALSE)=0,"",(VLOOKUP($B750,Q,2,FALSE)))</f>
        <v/>
      </c>
      <c r="D750" s="2" t="str">
        <f>IF(VLOOKUP($B750,Q,3,FALSE)=0,"",(VLOOKUP($B750,Q,3,FALSE)))</f>
        <v/>
      </c>
      <c r="E750" s="2" t="str">
        <f>IF(VLOOKUP($B750,Q,8,FALSE)=0,"",(VLOOKUP($B750,Q,8,FALSE)))</f>
        <v/>
      </c>
      <c r="F750" s="19" t="str">
        <f>IF(VLOOKUP($B750,Q,9,FALSE)=0,"",(VLOOKUP($B750,Q,9,FALSE)))</f>
        <v/>
      </c>
      <c r="G750" s="2" t="str">
        <f>IF(VLOOKUP($B750,Q,10,FALSE)=0,"",(VLOOKUP($B750,Q,10,FALSE)))</f>
        <v/>
      </c>
      <c r="H750" s="2" t="str">
        <f>IF(VLOOKUP($B750,Q,14,FALSE)=0,"",(VLOOKUP($B750,Q,14,FALSE)))</f>
        <v/>
      </c>
      <c r="I750" s="2" t="str">
        <f>IF(VLOOKUP($B750,Q,14,FALSE)=0,"",(VLOOKUP($B750,Q,15,FALSE)))</f>
        <v/>
      </c>
      <c r="J750" s="2" t="str">
        <f>IF(VLOOKUP($B750,Q,14,FALSE)=0,"",(VLOOKUP($B750,Q,16,FALSE)))</f>
        <v/>
      </c>
      <c r="K750" s="2" t="str">
        <f>IF(VLOOKUP($B750,Q,14,FALSE)=0,"",(VLOOKUP($B750,Q,17,FALSE)))</f>
        <v/>
      </c>
    </row>
    <row r="751" spans="2:11" x14ac:dyDescent="0.6">
      <c r="B751" s="1">
        <v>754</v>
      </c>
      <c r="C751" s="2" t="str">
        <f>IF(VLOOKUP($B751,Q,2,FALSE)=0,"",(VLOOKUP($B751,Q,2,FALSE)))</f>
        <v/>
      </c>
      <c r="D751" s="2" t="str">
        <f>IF(VLOOKUP($B751,Q,3,FALSE)=0,"",(VLOOKUP($B751,Q,3,FALSE)))</f>
        <v/>
      </c>
      <c r="E751" s="2" t="str">
        <f>IF(VLOOKUP($B751,Q,8,FALSE)=0,"",(VLOOKUP($B751,Q,8,FALSE)))</f>
        <v/>
      </c>
      <c r="F751" s="19" t="str">
        <f>IF(VLOOKUP($B751,Q,9,FALSE)=0,"",(VLOOKUP($B751,Q,9,FALSE)))</f>
        <v/>
      </c>
      <c r="G751" s="2" t="str">
        <f>IF(VLOOKUP($B751,Q,10,FALSE)=0,"",(VLOOKUP($B751,Q,10,FALSE)))</f>
        <v/>
      </c>
      <c r="H751" s="2" t="str">
        <f>IF(VLOOKUP($B751,Q,14,FALSE)=0,"",(VLOOKUP($B751,Q,14,FALSE)))</f>
        <v/>
      </c>
      <c r="I751" s="2" t="str">
        <f>IF(VLOOKUP($B751,Q,14,FALSE)=0,"",(VLOOKUP($B751,Q,15,FALSE)))</f>
        <v/>
      </c>
      <c r="J751" s="2" t="str">
        <f>IF(VLOOKUP($B751,Q,14,FALSE)=0,"",(VLOOKUP($B751,Q,16,FALSE)))</f>
        <v/>
      </c>
      <c r="K751" s="2" t="str">
        <f>IF(VLOOKUP($B751,Q,14,FALSE)=0,"",(VLOOKUP($B751,Q,17,FALSE)))</f>
        <v/>
      </c>
    </row>
    <row r="752" spans="2:11" x14ac:dyDescent="0.6">
      <c r="B752" s="1">
        <v>755</v>
      </c>
      <c r="C752" s="2" t="str">
        <f>IF(VLOOKUP($B752,Q,2,FALSE)=0,"",(VLOOKUP($B752,Q,2,FALSE)))</f>
        <v/>
      </c>
      <c r="D752" s="2" t="str">
        <f>IF(VLOOKUP($B752,Q,3,FALSE)=0,"",(VLOOKUP($B752,Q,3,FALSE)))</f>
        <v/>
      </c>
      <c r="E752" s="2" t="str">
        <f>IF(VLOOKUP($B752,Q,8,FALSE)=0,"",(VLOOKUP($B752,Q,8,FALSE)))</f>
        <v/>
      </c>
      <c r="F752" s="19" t="str">
        <f>IF(VLOOKUP($B752,Q,9,FALSE)=0,"",(VLOOKUP($B752,Q,9,FALSE)))</f>
        <v/>
      </c>
      <c r="G752" s="2" t="str">
        <f>IF(VLOOKUP($B752,Q,10,FALSE)=0,"",(VLOOKUP($B752,Q,10,FALSE)))</f>
        <v/>
      </c>
      <c r="H752" s="2" t="str">
        <f>IF(VLOOKUP($B752,Q,14,FALSE)=0,"",(VLOOKUP($B752,Q,14,FALSE)))</f>
        <v/>
      </c>
      <c r="I752" s="2" t="str">
        <f>IF(VLOOKUP($B752,Q,14,FALSE)=0,"",(VLOOKUP($B752,Q,15,FALSE)))</f>
        <v/>
      </c>
      <c r="J752" s="2" t="str">
        <f>IF(VLOOKUP($B752,Q,14,FALSE)=0,"",(VLOOKUP($B752,Q,16,FALSE)))</f>
        <v/>
      </c>
      <c r="K752" s="2" t="str">
        <f>IF(VLOOKUP($B752,Q,14,FALSE)=0,"",(VLOOKUP($B752,Q,17,FALSE)))</f>
        <v/>
      </c>
    </row>
    <row r="753" spans="2:11" x14ac:dyDescent="0.6">
      <c r="B753" s="1">
        <v>756</v>
      </c>
      <c r="C753" s="2" t="str">
        <f>IF(VLOOKUP($B753,Q,2,FALSE)=0,"",(VLOOKUP($B753,Q,2,FALSE)))</f>
        <v/>
      </c>
      <c r="D753" s="2" t="str">
        <f>IF(VLOOKUP($B753,Q,3,FALSE)=0,"",(VLOOKUP($B753,Q,3,FALSE)))</f>
        <v/>
      </c>
      <c r="E753" s="2" t="str">
        <f>IF(VLOOKUP($B753,Q,8,FALSE)=0,"",(VLOOKUP($B753,Q,8,FALSE)))</f>
        <v/>
      </c>
      <c r="F753" s="19" t="str">
        <f>IF(VLOOKUP($B753,Q,9,FALSE)=0,"",(VLOOKUP($B753,Q,9,FALSE)))</f>
        <v/>
      </c>
      <c r="G753" s="2" t="str">
        <f>IF(VLOOKUP($B753,Q,10,FALSE)=0,"",(VLOOKUP($B753,Q,10,FALSE)))</f>
        <v/>
      </c>
      <c r="H753" s="2" t="str">
        <f>IF(VLOOKUP($B753,Q,14,FALSE)=0,"",(VLOOKUP($B753,Q,14,FALSE)))</f>
        <v/>
      </c>
      <c r="I753" s="2" t="str">
        <f>IF(VLOOKUP($B753,Q,14,FALSE)=0,"",(VLOOKUP($B753,Q,15,FALSE)))</f>
        <v/>
      </c>
      <c r="J753" s="2" t="str">
        <f>IF(VLOOKUP($B753,Q,14,FALSE)=0,"",(VLOOKUP($B753,Q,16,FALSE)))</f>
        <v/>
      </c>
      <c r="K753" s="2" t="str">
        <f>IF(VLOOKUP($B753,Q,14,FALSE)=0,"",(VLOOKUP($B753,Q,17,FALSE)))</f>
        <v/>
      </c>
    </row>
    <row r="754" spans="2:11" x14ac:dyDescent="0.6">
      <c r="B754" s="1">
        <v>757</v>
      </c>
      <c r="C754" s="2" t="str">
        <f>IF(VLOOKUP($B754,Q,2,FALSE)=0,"",(VLOOKUP($B754,Q,2,FALSE)))</f>
        <v/>
      </c>
      <c r="D754" s="2" t="str">
        <f>IF(VLOOKUP($B754,Q,3,FALSE)=0,"",(VLOOKUP($B754,Q,3,FALSE)))</f>
        <v/>
      </c>
      <c r="E754" s="2" t="str">
        <f>IF(VLOOKUP($B754,Q,8,FALSE)=0,"",(VLOOKUP($B754,Q,8,FALSE)))</f>
        <v/>
      </c>
      <c r="F754" s="19" t="str">
        <f>IF(VLOOKUP($B754,Q,9,FALSE)=0,"",(VLOOKUP($B754,Q,9,FALSE)))</f>
        <v/>
      </c>
      <c r="G754" s="2" t="str">
        <f>IF(VLOOKUP($B754,Q,10,FALSE)=0,"",(VLOOKUP($B754,Q,10,FALSE)))</f>
        <v/>
      </c>
      <c r="H754" s="2" t="str">
        <f>IF(VLOOKUP($B754,Q,14,FALSE)=0,"",(VLOOKUP($B754,Q,14,FALSE)))</f>
        <v/>
      </c>
      <c r="I754" s="2" t="str">
        <f>IF(VLOOKUP($B754,Q,14,FALSE)=0,"",(VLOOKUP($B754,Q,15,FALSE)))</f>
        <v/>
      </c>
      <c r="J754" s="2" t="str">
        <f>IF(VLOOKUP($B754,Q,14,FALSE)=0,"",(VLOOKUP($B754,Q,16,FALSE)))</f>
        <v/>
      </c>
      <c r="K754" s="2" t="str">
        <f>IF(VLOOKUP($B754,Q,14,FALSE)=0,"",(VLOOKUP($B754,Q,17,FALSE)))</f>
        <v/>
      </c>
    </row>
    <row r="755" spans="2:11" x14ac:dyDescent="0.6">
      <c r="B755" s="1">
        <v>758</v>
      </c>
      <c r="C755" s="2" t="str">
        <f>IF(VLOOKUP($B755,Q,2,FALSE)=0,"",(VLOOKUP($B755,Q,2,FALSE)))</f>
        <v/>
      </c>
      <c r="D755" s="2" t="str">
        <f>IF(VLOOKUP($B755,Q,3,FALSE)=0,"",(VLOOKUP($B755,Q,3,FALSE)))</f>
        <v/>
      </c>
      <c r="E755" s="2" t="str">
        <f>IF(VLOOKUP($B755,Q,8,FALSE)=0,"",(VLOOKUP($B755,Q,8,FALSE)))</f>
        <v/>
      </c>
      <c r="F755" s="19" t="str">
        <f>IF(VLOOKUP($B755,Q,9,FALSE)=0,"",(VLOOKUP($B755,Q,9,FALSE)))</f>
        <v/>
      </c>
      <c r="G755" s="2" t="str">
        <f>IF(VLOOKUP($B755,Q,10,FALSE)=0,"",(VLOOKUP($B755,Q,10,FALSE)))</f>
        <v/>
      </c>
      <c r="H755" s="2" t="str">
        <f>IF(VLOOKUP($B755,Q,14,FALSE)=0,"",(VLOOKUP($B755,Q,14,FALSE)))</f>
        <v/>
      </c>
      <c r="I755" s="2" t="str">
        <f>IF(VLOOKUP($B755,Q,14,FALSE)=0,"",(VLOOKUP($B755,Q,15,FALSE)))</f>
        <v/>
      </c>
      <c r="J755" s="2" t="str">
        <f>IF(VLOOKUP($B755,Q,14,FALSE)=0,"",(VLOOKUP($B755,Q,16,FALSE)))</f>
        <v/>
      </c>
      <c r="K755" s="2" t="str">
        <f>IF(VLOOKUP($B755,Q,14,FALSE)=0,"",(VLOOKUP($B755,Q,17,FALSE)))</f>
        <v/>
      </c>
    </row>
    <row r="756" spans="2:11" x14ac:dyDescent="0.6">
      <c r="B756" s="1">
        <v>759</v>
      </c>
      <c r="C756" s="2" t="str">
        <f>IF(VLOOKUP($B756,Q,2,FALSE)=0,"",(VLOOKUP($B756,Q,2,FALSE)))</f>
        <v/>
      </c>
      <c r="D756" s="2" t="str">
        <f>IF(VLOOKUP($B756,Q,3,FALSE)=0,"",(VLOOKUP($B756,Q,3,FALSE)))</f>
        <v/>
      </c>
      <c r="E756" s="2" t="str">
        <f>IF(VLOOKUP($B756,Q,8,FALSE)=0,"",(VLOOKUP($B756,Q,8,FALSE)))</f>
        <v/>
      </c>
      <c r="F756" s="19" t="str">
        <f>IF(VLOOKUP($B756,Q,9,FALSE)=0,"",(VLOOKUP($B756,Q,9,FALSE)))</f>
        <v/>
      </c>
      <c r="G756" s="2" t="str">
        <f>IF(VLOOKUP($B756,Q,10,FALSE)=0,"",(VLOOKUP($B756,Q,10,FALSE)))</f>
        <v/>
      </c>
      <c r="H756" s="2" t="str">
        <f>IF(VLOOKUP($B756,Q,14,FALSE)=0,"",(VLOOKUP($B756,Q,14,FALSE)))</f>
        <v/>
      </c>
      <c r="I756" s="2" t="str">
        <f>IF(VLOOKUP($B756,Q,14,FALSE)=0,"",(VLOOKUP($B756,Q,15,FALSE)))</f>
        <v/>
      </c>
      <c r="J756" s="2" t="str">
        <f>IF(VLOOKUP($B756,Q,14,FALSE)=0,"",(VLOOKUP($B756,Q,16,FALSE)))</f>
        <v/>
      </c>
      <c r="K756" s="2" t="str">
        <f>IF(VLOOKUP($B756,Q,14,FALSE)=0,"",(VLOOKUP($B756,Q,17,FALSE)))</f>
        <v/>
      </c>
    </row>
    <row r="757" spans="2:11" x14ac:dyDescent="0.6">
      <c r="B757" s="1">
        <v>760</v>
      </c>
      <c r="C757" s="2" t="str">
        <f>IF(VLOOKUP($B757,Q,2,FALSE)=0,"",(VLOOKUP($B757,Q,2,FALSE)))</f>
        <v/>
      </c>
      <c r="D757" s="2" t="str">
        <f>IF(VLOOKUP($B757,Q,3,FALSE)=0,"",(VLOOKUP($B757,Q,3,FALSE)))</f>
        <v/>
      </c>
      <c r="E757" s="2" t="str">
        <f>IF(VLOOKUP($B757,Q,8,FALSE)=0,"",(VLOOKUP($B757,Q,8,FALSE)))</f>
        <v/>
      </c>
      <c r="F757" s="19" t="str">
        <f>IF(VLOOKUP($B757,Q,9,FALSE)=0,"",(VLOOKUP($B757,Q,9,FALSE)))</f>
        <v/>
      </c>
      <c r="G757" s="2" t="str">
        <f>IF(VLOOKUP($B757,Q,10,FALSE)=0,"",(VLOOKUP($B757,Q,10,FALSE)))</f>
        <v/>
      </c>
      <c r="H757" s="2" t="str">
        <f>IF(VLOOKUP($B757,Q,14,FALSE)=0,"",(VLOOKUP($B757,Q,14,FALSE)))</f>
        <v/>
      </c>
      <c r="I757" s="2" t="str">
        <f>IF(VLOOKUP($B757,Q,14,FALSE)=0,"",(VLOOKUP($B757,Q,15,FALSE)))</f>
        <v/>
      </c>
      <c r="J757" s="2" t="str">
        <f>IF(VLOOKUP($B757,Q,14,FALSE)=0,"",(VLOOKUP($B757,Q,16,FALSE)))</f>
        <v/>
      </c>
      <c r="K757" s="2" t="str">
        <f>IF(VLOOKUP($B757,Q,14,FALSE)=0,"",(VLOOKUP($B757,Q,17,FALSE)))</f>
        <v/>
      </c>
    </row>
    <row r="758" spans="2:11" x14ac:dyDescent="0.6">
      <c r="B758" s="1">
        <v>761</v>
      </c>
      <c r="C758" s="2" t="str">
        <f>IF(VLOOKUP($B758,Q,2,FALSE)=0,"",(VLOOKUP($B758,Q,2,FALSE)))</f>
        <v/>
      </c>
      <c r="D758" s="2" t="str">
        <f>IF(VLOOKUP($B758,Q,3,FALSE)=0,"",(VLOOKUP($B758,Q,3,FALSE)))</f>
        <v/>
      </c>
      <c r="E758" s="2" t="str">
        <f>IF(VLOOKUP($B758,Q,8,FALSE)=0,"",(VLOOKUP($B758,Q,8,FALSE)))</f>
        <v/>
      </c>
      <c r="F758" s="19" t="str">
        <f>IF(VLOOKUP($B758,Q,9,FALSE)=0,"",(VLOOKUP($B758,Q,9,FALSE)))</f>
        <v/>
      </c>
      <c r="G758" s="2" t="str">
        <f>IF(VLOOKUP($B758,Q,10,FALSE)=0,"",(VLOOKUP($B758,Q,10,FALSE)))</f>
        <v/>
      </c>
      <c r="H758" s="2" t="str">
        <f>IF(VLOOKUP($B758,Q,14,FALSE)=0,"",(VLOOKUP($B758,Q,14,FALSE)))</f>
        <v/>
      </c>
      <c r="I758" s="2" t="str">
        <f>IF(VLOOKUP($B758,Q,14,FALSE)=0,"",(VLOOKUP($B758,Q,15,FALSE)))</f>
        <v/>
      </c>
      <c r="J758" s="2" t="str">
        <f>IF(VLOOKUP($B758,Q,14,FALSE)=0,"",(VLOOKUP($B758,Q,16,FALSE)))</f>
        <v/>
      </c>
      <c r="K758" s="2" t="str">
        <f>IF(VLOOKUP($B758,Q,14,FALSE)=0,"",(VLOOKUP($B758,Q,17,FALSE)))</f>
        <v/>
      </c>
    </row>
    <row r="759" spans="2:11" x14ac:dyDescent="0.6">
      <c r="B759" s="1">
        <v>762</v>
      </c>
      <c r="C759" s="2" t="str">
        <f>IF(VLOOKUP($B759,Q,2,FALSE)=0,"",(VLOOKUP($B759,Q,2,FALSE)))</f>
        <v/>
      </c>
      <c r="D759" s="2" t="str">
        <f>IF(VLOOKUP($B759,Q,3,FALSE)=0,"",(VLOOKUP($B759,Q,3,FALSE)))</f>
        <v/>
      </c>
      <c r="E759" s="2" t="str">
        <f>IF(VLOOKUP($B759,Q,8,FALSE)=0,"",(VLOOKUP($B759,Q,8,FALSE)))</f>
        <v/>
      </c>
      <c r="F759" s="19" t="str">
        <f>IF(VLOOKUP($B759,Q,9,FALSE)=0,"",(VLOOKUP($B759,Q,9,FALSE)))</f>
        <v/>
      </c>
      <c r="G759" s="2" t="str">
        <f>IF(VLOOKUP($B759,Q,10,FALSE)=0,"",(VLOOKUP($B759,Q,10,FALSE)))</f>
        <v/>
      </c>
      <c r="H759" s="2" t="str">
        <f>IF(VLOOKUP($B759,Q,14,FALSE)=0,"",(VLOOKUP($B759,Q,14,FALSE)))</f>
        <v/>
      </c>
      <c r="I759" s="2" t="str">
        <f>IF(VLOOKUP($B759,Q,14,FALSE)=0,"",(VLOOKUP($B759,Q,15,FALSE)))</f>
        <v/>
      </c>
      <c r="J759" s="2" t="str">
        <f>IF(VLOOKUP($B759,Q,14,FALSE)=0,"",(VLOOKUP($B759,Q,16,FALSE)))</f>
        <v/>
      </c>
      <c r="K759" s="2" t="str">
        <f>IF(VLOOKUP($B759,Q,14,FALSE)=0,"",(VLOOKUP($B759,Q,17,FALSE)))</f>
        <v/>
      </c>
    </row>
    <row r="760" spans="2:11" x14ac:dyDescent="0.6">
      <c r="B760" s="1">
        <v>763</v>
      </c>
      <c r="C760" s="2" t="str">
        <f>IF(VLOOKUP($B760,Q,2,FALSE)=0,"",(VLOOKUP($B760,Q,2,FALSE)))</f>
        <v/>
      </c>
      <c r="D760" s="2" t="str">
        <f>IF(VLOOKUP($B760,Q,3,FALSE)=0,"",(VLOOKUP($B760,Q,3,FALSE)))</f>
        <v/>
      </c>
      <c r="E760" s="2" t="str">
        <f>IF(VLOOKUP($B760,Q,8,FALSE)=0,"",(VLOOKUP($B760,Q,8,FALSE)))</f>
        <v/>
      </c>
      <c r="F760" s="19" t="str">
        <f>IF(VLOOKUP($B760,Q,9,FALSE)=0,"",(VLOOKUP($B760,Q,9,FALSE)))</f>
        <v/>
      </c>
      <c r="G760" s="2" t="str">
        <f>IF(VLOOKUP($B760,Q,10,FALSE)=0,"",(VLOOKUP($B760,Q,10,FALSE)))</f>
        <v/>
      </c>
      <c r="H760" s="2" t="str">
        <f>IF(VLOOKUP($B760,Q,14,FALSE)=0,"",(VLOOKUP($B760,Q,14,FALSE)))</f>
        <v/>
      </c>
      <c r="I760" s="2" t="str">
        <f>IF(VLOOKUP($B760,Q,14,FALSE)=0,"",(VLOOKUP($B760,Q,15,FALSE)))</f>
        <v/>
      </c>
      <c r="J760" s="2" t="str">
        <f>IF(VLOOKUP($B760,Q,14,FALSE)=0,"",(VLOOKUP($B760,Q,16,FALSE)))</f>
        <v/>
      </c>
      <c r="K760" s="2" t="str">
        <f>IF(VLOOKUP($B760,Q,14,FALSE)=0,"",(VLOOKUP($B760,Q,17,FALSE)))</f>
        <v/>
      </c>
    </row>
    <row r="761" spans="2:11" x14ac:dyDescent="0.6">
      <c r="B761" s="1">
        <v>764</v>
      </c>
      <c r="C761" s="2" t="str">
        <f>IF(VLOOKUP($B761,Q,2,FALSE)=0,"",(VLOOKUP($B761,Q,2,FALSE)))</f>
        <v/>
      </c>
      <c r="D761" s="2" t="str">
        <f>IF(VLOOKUP($B761,Q,3,FALSE)=0,"",(VLOOKUP($B761,Q,3,FALSE)))</f>
        <v/>
      </c>
      <c r="E761" s="2" t="str">
        <f>IF(VLOOKUP($B761,Q,8,FALSE)=0,"",(VLOOKUP($B761,Q,8,FALSE)))</f>
        <v/>
      </c>
      <c r="F761" s="19" t="str">
        <f>IF(VLOOKUP($B761,Q,9,FALSE)=0,"",(VLOOKUP($B761,Q,9,FALSE)))</f>
        <v/>
      </c>
      <c r="G761" s="2" t="str">
        <f>IF(VLOOKUP($B761,Q,10,FALSE)=0,"",(VLOOKUP($B761,Q,10,FALSE)))</f>
        <v/>
      </c>
      <c r="H761" s="2" t="str">
        <f>IF(VLOOKUP($B761,Q,14,FALSE)=0,"",(VLOOKUP($B761,Q,14,FALSE)))</f>
        <v/>
      </c>
      <c r="I761" s="2" t="str">
        <f>IF(VLOOKUP($B761,Q,14,FALSE)=0,"",(VLOOKUP($B761,Q,15,FALSE)))</f>
        <v/>
      </c>
      <c r="J761" s="2" t="str">
        <f>IF(VLOOKUP($B761,Q,14,FALSE)=0,"",(VLOOKUP($B761,Q,16,FALSE)))</f>
        <v/>
      </c>
      <c r="K761" s="2" t="str">
        <f>IF(VLOOKUP($B761,Q,14,FALSE)=0,"",(VLOOKUP($B761,Q,17,FALSE)))</f>
        <v/>
      </c>
    </row>
    <row r="762" spans="2:11" x14ac:dyDescent="0.6">
      <c r="B762" s="1">
        <v>765</v>
      </c>
      <c r="C762" s="2" t="str">
        <f>IF(VLOOKUP($B762,Q,2,FALSE)=0,"",(VLOOKUP($B762,Q,2,FALSE)))</f>
        <v/>
      </c>
      <c r="D762" s="2" t="str">
        <f>IF(VLOOKUP($B762,Q,3,FALSE)=0,"",(VLOOKUP($B762,Q,3,FALSE)))</f>
        <v/>
      </c>
      <c r="E762" s="2" t="str">
        <f>IF(VLOOKUP($B762,Q,8,FALSE)=0,"",(VLOOKUP($B762,Q,8,FALSE)))</f>
        <v/>
      </c>
      <c r="F762" s="19" t="str">
        <f>IF(VLOOKUP($B762,Q,9,FALSE)=0,"",(VLOOKUP($B762,Q,9,FALSE)))</f>
        <v/>
      </c>
      <c r="G762" s="2" t="str">
        <f>IF(VLOOKUP($B762,Q,10,FALSE)=0,"",(VLOOKUP($B762,Q,10,FALSE)))</f>
        <v/>
      </c>
      <c r="H762" s="2" t="str">
        <f>IF(VLOOKUP($B762,Q,14,FALSE)=0,"",(VLOOKUP($B762,Q,14,FALSE)))</f>
        <v/>
      </c>
      <c r="I762" s="2" t="str">
        <f>IF(VLOOKUP($B762,Q,14,FALSE)=0,"",(VLOOKUP($B762,Q,15,FALSE)))</f>
        <v/>
      </c>
      <c r="J762" s="2" t="str">
        <f>IF(VLOOKUP($B762,Q,14,FALSE)=0,"",(VLOOKUP($B762,Q,16,FALSE)))</f>
        <v/>
      </c>
      <c r="K762" s="2" t="str">
        <f>IF(VLOOKUP($B762,Q,14,FALSE)=0,"",(VLOOKUP($B762,Q,17,FALSE)))</f>
        <v/>
      </c>
    </row>
    <row r="763" spans="2:11" x14ac:dyDescent="0.6">
      <c r="B763" s="1">
        <v>766</v>
      </c>
      <c r="C763" s="2" t="str">
        <f>IF(VLOOKUP($B763,Q,2,FALSE)=0,"",(VLOOKUP($B763,Q,2,FALSE)))</f>
        <v/>
      </c>
      <c r="D763" s="2" t="str">
        <f>IF(VLOOKUP($B763,Q,3,FALSE)=0,"",(VLOOKUP($B763,Q,3,FALSE)))</f>
        <v/>
      </c>
      <c r="E763" s="2" t="str">
        <f>IF(VLOOKUP($B763,Q,8,FALSE)=0,"",(VLOOKUP($B763,Q,8,FALSE)))</f>
        <v/>
      </c>
      <c r="F763" s="19" t="str">
        <f>IF(VLOOKUP($B763,Q,9,FALSE)=0,"",(VLOOKUP($B763,Q,9,FALSE)))</f>
        <v/>
      </c>
      <c r="G763" s="2" t="str">
        <f>IF(VLOOKUP($B763,Q,10,FALSE)=0,"",(VLOOKUP($B763,Q,10,FALSE)))</f>
        <v/>
      </c>
      <c r="H763" s="2" t="str">
        <f>IF(VLOOKUP($B763,Q,14,FALSE)=0,"",(VLOOKUP($B763,Q,14,FALSE)))</f>
        <v/>
      </c>
      <c r="I763" s="2" t="str">
        <f>IF(VLOOKUP($B763,Q,14,FALSE)=0,"",(VLOOKUP($B763,Q,15,FALSE)))</f>
        <v/>
      </c>
      <c r="J763" s="2" t="str">
        <f>IF(VLOOKUP($B763,Q,14,FALSE)=0,"",(VLOOKUP($B763,Q,16,FALSE)))</f>
        <v/>
      </c>
      <c r="K763" s="2" t="str">
        <f>IF(VLOOKUP($B763,Q,14,FALSE)=0,"",(VLOOKUP($B763,Q,17,FALSE)))</f>
        <v/>
      </c>
    </row>
    <row r="764" spans="2:11" x14ac:dyDescent="0.6">
      <c r="B764" s="1">
        <v>767</v>
      </c>
      <c r="C764" s="2" t="str">
        <f>IF(VLOOKUP($B764,Q,2,FALSE)=0,"",(VLOOKUP($B764,Q,2,FALSE)))</f>
        <v/>
      </c>
      <c r="D764" s="2" t="str">
        <f>IF(VLOOKUP($B764,Q,3,FALSE)=0,"",(VLOOKUP($B764,Q,3,FALSE)))</f>
        <v/>
      </c>
      <c r="E764" s="2" t="str">
        <f>IF(VLOOKUP($B764,Q,8,FALSE)=0,"",(VLOOKUP($B764,Q,8,FALSE)))</f>
        <v/>
      </c>
      <c r="F764" s="19" t="str">
        <f>IF(VLOOKUP($B764,Q,9,FALSE)=0,"",(VLOOKUP($B764,Q,9,FALSE)))</f>
        <v/>
      </c>
      <c r="G764" s="2" t="str">
        <f>IF(VLOOKUP($B764,Q,10,FALSE)=0,"",(VLOOKUP($B764,Q,10,FALSE)))</f>
        <v/>
      </c>
      <c r="H764" s="2" t="str">
        <f>IF(VLOOKUP($B764,Q,14,FALSE)=0,"",(VLOOKUP($B764,Q,14,FALSE)))</f>
        <v/>
      </c>
      <c r="I764" s="2" t="str">
        <f>IF(VLOOKUP($B764,Q,14,FALSE)=0,"",(VLOOKUP($B764,Q,15,FALSE)))</f>
        <v/>
      </c>
      <c r="J764" s="2" t="str">
        <f>IF(VLOOKUP($B764,Q,14,FALSE)=0,"",(VLOOKUP($B764,Q,16,FALSE)))</f>
        <v/>
      </c>
      <c r="K764" s="2" t="str">
        <f>IF(VLOOKUP($B764,Q,14,FALSE)=0,"",(VLOOKUP($B764,Q,17,FALSE)))</f>
        <v/>
      </c>
    </row>
    <row r="765" spans="2:11" x14ac:dyDescent="0.6">
      <c r="B765" s="1">
        <v>768</v>
      </c>
      <c r="C765" s="2" t="str">
        <f>IF(VLOOKUP($B765,Q,2,FALSE)=0,"",(VLOOKUP($B765,Q,2,FALSE)))</f>
        <v/>
      </c>
      <c r="D765" s="2" t="str">
        <f>IF(VLOOKUP($B765,Q,3,FALSE)=0,"",(VLOOKUP($B765,Q,3,FALSE)))</f>
        <v/>
      </c>
      <c r="E765" s="2" t="str">
        <f>IF(VLOOKUP($B765,Q,8,FALSE)=0,"",(VLOOKUP($B765,Q,8,FALSE)))</f>
        <v/>
      </c>
      <c r="F765" s="19" t="str">
        <f>IF(VLOOKUP($B765,Q,9,FALSE)=0,"",(VLOOKUP($B765,Q,9,FALSE)))</f>
        <v/>
      </c>
      <c r="G765" s="2" t="str">
        <f>IF(VLOOKUP($B765,Q,10,FALSE)=0,"",(VLOOKUP($B765,Q,10,FALSE)))</f>
        <v/>
      </c>
      <c r="H765" s="2" t="str">
        <f>IF(VLOOKUP($B765,Q,14,FALSE)=0,"",(VLOOKUP($B765,Q,14,FALSE)))</f>
        <v/>
      </c>
      <c r="I765" s="2" t="str">
        <f>IF(VLOOKUP($B765,Q,14,FALSE)=0,"",(VLOOKUP($B765,Q,15,FALSE)))</f>
        <v/>
      </c>
      <c r="J765" s="2" t="str">
        <f>IF(VLOOKUP($B765,Q,14,FALSE)=0,"",(VLOOKUP($B765,Q,16,FALSE)))</f>
        <v/>
      </c>
      <c r="K765" s="2" t="str">
        <f>IF(VLOOKUP($B765,Q,14,FALSE)=0,"",(VLOOKUP($B765,Q,17,FALSE)))</f>
        <v/>
      </c>
    </row>
    <row r="766" spans="2:11" x14ac:dyDescent="0.6">
      <c r="B766" s="1">
        <v>769</v>
      </c>
      <c r="C766" s="2" t="str">
        <f>IF(VLOOKUP($B766,Q,2,FALSE)=0,"",(VLOOKUP($B766,Q,2,FALSE)))</f>
        <v/>
      </c>
      <c r="D766" s="2" t="str">
        <f>IF(VLOOKUP($B766,Q,3,FALSE)=0,"",(VLOOKUP($B766,Q,3,FALSE)))</f>
        <v/>
      </c>
      <c r="E766" s="2" t="str">
        <f>IF(VLOOKUP($B766,Q,8,FALSE)=0,"",(VLOOKUP($B766,Q,8,FALSE)))</f>
        <v/>
      </c>
      <c r="F766" s="19" t="str">
        <f>IF(VLOOKUP($B766,Q,9,FALSE)=0,"",(VLOOKUP($B766,Q,9,FALSE)))</f>
        <v/>
      </c>
      <c r="G766" s="2" t="str">
        <f>IF(VLOOKUP($B766,Q,10,FALSE)=0,"",(VLOOKUP($B766,Q,10,FALSE)))</f>
        <v/>
      </c>
      <c r="H766" s="2" t="str">
        <f>IF(VLOOKUP($B766,Q,14,FALSE)=0,"",(VLOOKUP($B766,Q,14,FALSE)))</f>
        <v/>
      </c>
      <c r="I766" s="2" t="str">
        <f>IF(VLOOKUP($B766,Q,14,FALSE)=0,"",(VLOOKUP($B766,Q,15,FALSE)))</f>
        <v/>
      </c>
      <c r="J766" s="2" t="str">
        <f>IF(VLOOKUP($B766,Q,14,FALSE)=0,"",(VLOOKUP($B766,Q,16,FALSE)))</f>
        <v/>
      </c>
      <c r="K766" s="2" t="str">
        <f>IF(VLOOKUP($B766,Q,14,FALSE)=0,"",(VLOOKUP($B766,Q,17,FALSE)))</f>
        <v/>
      </c>
    </row>
    <row r="767" spans="2:11" x14ac:dyDescent="0.6">
      <c r="B767" s="1">
        <v>770</v>
      </c>
      <c r="C767" s="2" t="str">
        <f>IF(VLOOKUP($B767,Q,2,FALSE)=0,"",(VLOOKUP($B767,Q,2,FALSE)))</f>
        <v/>
      </c>
      <c r="D767" s="2" t="str">
        <f>IF(VLOOKUP($B767,Q,3,FALSE)=0,"",(VLOOKUP($B767,Q,3,FALSE)))</f>
        <v/>
      </c>
      <c r="E767" s="2" t="str">
        <f>IF(VLOOKUP($B767,Q,8,FALSE)=0,"",(VLOOKUP($B767,Q,8,FALSE)))</f>
        <v/>
      </c>
      <c r="F767" s="19" t="str">
        <f>IF(VLOOKUP($B767,Q,9,FALSE)=0,"",(VLOOKUP($B767,Q,9,FALSE)))</f>
        <v/>
      </c>
      <c r="G767" s="2" t="str">
        <f>IF(VLOOKUP($B767,Q,10,FALSE)=0,"",(VLOOKUP($B767,Q,10,FALSE)))</f>
        <v/>
      </c>
      <c r="H767" s="2" t="str">
        <f>IF(VLOOKUP($B767,Q,14,FALSE)=0,"",(VLOOKUP($B767,Q,14,FALSE)))</f>
        <v/>
      </c>
      <c r="I767" s="2" t="str">
        <f>IF(VLOOKUP($B767,Q,14,FALSE)=0,"",(VLOOKUP($B767,Q,15,FALSE)))</f>
        <v/>
      </c>
      <c r="J767" s="2" t="str">
        <f>IF(VLOOKUP($B767,Q,14,FALSE)=0,"",(VLOOKUP($B767,Q,16,FALSE)))</f>
        <v/>
      </c>
      <c r="K767" s="2" t="str">
        <f>IF(VLOOKUP($B767,Q,14,FALSE)=0,"",(VLOOKUP($B767,Q,17,FALSE)))</f>
        <v/>
      </c>
    </row>
    <row r="768" spans="2:11" x14ac:dyDescent="0.6">
      <c r="B768" s="1">
        <v>771</v>
      </c>
      <c r="C768" s="2" t="str">
        <f>IF(VLOOKUP($B768,Q,2,FALSE)=0,"",(VLOOKUP($B768,Q,2,FALSE)))</f>
        <v/>
      </c>
      <c r="D768" s="2" t="str">
        <f>IF(VLOOKUP($B768,Q,3,FALSE)=0,"",(VLOOKUP($B768,Q,3,FALSE)))</f>
        <v/>
      </c>
      <c r="E768" s="2" t="str">
        <f>IF(VLOOKUP($B768,Q,8,FALSE)=0,"",(VLOOKUP($B768,Q,8,FALSE)))</f>
        <v/>
      </c>
      <c r="F768" s="19" t="str">
        <f>IF(VLOOKUP($B768,Q,9,FALSE)=0,"",(VLOOKUP($B768,Q,9,FALSE)))</f>
        <v/>
      </c>
      <c r="G768" s="2" t="str">
        <f>IF(VLOOKUP($B768,Q,10,FALSE)=0,"",(VLOOKUP($B768,Q,10,FALSE)))</f>
        <v/>
      </c>
      <c r="H768" s="2" t="str">
        <f>IF(VLOOKUP($B768,Q,14,FALSE)=0,"",(VLOOKUP($B768,Q,14,FALSE)))</f>
        <v/>
      </c>
      <c r="I768" s="2" t="str">
        <f>IF(VLOOKUP($B768,Q,14,FALSE)=0,"",(VLOOKUP($B768,Q,15,FALSE)))</f>
        <v/>
      </c>
      <c r="J768" s="2" t="str">
        <f>IF(VLOOKUP($B768,Q,14,FALSE)=0,"",(VLOOKUP($B768,Q,16,FALSE)))</f>
        <v/>
      </c>
      <c r="K768" s="2" t="str">
        <f>IF(VLOOKUP($B768,Q,14,FALSE)=0,"",(VLOOKUP($B768,Q,17,FALSE)))</f>
        <v/>
      </c>
    </row>
    <row r="769" spans="2:11" x14ac:dyDescent="0.6">
      <c r="B769" s="1">
        <v>772</v>
      </c>
      <c r="C769" s="2" t="str">
        <f>IF(VLOOKUP($B769,Q,2,FALSE)=0,"",(VLOOKUP($B769,Q,2,FALSE)))</f>
        <v/>
      </c>
      <c r="D769" s="2" t="str">
        <f>IF(VLOOKUP($B769,Q,3,FALSE)=0,"",(VLOOKUP($B769,Q,3,FALSE)))</f>
        <v/>
      </c>
      <c r="E769" s="2" t="str">
        <f>IF(VLOOKUP($B769,Q,8,FALSE)=0,"",(VLOOKUP($B769,Q,8,FALSE)))</f>
        <v/>
      </c>
      <c r="F769" s="19" t="str">
        <f>IF(VLOOKUP($B769,Q,9,FALSE)=0,"",(VLOOKUP($B769,Q,9,FALSE)))</f>
        <v/>
      </c>
      <c r="G769" s="2" t="str">
        <f>IF(VLOOKUP($B769,Q,10,FALSE)=0,"",(VLOOKUP($B769,Q,10,FALSE)))</f>
        <v/>
      </c>
      <c r="H769" s="2" t="str">
        <f>IF(VLOOKUP($B769,Q,14,FALSE)=0,"",(VLOOKUP($B769,Q,14,FALSE)))</f>
        <v/>
      </c>
      <c r="I769" s="2" t="str">
        <f>IF(VLOOKUP($B769,Q,14,FALSE)=0,"",(VLOOKUP($B769,Q,15,FALSE)))</f>
        <v/>
      </c>
      <c r="J769" s="2" t="str">
        <f>IF(VLOOKUP($B769,Q,14,FALSE)=0,"",(VLOOKUP($B769,Q,16,FALSE)))</f>
        <v/>
      </c>
      <c r="K769" s="2" t="str">
        <f>IF(VLOOKUP($B769,Q,14,FALSE)=0,"",(VLOOKUP($B769,Q,17,FALSE)))</f>
        <v/>
      </c>
    </row>
    <row r="770" spans="2:11" x14ac:dyDescent="0.6">
      <c r="B770" s="1">
        <v>773</v>
      </c>
      <c r="C770" s="2" t="str">
        <f>IF(VLOOKUP($B770,Q,2,FALSE)=0,"",(VLOOKUP($B770,Q,2,FALSE)))</f>
        <v/>
      </c>
      <c r="D770" s="2" t="str">
        <f>IF(VLOOKUP($B770,Q,3,FALSE)=0,"",(VLOOKUP($B770,Q,3,FALSE)))</f>
        <v/>
      </c>
      <c r="E770" s="2" t="str">
        <f>IF(VLOOKUP($B770,Q,8,FALSE)=0,"",(VLOOKUP($B770,Q,8,FALSE)))</f>
        <v/>
      </c>
      <c r="F770" s="19" t="str">
        <f>IF(VLOOKUP($B770,Q,9,FALSE)=0,"",(VLOOKUP($B770,Q,9,FALSE)))</f>
        <v/>
      </c>
      <c r="G770" s="2" t="str">
        <f>IF(VLOOKUP($B770,Q,10,FALSE)=0,"",(VLOOKUP($B770,Q,10,FALSE)))</f>
        <v/>
      </c>
      <c r="H770" s="2" t="str">
        <f>IF(VLOOKUP($B770,Q,14,FALSE)=0,"",(VLOOKUP($B770,Q,14,FALSE)))</f>
        <v/>
      </c>
      <c r="I770" s="2" t="str">
        <f>IF(VLOOKUP($B770,Q,14,FALSE)=0,"",(VLOOKUP($B770,Q,15,FALSE)))</f>
        <v/>
      </c>
      <c r="J770" s="2" t="str">
        <f>IF(VLOOKUP($B770,Q,14,FALSE)=0,"",(VLOOKUP($B770,Q,16,FALSE)))</f>
        <v/>
      </c>
      <c r="K770" s="2" t="str">
        <f>IF(VLOOKUP($B770,Q,14,FALSE)=0,"",(VLOOKUP($B770,Q,17,FALSE)))</f>
        <v/>
      </c>
    </row>
    <row r="771" spans="2:11" x14ac:dyDescent="0.6">
      <c r="B771" s="1">
        <v>774</v>
      </c>
      <c r="C771" s="2" t="str">
        <f>IF(VLOOKUP($B771,Q,2,FALSE)=0,"",(VLOOKUP($B771,Q,2,FALSE)))</f>
        <v/>
      </c>
      <c r="D771" s="2" t="str">
        <f>IF(VLOOKUP($B771,Q,3,FALSE)=0,"",(VLOOKUP($B771,Q,3,FALSE)))</f>
        <v/>
      </c>
      <c r="E771" s="2" t="str">
        <f>IF(VLOOKUP($B771,Q,8,FALSE)=0,"",(VLOOKUP($B771,Q,8,FALSE)))</f>
        <v/>
      </c>
      <c r="F771" s="19" t="str">
        <f>IF(VLOOKUP($B771,Q,9,FALSE)=0,"",(VLOOKUP($B771,Q,9,FALSE)))</f>
        <v/>
      </c>
      <c r="G771" s="2" t="str">
        <f>IF(VLOOKUP($B771,Q,10,FALSE)=0,"",(VLOOKUP($B771,Q,10,FALSE)))</f>
        <v/>
      </c>
      <c r="H771" s="2" t="str">
        <f>IF(VLOOKUP($B771,Q,14,FALSE)=0,"",(VLOOKUP($B771,Q,14,FALSE)))</f>
        <v/>
      </c>
      <c r="I771" s="2" t="str">
        <f>IF(VLOOKUP($B771,Q,14,FALSE)=0,"",(VLOOKUP($B771,Q,15,FALSE)))</f>
        <v/>
      </c>
      <c r="J771" s="2" t="str">
        <f>IF(VLOOKUP($B771,Q,14,FALSE)=0,"",(VLOOKUP($B771,Q,16,FALSE)))</f>
        <v/>
      </c>
      <c r="K771" s="2" t="str">
        <f>IF(VLOOKUP($B771,Q,14,FALSE)=0,"",(VLOOKUP($B771,Q,17,FALSE)))</f>
        <v/>
      </c>
    </row>
    <row r="772" spans="2:11" x14ac:dyDescent="0.6">
      <c r="B772" s="1">
        <v>775</v>
      </c>
      <c r="C772" s="2" t="str">
        <f>IF(VLOOKUP($B772,Q,2,FALSE)=0,"",(VLOOKUP($B772,Q,2,FALSE)))</f>
        <v/>
      </c>
      <c r="D772" s="2" t="str">
        <f>IF(VLOOKUP($B772,Q,3,FALSE)=0,"",(VLOOKUP($B772,Q,3,FALSE)))</f>
        <v/>
      </c>
      <c r="E772" s="2" t="str">
        <f>IF(VLOOKUP($B772,Q,8,FALSE)=0,"",(VLOOKUP($B772,Q,8,FALSE)))</f>
        <v/>
      </c>
      <c r="F772" s="19" t="str">
        <f>IF(VLOOKUP($B772,Q,9,FALSE)=0,"",(VLOOKUP($B772,Q,9,FALSE)))</f>
        <v/>
      </c>
      <c r="G772" s="2" t="str">
        <f>IF(VLOOKUP($B772,Q,10,FALSE)=0,"",(VLOOKUP($B772,Q,10,FALSE)))</f>
        <v/>
      </c>
      <c r="H772" s="2" t="str">
        <f>IF(VLOOKUP($B772,Q,14,FALSE)=0,"",(VLOOKUP($B772,Q,14,FALSE)))</f>
        <v/>
      </c>
      <c r="I772" s="2" t="str">
        <f>IF(VLOOKUP($B772,Q,14,FALSE)=0,"",(VLOOKUP($B772,Q,15,FALSE)))</f>
        <v/>
      </c>
      <c r="J772" s="2" t="str">
        <f>IF(VLOOKUP($B772,Q,14,FALSE)=0,"",(VLOOKUP($B772,Q,16,FALSE)))</f>
        <v/>
      </c>
      <c r="K772" s="2" t="str">
        <f>IF(VLOOKUP($B772,Q,14,FALSE)=0,"",(VLOOKUP($B772,Q,17,FALSE)))</f>
        <v/>
      </c>
    </row>
    <row r="773" spans="2:11" x14ac:dyDescent="0.6">
      <c r="B773" s="1">
        <v>776</v>
      </c>
      <c r="C773" s="2" t="str">
        <f>IF(VLOOKUP($B773,Q,2,FALSE)=0,"",(VLOOKUP($B773,Q,2,FALSE)))</f>
        <v/>
      </c>
      <c r="D773" s="2" t="str">
        <f>IF(VLOOKUP($B773,Q,3,FALSE)=0,"",(VLOOKUP($B773,Q,3,FALSE)))</f>
        <v/>
      </c>
      <c r="E773" s="2" t="str">
        <f>IF(VLOOKUP($B773,Q,8,FALSE)=0,"",(VLOOKUP($B773,Q,8,FALSE)))</f>
        <v/>
      </c>
      <c r="F773" s="19" t="str">
        <f>IF(VLOOKUP($B773,Q,9,FALSE)=0,"",(VLOOKUP($B773,Q,9,FALSE)))</f>
        <v/>
      </c>
      <c r="G773" s="2" t="str">
        <f>IF(VLOOKUP($B773,Q,10,FALSE)=0,"",(VLOOKUP($B773,Q,10,FALSE)))</f>
        <v/>
      </c>
      <c r="H773" s="2" t="str">
        <f>IF(VLOOKUP($B773,Q,14,FALSE)=0,"",(VLOOKUP($B773,Q,14,FALSE)))</f>
        <v/>
      </c>
      <c r="I773" s="2" t="str">
        <f>IF(VLOOKUP($B773,Q,14,FALSE)=0,"",(VLOOKUP($B773,Q,15,FALSE)))</f>
        <v/>
      </c>
      <c r="J773" s="2" t="str">
        <f>IF(VLOOKUP($B773,Q,14,FALSE)=0,"",(VLOOKUP($B773,Q,16,FALSE)))</f>
        <v/>
      </c>
      <c r="K773" s="2" t="str">
        <f>IF(VLOOKUP($B773,Q,14,FALSE)=0,"",(VLOOKUP($B773,Q,17,FALSE)))</f>
        <v/>
      </c>
    </row>
    <row r="774" spans="2:11" x14ac:dyDescent="0.6">
      <c r="B774" s="1">
        <v>777</v>
      </c>
      <c r="C774" s="2" t="str">
        <f>IF(VLOOKUP($B774,Q,2,FALSE)=0,"",(VLOOKUP($B774,Q,2,FALSE)))</f>
        <v/>
      </c>
      <c r="D774" s="2" t="str">
        <f>IF(VLOOKUP($B774,Q,3,FALSE)=0,"",(VLOOKUP($B774,Q,3,FALSE)))</f>
        <v/>
      </c>
      <c r="E774" s="2" t="str">
        <f>IF(VLOOKUP($B774,Q,8,FALSE)=0,"",(VLOOKUP($B774,Q,8,FALSE)))</f>
        <v/>
      </c>
      <c r="F774" s="19" t="str">
        <f>IF(VLOOKUP($B774,Q,9,FALSE)=0,"",(VLOOKUP($B774,Q,9,FALSE)))</f>
        <v/>
      </c>
      <c r="G774" s="2" t="str">
        <f>IF(VLOOKUP($B774,Q,10,FALSE)=0,"",(VLOOKUP($B774,Q,10,FALSE)))</f>
        <v/>
      </c>
      <c r="H774" s="2" t="str">
        <f>IF(VLOOKUP($B774,Q,14,FALSE)=0,"",(VLOOKUP($B774,Q,14,FALSE)))</f>
        <v/>
      </c>
      <c r="I774" s="2" t="str">
        <f>IF(VLOOKUP($B774,Q,14,FALSE)=0,"",(VLOOKUP($B774,Q,15,FALSE)))</f>
        <v/>
      </c>
      <c r="J774" s="2" t="str">
        <f>IF(VLOOKUP($B774,Q,14,FALSE)=0,"",(VLOOKUP($B774,Q,16,FALSE)))</f>
        <v/>
      </c>
      <c r="K774" s="2" t="str">
        <f>IF(VLOOKUP($B774,Q,14,FALSE)=0,"",(VLOOKUP($B774,Q,17,FALSE)))</f>
        <v/>
      </c>
    </row>
    <row r="775" spans="2:11" x14ac:dyDescent="0.6">
      <c r="B775" s="1">
        <v>778</v>
      </c>
      <c r="C775" s="2" t="str">
        <f>IF(VLOOKUP($B775,Q,2,FALSE)=0,"",(VLOOKUP($B775,Q,2,FALSE)))</f>
        <v/>
      </c>
      <c r="D775" s="2" t="str">
        <f>IF(VLOOKUP($B775,Q,3,FALSE)=0,"",(VLOOKUP($B775,Q,3,FALSE)))</f>
        <v/>
      </c>
      <c r="E775" s="2" t="str">
        <f>IF(VLOOKUP($B775,Q,8,FALSE)=0,"",(VLOOKUP($B775,Q,8,FALSE)))</f>
        <v/>
      </c>
      <c r="F775" s="19" t="str">
        <f>IF(VLOOKUP($B775,Q,9,FALSE)=0,"",(VLOOKUP($B775,Q,9,FALSE)))</f>
        <v/>
      </c>
      <c r="G775" s="2" t="str">
        <f>IF(VLOOKUP($B775,Q,10,FALSE)=0,"",(VLOOKUP($B775,Q,10,FALSE)))</f>
        <v/>
      </c>
      <c r="H775" s="2" t="str">
        <f>IF(VLOOKUP($B775,Q,14,FALSE)=0,"",(VLOOKUP($B775,Q,14,FALSE)))</f>
        <v/>
      </c>
      <c r="I775" s="2" t="str">
        <f>IF(VLOOKUP($B775,Q,14,FALSE)=0,"",(VLOOKUP($B775,Q,15,FALSE)))</f>
        <v/>
      </c>
      <c r="J775" s="2" t="str">
        <f>IF(VLOOKUP($B775,Q,14,FALSE)=0,"",(VLOOKUP($B775,Q,16,FALSE)))</f>
        <v/>
      </c>
      <c r="K775" s="2" t="str">
        <f>IF(VLOOKUP($B775,Q,14,FALSE)=0,"",(VLOOKUP($B775,Q,17,FALSE)))</f>
        <v/>
      </c>
    </row>
    <row r="776" spans="2:11" x14ac:dyDescent="0.6">
      <c r="B776" s="1">
        <v>779</v>
      </c>
      <c r="C776" s="2" t="str">
        <f>IF(VLOOKUP($B776,Q,2,FALSE)=0,"",(VLOOKUP($B776,Q,2,FALSE)))</f>
        <v/>
      </c>
      <c r="D776" s="2" t="str">
        <f>IF(VLOOKUP($B776,Q,3,FALSE)=0,"",(VLOOKUP($B776,Q,3,FALSE)))</f>
        <v/>
      </c>
      <c r="E776" s="2" t="str">
        <f>IF(VLOOKUP($B776,Q,8,FALSE)=0,"",(VLOOKUP($B776,Q,8,FALSE)))</f>
        <v/>
      </c>
      <c r="F776" s="19" t="str">
        <f>IF(VLOOKUP($B776,Q,9,FALSE)=0,"",(VLOOKUP($B776,Q,9,FALSE)))</f>
        <v/>
      </c>
      <c r="G776" s="2" t="str">
        <f>IF(VLOOKUP($B776,Q,10,FALSE)=0,"",(VLOOKUP($B776,Q,10,FALSE)))</f>
        <v/>
      </c>
      <c r="H776" s="2" t="str">
        <f>IF(VLOOKUP($B776,Q,14,FALSE)=0,"",(VLOOKUP($B776,Q,14,FALSE)))</f>
        <v/>
      </c>
      <c r="I776" s="2" t="str">
        <f>IF(VLOOKUP($B776,Q,14,FALSE)=0,"",(VLOOKUP($B776,Q,15,FALSE)))</f>
        <v/>
      </c>
      <c r="J776" s="2" t="str">
        <f>IF(VLOOKUP($B776,Q,14,FALSE)=0,"",(VLOOKUP($B776,Q,16,FALSE)))</f>
        <v/>
      </c>
      <c r="K776" s="2" t="str">
        <f>IF(VLOOKUP($B776,Q,14,FALSE)=0,"",(VLOOKUP($B776,Q,17,FALSE)))</f>
        <v/>
      </c>
    </row>
    <row r="777" spans="2:11" x14ac:dyDescent="0.6">
      <c r="B777" s="1">
        <v>780</v>
      </c>
      <c r="C777" s="2" t="str">
        <f>IF(VLOOKUP($B777,Q,2,FALSE)=0,"",(VLOOKUP($B777,Q,2,FALSE)))</f>
        <v/>
      </c>
      <c r="D777" s="2" t="str">
        <f>IF(VLOOKUP($B777,Q,3,FALSE)=0,"",(VLOOKUP($B777,Q,3,FALSE)))</f>
        <v/>
      </c>
      <c r="E777" s="2" t="str">
        <f>IF(VLOOKUP($B777,Q,8,FALSE)=0,"",(VLOOKUP($B777,Q,8,FALSE)))</f>
        <v/>
      </c>
      <c r="F777" s="19" t="str">
        <f>IF(VLOOKUP($B777,Q,9,FALSE)=0,"",(VLOOKUP($B777,Q,9,FALSE)))</f>
        <v/>
      </c>
      <c r="G777" s="2" t="str">
        <f>IF(VLOOKUP($B777,Q,10,FALSE)=0,"",(VLOOKUP($B777,Q,10,FALSE)))</f>
        <v/>
      </c>
      <c r="H777" s="2" t="str">
        <f>IF(VLOOKUP($B777,Q,14,FALSE)=0,"",(VLOOKUP($B777,Q,14,FALSE)))</f>
        <v/>
      </c>
      <c r="I777" s="2" t="str">
        <f>IF(VLOOKUP($B777,Q,14,FALSE)=0,"",(VLOOKUP($B777,Q,15,FALSE)))</f>
        <v/>
      </c>
      <c r="J777" s="2" t="str">
        <f>IF(VLOOKUP($B777,Q,14,FALSE)=0,"",(VLOOKUP($B777,Q,16,FALSE)))</f>
        <v/>
      </c>
      <c r="K777" s="2" t="str">
        <f>IF(VLOOKUP($B777,Q,14,FALSE)=0,"",(VLOOKUP($B777,Q,17,FALSE)))</f>
        <v/>
      </c>
    </row>
    <row r="778" spans="2:11" x14ac:dyDescent="0.6">
      <c r="B778" s="1">
        <v>781</v>
      </c>
      <c r="C778" s="2" t="str">
        <f>IF(VLOOKUP($B778,Q,2,FALSE)=0,"",(VLOOKUP($B778,Q,2,FALSE)))</f>
        <v/>
      </c>
      <c r="D778" s="2" t="str">
        <f>IF(VLOOKUP($B778,Q,3,FALSE)=0,"",(VLOOKUP($B778,Q,3,FALSE)))</f>
        <v/>
      </c>
      <c r="E778" s="2" t="str">
        <f>IF(VLOOKUP($B778,Q,8,FALSE)=0,"",(VLOOKUP($B778,Q,8,FALSE)))</f>
        <v/>
      </c>
      <c r="F778" s="19" t="str">
        <f>IF(VLOOKUP($B778,Q,9,FALSE)=0,"",(VLOOKUP($B778,Q,9,FALSE)))</f>
        <v/>
      </c>
      <c r="G778" s="2" t="str">
        <f>IF(VLOOKUP($B778,Q,10,FALSE)=0,"",(VLOOKUP($B778,Q,10,FALSE)))</f>
        <v/>
      </c>
      <c r="H778" s="2" t="str">
        <f>IF(VLOOKUP($B778,Q,14,FALSE)=0,"",(VLOOKUP($B778,Q,14,FALSE)))</f>
        <v/>
      </c>
      <c r="I778" s="2" t="str">
        <f>IF(VLOOKUP($B778,Q,14,FALSE)=0,"",(VLOOKUP($B778,Q,15,FALSE)))</f>
        <v/>
      </c>
      <c r="J778" s="2" t="str">
        <f>IF(VLOOKUP($B778,Q,14,FALSE)=0,"",(VLOOKUP($B778,Q,16,FALSE)))</f>
        <v/>
      </c>
      <c r="K778" s="2" t="str">
        <f>IF(VLOOKUP($B778,Q,14,FALSE)=0,"",(VLOOKUP($B778,Q,17,FALSE)))</f>
        <v/>
      </c>
    </row>
    <row r="779" spans="2:11" x14ac:dyDescent="0.6">
      <c r="B779" s="1">
        <v>782</v>
      </c>
      <c r="C779" s="2" t="str">
        <f>IF(VLOOKUP($B779,Q,2,FALSE)=0,"",(VLOOKUP($B779,Q,2,FALSE)))</f>
        <v/>
      </c>
      <c r="D779" s="2" t="str">
        <f>IF(VLOOKUP($B779,Q,3,FALSE)=0,"",(VLOOKUP($B779,Q,3,FALSE)))</f>
        <v/>
      </c>
      <c r="E779" s="2" t="str">
        <f>IF(VLOOKUP($B779,Q,8,FALSE)=0,"",(VLOOKUP($B779,Q,8,FALSE)))</f>
        <v/>
      </c>
      <c r="F779" s="19" t="str">
        <f>IF(VLOOKUP($B779,Q,9,FALSE)=0,"",(VLOOKUP($B779,Q,9,FALSE)))</f>
        <v/>
      </c>
      <c r="G779" s="2" t="str">
        <f>IF(VLOOKUP($B779,Q,10,FALSE)=0,"",(VLOOKUP($B779,Q,10,FALSE)))</f>
        <v/>
      </c>
      <c r="H779" s="2" t="str">
        <f>IF(VLOOKUP($B779,Q,14,FALSE)=0,"",(VLOOKUP($B779,Q,14,FALSE)))</f>
        <v/>
      </c>
      <c r="I779" s="2" t="str">
        <f>IF(VLOOKUP($B779,Q,14,FALSE)=0,"",(VLOOKUP($B779,Q,15,FALSE)))</f>
        <v/>
      </c>
      <c r="J779" s="2" t="str">
        <f>IF(VLOOKUP($B779,Q,14,FALSE)=0,"",(VLOOKUP($B779,Q,16,FALSE)))</f>
        <v/>
      </c>
      <c r="K779" s="2" t="str">
        <f>IF(VLOOKUP($B779,Q,14,FALSE)=0,"",(VLOOKUP($B779,Q,17,FALSE)))</f>
        <v/>
      </c>
    </row>
    <row r="780" spans="2:11" x14ac:dyDescent="0.6">
      <c r="B780" s="1">
        <v>783</v>
      </c>
      <c r="C780" s="2" t="str">
        <f>IF(VLOOKUP($B780,Q,2,FALSE)=0,"",(VLOOKUP($B780,Q,2,FALSE)))</f>
        <v/>
      </c>
      <c r="D780" s="2" t="str">
        <f>IF(VLOOKUP($B780,Q,3,FALSE)=0,"",(VLOOKUP($B780,Q,3,FALSE)))</f>
        <v/>
      </c>
      <c r="E780" s="2" t="str">
        <f>IF(VLOOKUP($B780,Q,8,FALSE)=0,"",(VLOOKUP($B780,Q,8,FALSE)))</f>
        <v/>
      </c>
      <c r="F780" s="19" t="str">
        <f>IF(VLOOKUP($B780,Q,9,FALSE)=0,"",(VLOOKUP($B780,Q,9,FALSE)))</f>
        <v/>
      </c>
      <c r="G780" s="2" t="str">
        <f>IF(VLOOKUP($B780,Q,10,FALSE)=0,"",(VLOOKUP($B780,Q,10,FALSE)))</f>
        <v/>
      </c>
      <c r="H780" s="2" t="str">
        <f>IF(VLOOKUP($B780,Q,14,FALSE)=0,"",(VLOOKUP($B780,Q,14,FALSE)))</f>
        <v/>
      </c>
      <c r="I780" s="2" t="str">
        <f>IF(VLOOKUP($B780,Q,14,FALSE)=0,"",(VLOOKUP($B780,Q,15,FALSE)))</f>
        <v/>
      </c>
      <c r="J780" s="2" t="str">
        <f>IF(VLOOKUP($B780,Q,14,FALSE)=0,"",(VLOOKUP($B780,Q,16,FALSE)))</f>
        <v/>
      </c>
      <c r="K780" s="2" t="str">
        <f>IF(VLOOKUP($B780,Q,14,FALSE)=0,"",(VLOOKUP($B780,Q,17,FALSE)))</f>
        <v/>
      </c>
    </row>
    <row r="781" spans="2:11" x14ac:dyDescent="0.6">
      <c r="B781" s="1">
        <v>784</v>
      </c>
      <c r="C781" s="2" t="str">
        <f>IF(VLOOKUP($B781,Q,2,FALSE)=0,"",(VLOOKUP($B781,Q,2,FALSE)))</f>
        <v/>
      </c>
      <c r="D781" s="2" t="str">
        <f>IF(VLOOKUP($B781,Q,3,FALSE)=0,"",(VLOOKUP($B781,Q,3,FALSE)))</f>
        <v/>
      </c>
      <c r="E781" s="2" t="str">
        <f>IF(VLOOKUP($B781,Q,8,FALSE)=0,"",(VLOOKUP($B781,Q,8,FALSE)))</f>
        <v/>
      </c>
      <c r="F781" s="19" t="str">
        <f>IF(VLOOKUP($B781,Q,9,FALSE)=0,"",(VLOOKUP($B781,Q,9,FALSE)))</f>
        <v/>
      </c>
      <c r="G781" s="2" t="str">
        <f>IF(VLOOKUP($B781,Q,10,FALSE)=0,"",(VLOOKUP($B781,Q,10,FALSE)))</f>
        <v/>
      </c>
      <c r="H781" s="2" t="str">
        <f>IF(VLOOKUP($B781,Q,14,FALSE)=0,"",(VLOOKUP($B781,Q,14,FALSE)))</f>
        <v/>
      </c>
      <c r="I781" s="2" t="str">
        <f>IF(VLOOKUP($B781,Q,14,FALSE)=0,"",(VLOOKUP($B781,Q,15,FALSE)))</f>
        <v/>
      </c>
      <c r="J781" s="2" t="str">
        <f>IF(VLOOKUP($B781,Q,14,FALSE)=0,"",(VLOOKUP($B781,Q,16,FALSE)))</f>
        <v/>
      </c>
      <c r="K781" s="2" t="str">
        <f>IF(VLOOKUP($B781,Q,14,FALSE)=0,"",(VLOOKUP($B781,Q,17,FALSE)))</f>
        <v/>
      </c>
    </row>
    <row r="782" spans="2:11" x14ac:dyDescent="0.6">
      <c r="B782" s="1">
        <v>785</v>
      </c>
      <c r="C782" s="2" t="str">
        <f>IF(VLOOKUP($B782,Q,2,FALSE)=0,"",(VLOOKUP($B782,Q,2,FALSE)))</f>
        <v/>
      </c>
      <c r="D782" s="2" t="str">
        <f>IF(VLOOKUP($B782,Q,3,FALSE)=0,"",(VLOOKUP($B782,Q,3,FALSE)))</f>
        <v/>
      </c>
      <c r="E782" s="2" t="str">
        <f>IF(VLOOKUP($B782,Q,8,FALSE)=0,"",(VLOOKUP($B782,Q,8,FALSE)))</f>
        <v/>
      </c>
      <c r="F782" s="19" t="str">
        <f>IF(VLOOKUP($B782,Q,9,FALSE)=0,"",(VLOOKUP($B782,Q,9,FALSE)))</f>
        <v/>
      </c>
      <c r="G782" s="2" t="str">
        <f>IF(VLOOKUP($B782,Q,10,FALSE)=0,"",(VLOOKUP($B782,Q,10,FALSE)))</f>
        <v/>
      </c>
      <c r="H782" s="2" t="str">
        <f>IF(VLOOKUP($B782,Q,14,FALSE)=0,"",(VLOOKUP($B782,Q,14,FALSE)))</f>
        <v/>
      </c>
      <c r="I782" s="2" t="str">
        <f>IF(VLOOKUP($B782,Q,14,FALSE)=0,"",(VLOOKUP($B782,Q,15,FALSE)))</f>
        <v/>
      </c>
      <c r="J782" s="2" t="str">
        <f>IF(VLOOKUP($B782,Q,14,FALSE)=0,"",(VLOOKUP($B782,Q,16,FALSE)))</f>
        <v/>
      </c>
      <c r="K782" s="2" t="str">
        <f>IF(VLOOKUP($B782,Q,14,FALSE)=0,"",(VLOOKUP($B782,Q,17,FALSE)))</f>
        <v/>
      </c>
    </row>
    <row r="783" spans="2:11" x14ac:dyDescent="0.6">
      <c r="B783" s="1">
        <v>786</v>
      </c>
      <c r="C783" s="2" t="str">
        <f>IF(VLOOKUP($B783,Q,2,FALSE)=0,"",(VLOOKUP($B783,Q,2,FALSE)))</f>
        <v/>
      </c>
      <c r="D783" s="2" t="str">
        <f>IF(VLOOKUP($B783,Q,3,FALSE)=0,"",(VLOOKUP($B783,Q,3,FALSE)))</f>
        <v/>
      </c>
      <c r="E783" s="2" t="str">
        <f>IF(VLOOKUP($B783,Q,8,FALSE)=0,"",(VLOOKUP($B783,Q,8,FALSE)))</f>
        <v/>
      </c>
      <c r="F783" s="19" t="str">
        <f>IF(VLOOKUP($B783,Q,9,FALSE)=0,"",(VLOOKUP($B783,Q,9,FALSE)))</f>
        <v/>
      </c>
      <c r="G783" s="2" t="str">
        <f>IF(VLOOKUP($B783,Q,10,FALSE)=0,"",(VLOOKUP($B783,Q,10,FALSE)))</f>
        <v/>
      </c>
      <c r="H783" s="2" t="str">
        <f>IF(VLOOKUP($B783,Q,14,FALSE)=0,"",(VLOOKUP($B783,Q,14,FALSE)))</f>
        <v/>
      </c>
      <c r="I783" s="2" t="str">
        <f>IF(VLOOKUP($B783,Q,14,FALSE)=0,"",(VLOOKUP($B783,Q,15,FALSE)))</f>
        <v/>
      </c>
      <c r="J783" s="2" t="str">
        <f>IF(VLOOKUP($B783,Q,14,FALSE)=0,"",(VLOOKUP($B783,Q,16,FALSE)))</f>
        <v/>
      </c>
      <c r="K783" s="2" t="str">
        <f>IF(VLOOKUP($B783,Q,14,FALSE)=0,"",(VLOOKUP($B783,Q,17,FALSE)))</f>
        <v/>
      </c>
    </row>
    <row r="784" spans="2:11" x14ac:dyDescent="0.6">
      <c r="B784" s="1">
        <v>787</v>
      </c>
      <c r="C784" s="2" t="str">
        <f>IF(VLOOKUP($B784,Q,2,FALSE)=0,"",(VLOOKUP($B784,Q,2,FALSE)))</f>
        <v/>
      </c>
      <c r="D784" s="2" t="str">
        <f>IF(VLOOKUP($B784,Q,3,FALSE)=0,"",(VLOOKUP($B784,Q,3,FALSE)))</f>
        <v/>
      </c>
      <c r="E784" s="2" t="str">
        <f>IF(VLOOKUP($B784,Q,8,FALSE)=0,"",(VLOOKUP($B784,Q,8,FALSE)))</f>
        <v/>
      </c>
      <c r="F784" s="19" t="str">
        <f>IF(VLOOKUP($B784,Q,9,FALSE)=0,"",(VLOOKUP($B784,Q,9,FALSE)))</f>
        <v/>
      </c>
      <c r="G784" s="2" t="str">
        <f>IF(VLOOKUP($B784,Q,10,FALSE)=0,"",(VLOOKUP($B784,Q,10,FALSE)))</f>
        <v/>
      </c>
      <c r="H784" s="2" t="str">
        <f>IF(VLOOKUP($B784,Q,14,FALSE)=0,"",(VLOOKUP($B784,Q,14,FALSE)))</f>
        <v/>
      </c>
      <c r="I784" s="2" t="str">
        <f>IF(VLOOKUP($B784,Q,14,FALSE)=0,"",(VLOOKUP($B784,Q,15,FALSE)))</f>
        <v/>
      </c>
      <c r="J784" s="2" t="str">
        <f>IF(VLOOKUP($B784,Q,14,FALSE)=0,"",(VLOOKUP($B784,Q,16,FALSE)))</f>
        <v/>
      </c>
      <c r="K784" s="2" t="str">
        <f>IF(VLOOKUP($B784,Q,14,FALSE)=0,"",(VLOOKUP($B784,Q,17,FALSE)))</f>
        <v/>
      </c>
    </row>
    <row r="785" spans="2:11" x14ac:dyDescent="0.6">
      <c r="B785" s="1">
        <v>788</v>
      </c>
      <c r="C785" s="2" t="str">
        <f>IF(VLOOKUP($B785,Q,2,FALSE)=0,"",(VLOOKUP($B785,Q,2,FALSE)))</f>
        <v/>
      </c>
      <c r="D785" s="2" t="str">
        <f>IF(VLOOKUP($B785,Q,3,FALSE)=0,"",(VLOOKUP($B785,Q,3,FALSE)))</f>
        <v/>
      </c>
      <c r="E785" s="2" t="str">
        <f>IF(VLOOKUP($B785,Q,8,FALSE)=0,"",(VLOOKUP($B785,Q,8,FALSE)))</f>
        <v/>
      </c>
      <c r="F785" s="19" t="str">
        <f>IF(VLOOKUP($B785,Q,9,FALSE)=0,"",(VLOOKUP($B785,Q,9,FALSE)))</f>
        <v/>
      </c>
      <c r="G785" s="2" t="str">
        <f>IF(VLOOKUP($B785,Q,10,FALSE)=0,"",(VLOOKUP($B785,Q,10,FALSE)))</f>
        <v/>
      </c>
      <c r="H785" s="2" t="str">
        <f>IF(VLOOKUP($B785,Q,14,FALSE)=0,"",(VLOOKUP($B785,Q,14,FALSE)))</f>
        <v/>
      </c>
      <c r="I785" s="2" t="str">
        <f>IF(VLOOKUP($B785,Q,14,FALSE)=0,"",(VLOOKUP($B785,Q,15,FALSE)))</f>
        <v/>
      </c>
      <c r="J785" s="2" t="str">
        <f>IF(VLOOKUP($B785,Q,14,FALSE)=0,"",(VLOOKUP($B785,Q,16,FALSE)))</f>
        <v/>
      </c>
      <c r="K785" s="2" t="str">
        <f>IF(VLOOKUP($B785,Q,14,FALSE)=0,"",(VLOOKUP($B785,Q,17,FALSE)))</f>
        <v/>
      </c>
    </row>
    <row r="786" spans="2:11" x14ac:dyDescent="0.6">
      <c r="B786" s="1">
        <v>789</v>
      </c>
      <c r="C786" s="2" t="str">
        <f>IF(VLOOKUP($B786,Q,2,FALSE)=0,"",(VLOOKUP($B786,Q,2,FALSE)))</f>
        <v/>
      </c>
      <c r="D786" s="2" t="str">
        <f>IF(VLOOKUP($B786,Q,3,FALSE)=0,"",(VLOOKUP($B786,Q,3,FALSE)))</f>
        <v/>
      </c>
      <c r="E786" s="2" t="str">
        <f>IF(VLOOKUP($B786,Q,8,FALSE)=0,"",(VLOOKUP($B786,Q,8,FALSE)))</f>
        <v/>
      </c>
      <c r="F786" s="19" t="str">
        <f>IF(VLOOKUP($B786,Q,9,FALSE)=0,"",(VLOOKUP($B786,Q,9,FALSE)))</f>
        <v/>
      </c>
      <c r="G786" s="2" t="str">
        <f>IF(VLOOKUP($B786,Q,10,FALSE)=0,"",(VLOOKUP($B786,Q,10,FALSE)))</f>
        <v/>
      </c>
      <c r="H786" s="2" t="str">
        <f>IF(VLOOKUP($B786,Q,14,FALSE)=0,"",(VLOOKUP($B786,Q,14,FALSE)))</f>
        <v/>
      </c>
      <c r="I786" s="2" t="str">
        <f>IF(VLOOKUP($B786,Q,14,FALSE)=0,"",(VLOOKUP($B786,Q,15,FALSE)))</f>
        <v/>
      </c>
      <c r="J786" s="2" t="str">
        <f>IF(VLOOKUP($B786,Q,14,FALSE)=0,"",(VLOOKUP($B786,Q,16,FALSE)))</f>
        <v/>
      </c>
      <c r="K786" s="2" t="str">
        <f>IF(VLOOKUP($B786,Q,14,FALSE)=0,"",(VLOOKUP($B786,Q,17,FALSE)))</f>
        <v/>
      </c>
    </row>
    <row r="787" spans="2:11" x14ac:dyDescent="0.6">
      <c r="B787" s="1">
        <v>790</v>
      </c>
      <c r="C787" s="2" t="str">
        <f>IF(VLOOKUP($B787,Q,2,FALSE)=0,"",(VLOOKUP($B787,Q,2,FALSE)))</f>
        <v/>
      </c>
      <c r="D787" s="2" t="str">
        <f>IF(VLOOKUP($B787,Q,3,FALSE)=0,"",(VLOOKUP($B787,Q,3,FALSE)))</f>
        <v/>
      </c>
      <c r="E787" s="2" t="str">
        <f>IF(VLOOKUP($B787,Q,8,FALSE)=0,"",(VLOOKUP($B787,Q,8,FALSE)))</f>
        <v/>
      </c>
      <c r="F787" s="19" t="str">
        <f>IF(VLOOKUP($B787,Q,9,FALSE)=0,"",(VLOOKUP($B787,Q,9,FALSE)))</f>
        <v/>
      </c>
      <c r="G787" s="2" t="str">
        <f>IF(VLOOKUP($B787,Q,10,FALSE)=0,"",(VLOOKUP($B787,Q,10,FALSE)))</f>
        <v/>
      </c>
      <c r="H787" s="2" t="str">
        <f>IF(VLOOKUP($B787,Q,14,FALSE)=0,"",(VLOOKUP($B787,Q,14,FALSE)))</f>
        <v/>
      </c>
      <c r="I787" s="2" t="str">
        <f>IF(VLOOKUP($B787,Q,14,FALSE)=0,"",(VLOOKUP($B787,Q,15,FALSE)))</f>
        <v/>
      </c>
      <c r="J787" s="2" t="str">
        <f>IF(VLOOKUP($B787,Q,14,FALSE)=0,"",(VLOOKUP($B787,Q,16,FALSE)))</f>
        <v/>
      </c>
      <c r="K787" s="2" t="str">
        <f>IF(VLOOKUP($B787,Q,14,FALSE)=0,"",(VLOOKUP($B787,Q,17,FALSE)))</f>
        <v/>
      </c>
    </row>
    <row r="788" spans="2:11" x14ac:dyDescent="0.6">
      <c r="B788" s="1">
        <v>791</v>
      </c>
      <c r="C788" s="2" t="str">
        <f>IF(VLOOKUP($B788,Q,2,FALSE)=0,"",(VLOOKUP($B788,Q,2,FALSE)))</f>
        <v/>
      </c>
      <c r="D788" s="2" t="str">
        <f>IF(VLOOKUP($B788,Q,3,FALSE)=0,"",(VLOOKUP($B788,Q,3,FALSE)))</f>
        <v/>
      </c>
      <c r="E788" s="2" t="str">
        <f>IF(VLOOKUP($B788,Q,8,FALSE)=0,"",(VLOOKUP($B788,Q,8,FALSE)))</f>
        <v/>
      </c>
      <c r="F788" s="19" t="str">
        <f>IF(VLOOKUP($B788,Q,9,FALSE)=0,"",(VLOOKUP($B788,Q,9,FALSE)))</f>
        <v/>
      </c>
      <c r="G788" s="2" t="str">
        <f>IF(VLOOKUP($B788,Q,10,FALSE)=0,"",(VLOOKUP($B788,Q,10,FALSE)))</f>
        <v/>
      </c>
      <c r="H788" s="2" t="str">
        <f>IF(VLOOKUP($B788,Q,14,FALSE)=0,"",(VLOOKUP($B788,Q,14,FALSE)))</f>
        <v/>
      </c>
      <c r="I788" s="2" t="str">
        <f>IF(VLOOKUP($B788,Q,14,FALSE)=0,"",(VLOOKUP($B788,Q,15,FALSE)))</f>
        <v/>
      </c>
      <c r="J788" s="2" t="str">
        <f>IF(VLOOKUP($B788,Q,14,FALSE)=0,"",(VLOOKUP($B788,Q,16,FALSE)))</f>
        <v/>
      </c>
      <c r="K788" s="2" t="str">
        <f>IF(VLOOKUP($B788,Q,14,FALSE)=0,"",(VLOOKUP($B788,Q,17,FALSE)))</f>
        <v/>
      </c>
    </row>
    <row r="789" spans="2:11" x14ac:dyDescent="0.6">
      <c r="B789" s="1">
        <v>792</v>
      </c>
      <c r="C789" s="2" t="str">
        <f>IF(VLOOKUP($B789,Q,2,FALSE)=0,"",(VLOOKUP($B789,Q,2,FALSE)))</f>
        <v/>
      </c>
      <c r="D789" s="2" t="str">
        <f>IF(VLOOKUP($B789,Q,3,FALSE)=0,"",(VLOOKUP($B789,Q,3,FALSE)))</f>
        <v/>
      </c>
      <c r="E789" s="2" t="str">
        <f>IF(VLOOKUP($B789,Q,8,FALSE)=0,"",(VLOOKUP($B789,Q,8,FALSE)))</f>
        <v/>
      </c>
      <c r="F789" s="19" t="str">
        <f>IF(VLOOKUP($B789,Q,9,FALSE)=0,"",(VLOOKUP($B789,Q,9,FALSE)))</f>
        <v/>
      </c>
      <c r="G789" s="2" t="str">
        <f>IF(VLOOKUP($B789,Q,10,FALSE)=0,"",(VLOOKUP($B789,Q,10,FALSE)))</f>
        <v/>
      </c>
      <c r="H789" s="2" t="str">
        <f>IF(VLOOKUP($B789,Q,14,FALSE)=0,"",(VLOOKUP($B789,Q,14,FALSE)))</f>
        <v/>
      </c>
      <c r="I789" s="2" t="str">
        <f>IF(VLOOKUP($B789,Q,14,FALSE)=0,"",(VLOOKUP($B789,Q,15,FALSE)))</f>
        <v/>
      </c>
      <c r="J789" s="2" t="str">
        <f>IF(VLOOKUP($B789,Q,14,FALSE)=0,"",(VLOOKUP($B789,Q,16,FALSE)))</f>
        <v/>
      </c>
      <c r="K789" s="2" t="str">
        <f>IF(VLOOKUP($B789,Q,14,FALSE)=0,"",(VLOOKUP($B789,Q,17,FALSE)))</f>
        <v/>
      </c>
    </row>
    <row r="790" spans="2:11" x14ac:dyDescent="0.6">
      <c r="B790" s="1">
        <v>793</v>
      </c>
      <c r="C790" s="2" t="str">
        <f>IF(VLOOKUP($B790,Q,2,FALSE)=0,"",(VLOOKUP($B790,Q,2,FALSE)))</f>
        <v/>
      </c>
      <c r="D790" s="2" t="str">
        <f>IF(VLOOKUP($B790,Q,3,FALSE)=0,"",(VLOOKUP($B790,Q,3,FALSE)))</f>
        <v/>
      </c>
      <c r="E790" s="2" t="str">
        <f>IF(VLOOKUP($B790,Q,8,FALSE)=0,"",(VLOOKUP($B790,Q,8,FALSE)))</f>
        <v/>
      </c>
      <c r="F790" s="19" t="str">
        <f>IF(VLOOKUP($B790,Q,9,FALSE)=0,"",(VLOOKUP($B790,Q,9,FALSE)))</f>
        <v/>
      </c>
      <c r="G790" s="2" t="str">
        <f>IF(VLOOKUP($B790,Q,10,FALSE)=0,"",(VLOOKUP($B790,Q,10,FALSE)))</f>
        <v/>
      </c>
      <c r="H790" s="2" t="str">
        <f>IF(VLOOKUP($B790,Q,14,FALSE)=0,"",(VLOOKUP($B790,Q,14,FALSE)))</f>
        <v/>
      </c>
      <c r="I790" s="2" t="str">
        <f>IF(VLOOKUP($B790,Q,14,FALSE)=0,"",(VLOOKUP($B790,Q,15,FALSE)))</f>
        <v/>
      </c>
      <c r="J790" s="2" t="str">
        <f>IF(VLOOKUP($B790,Q,14,FALSE)=0,"",(VLOOKUP($B790,Q,16,FALSE)))</f>
        <v/>
      </c>
      <c r="K790" s="2" t="str">
        <f>IF(VLOOKUP($B790,Q,14,FALSE)=0,"",(VLOOKUP($B790,Q,17,FALSE)))</f>
        <v/>
      </c>
    </row>
    <row r="791" spans="2:11" x14ac:dyDescent="0.6">
      <c r="B791" s="1">
        <v>794</v>
      </c>
      <c r="C791" s="2" t="str">
        <f>IF(VLOOKUP($B791,Q,2,FALSE)=0,"",(VLOOKUP($B791,Q,2,FALSE)))</f>
        <v/>
      </c>
      <c r="D791" s="2" t="str">
        <f>IF(VLOOKUP($B791,Q,3,FALSE)=0,"",(VLOOKUP($B791,Q,3,FALSE)))</f>
        <v/>
      </c>
      <c r="E791" s="2" t="str">
        <f>IF(VLOOKUP($B791,Q,8,FALSE)=0,"",(VLOOKUP($B791,Q,8,FALSE)))</f>
        <v/>
      </c>
      <c r="F791" s="19" t="str">
        <f>IF(VLOOKUP($B791,Q,9,FALSE)=0,"",(VLOOKUP($B791,Q,9,FALSE)))</f>
        <v/>
      </c>
      <c r="G791" s="2" t="str">
        <f>IF(VLOOKUP($B791,Q,10,FALSE)=0,"",(VLOOKUP($B791,Q,10,FALSE)))</f>
        <v/>
      </c>
      <c r="H791" s="2" t="str">
        <f>IF(VLOOKUP($B791,Q,14,FALSE)=0,"",(VLOOKUP($B791,Q,14,FALSE)))</f>
        <v/>
      </c>
      <c r="I791" s="2" t="str">
        <f>IF(VLOOKUP($B791,Q,14,FALSE)=0,"",(VLOOKUP($B791,Q,15,FALSE)))</f>
        <v/>
      </c>
      <c r="J791" s="2" t="str">
        <f>IF(VLOOKUP($B791,Q,14,FALSE)=0,"",(VLOOKUP($B791,Q,16,FALSE)))</f>
        <v/>
      </c>
      <c r="K791" s="2" t="str">
        <f>IF(VLOOKUP($B791,Q,14,FALSE)=0,"",(VLOOKUP($B791,Q,17,FALSE)))</f>
        <v/>
      </c>
    </row>
    <row r="792" spans="2:11" x14ac:dyDescent="0.6">
      <c r="B792" s="1">
        <v>795</v>
      </c>
      <c r="C792" s="2" t="str">
        <f>IF(VLOOKUP($B792,Q,2,FALSE)=0,"",(VLOOKUP($B792,Q,2,FALSE)))</f>
        <v/>
      </c>
      <c r="D792" s="2" t="str">
        <f>IF(VLOOKUP($B792,Q,3,FALSE)=0,"",(VLOOKUP($B792,Q,3,FALSE)))</f>
        <v/>
      </c>
      <c r="E792" s="2" t="str">
        <f>IF(VLOOKUP($B792,Q,8,FALSE)=0,"",(VLOOKUP($B792,Q,8,FALSE)))</f>
        <v/>
      </c>
      <c r="F792" s="19" t="str">
        <f>IF(VLOOKUP($B792,Q,9,FALSE)=0,"",(VLOOKUP($B792,Q,9,FALSE)))</f>
        <v/>
      </c>
      <c r="G792" s="2" t="str">
        <f>IF(VLOOKUP($B792,Q,10,FALSE)=0,"",(VLOOKUP($B792,Q,10,FALSE)))</f>
        <v/>
      </c>
      <c r="H792" s="2" t="str">
        <f>IF(VLOOKUP($B792,Q,14,FALSE)=0,"",(VLOOKUP($B792,Q,14,FALSE)))</f>
        <v/>
      </c>
      <c r="I792" s="2" t="str">
        <f>IF(VLOOKUP($B792,Q,14,FALSE)=0,"",(VLOOKUP($B792,Q,15,FALSE)))</f>
        <v/>
      </c>
      <c r="J792" s="2" t="str">
        <f>IF(VLOOKUP($B792,Q,14,FALSE)=0,"",(VLOOKUP($B792,Q,16,FALSE)))</f>
        <v/>
      </c>
      <c r="K792" s="2" t="str">
        <f>IF(VLOOKUP($B792,Q,14,FALSE)=0,"",(VLOOKUP($B792,Q,17,FALSE)))</f>
        <v/>
      </c>
    </row>
    <row r="793" spans="2:11" x14ac:dyDescent="0.6">
      <c r="B793" s="1">
        <v>796</v>
      </c>
      <c r="C793" s="2" t="str">
        <f>IF(VLOOKUP($B793,Q,2,FALSE)=0,"",(VLOOKUP($B793,Q,2,FALSE)))</f>
        <v/>
      </c>
      <c r="D793" s="2" t="str">
        <f>IF(VLOOKUP($B793,Q,3,FALSE)=0,"",(VLOOKUP($B793,Q,3,FALSE)))</f>
        <v/>
      </c>
      <c r="E793" s="2" t="str">
        <f>IF(VLOOKUP($B793,Q,8,FALSE)=0,"",(VLOOKUP($B793,Q,8,FALSE)))</f>
        <v/>
      </c>
      <c r="F793" s="19" t="str">
        <f>IF(VLOOKUP($B793,Q,9,FALSE)=0,"",(VLOOKUP($B793,Q,9,FALSE)))</f>
        <v/>
      </c>
      <c r="G793" s="2" t="str">
        <f>IF(VLOOKUP($B793,Q,10,FALSE)=0,"",(VLOOKUP($B793,Q,10,FALSE)))</f>
        <v/>
      </c>
      <c r="H793" s="2" t="str">
        <f>IF(VLOOKUP($B793,Q,14,FALSE)=0,"",(VLOOKUP($B793,Q,14,FALSE)))</f>
        <v/>
      </c>
      <c r="I793" s="2" t="str">
        <f>IF(VLOOKUP($B793,Q,14,FALSE)=0,"",(VLOOKUP($B793,Q,15,FALSE)))</f>
        <v/>
      </c>
      <c r="J793" s="2" t="str">
        <f>IF(VLOOKUP($B793,Q,14,FALSE)=0,"",(VLOOKUP($B793,Q,16,FALSE)))</f>
        <v/>
      </c>
      <c r="K793" s="2" t="str">
        <f>IF(VLOOKUP($B793,Q,14,FALSE)=0,"",(VLOOKUP($B793,Q,17,FALSE)))</f>
        <v/>
      </c>
    </row>
    <row r="794" spans="2:11" x14ac:dyDescent="0.6">
      <c r="B794" s="1">
        <v>797</v>
      </c>
      <c r="C794" s="2" t="str">
        <f>IF(VLOOKUP($B794,Q,2,FALSE)=0,"",(VLOOKUP($B794,Q,2,FALSE)))</f>
        <v/>
      </c>
      <c r="D794" s="2" t="str">
        <f>IF(VLOOKUP($B794,Q,3,FALSE)=0,"",(VLOOKUP($B794,Q,3,FALSE)))</f>
        <v/>
      </c>
      <c r="E794" s="2" t="str">
        <f>IF(VLOOKUP($B794,Q,8,FALSE)=0,"",(VLOOKUP($B794,Q,8,FALSE)))</f>
        <v/>
      </c>
      <c r="F794" s="19" t="str">
        <f>IF(VLOOKUP($B794,Q,9,FALSE)=0,"",(VLOOKUP($B794,Q,9,FALSE)))</f>
        <v/>
      </c>
      <c r="G794" s="2" t="str">
        <f>IF(VLOOKUP($B794,Q,10,FALSE)=0,"",(VLOOKUP($B794,Q,10,FALSE)))</f>
        <v/>
      </c>
      <c r="H794" s="2" t="str">
        <f>IF(VLOOKUP($B794,Q,14,FALSE)=0,"",(VLOOKUP($B794,Q,14,FALSE)))</f>
        <v/>
      </c>
      <c r="I794" s="2" t="str">
        <f>IF(VLOOKUP($B794,Q,14,FALSE)=0,"",(VLOOKUP($B794,Q,15,FALSE)))</f>
        <v/>
      </c>
      <c r="J794" s="2" t="str">
        <f>IF(VLOOKUP($B794,Q,14,FALSE)=0,"",(VLOOKUP($B794,Q,16,FALSE)))</f>
        <v/>
      </c>
      <c r="K794" s="2" t="str">
        <f>IF(VLOOKUP($B794,Q,14,FALSE)=0,"",(VLOOKUP($B794,Q,17,FALSE)))</f>
        <v/>
      </c>
    </row>
    <row r="795" spans="2:11" x14ac:dyDescent="0.6">
      <c r="B795" s="1">
        <v>798</v>
      </c>
      <c r="C795" s="2" t="str">
        <f>IF(VLOOKUP($B795,Q,2,FALSE)=0,"",(VLOOKUP($B795,Q,2,FALSE)))</f>
        <v/>
      </c>
      <c r="D795" s="2" t="str">
        <f>IF(VLOOKUP($B795,Q,3,FALSE)=0,"",(VLOOKUP($B795,Q,3,FALSE)))</f>
        <v/>
      </c>
      <c r="E795" s="2" t="str">
        <f>IF(VLOOKUP($B795,Q,8,FALSE)=0,"",(VLOOKUP($B795,Q,8,FALSE)))</f>
        <v/>
      </c>
      <c r="F795" s="19" t="str">
        <f>IF(VLOOKUP($B795,Q,9,FALSE)=0,"",(VLOOKUP($B795,Q,9,FALSE)))</f>
        <v/>
      </c>
      <c r="G795" s="2" t="str">
        <f>IF(VLOOKUP($B795,Q,10,FALSE)=0,"",(VLOOKUP($B795,Q,10,FALSE)))</f>
        <v/>
      </c>
      <c r="H795" s="2" t="str">
        <f>IF(VLOOKUP($B795,Q,14,FALSE)=0,"",(VLOOKUP($B795,Q,14,FALSE)))</f>
        <v/>
      </c>
      <c r="I795" s="2" t="str">
        <f>IF(VLOOKUP($B795,Q,14,FALSE)=0,"",(VLOOKUP($B795,Q,15,FALSE)))</f>
        <v/>
      </c>
      <c r="J795" s="2" t="str">
        <f>IF(VLOOKUP($B795,Q,14,FALSE)=0,"",(VLOOKUP($B795,Q,16,FALSE)))</f>
        <v/>
      </c>
      <c r="K795" s="2" t="str">
        <f>IF(VLOOKUP($B795,Q,14,FALSE)=0,"",(VLOOKUP($B795,Q,17,FALSE)))</f>
        <v/>
      </c>
    </row>
    <row r="796" spans="2:11" x14ac:dyDescent="0.6">
      <c r="B796" s="1">
        <v>799</v>
      </c>
      <c r="C796" s="2" t="str">
        <f>IF(VLOOKUP($B796,Q,2,FALSE)=0,"",(VLOOKUP($B796,Q,2,FALSE)))</f>
        <v/>
      </c>
      <c r="D796" s="2" t="str">
        <f>IF(VLOOKUP($B796,Q,3,FALSE)=0,"",(VLOOKUP($B796,Q,3,FALSE)))</f>
        <v/>
      </c>
      <c r="E796" s="2" t="str">
        <f>IF(VLOOKUP($B796,Q,8,FALSE)=0,"",(VLOOKUP($B796,Q,8,FALSE)))</f>
        <v/>
      </c>
      <c r="F796" s="19" t="str">
        <f>IF(VLOOKUP($B796,Q,9,FALSE)=0,"",(VLOOKUP($B796,Q,9,FALSE)))</f>
        <v/>
      </c>
      <c r="G796" s="2" t="str">
        <f>IF(VLOOKUP($B796,Q,10,FALSE)=0,"",(VLOOKUP($B796,Q,10,FALSE)))</f>
        <v/>
      </c>
      <c r="H796" s="2" t="str">
        <f>IF(VLOOKUP($B796,Q,14,FALSE)=0,"",(VLOOKUP($B796,Q,14,FALSE)))</f>
        <v/>
      </c>
      <c r="I796" s="2" t="str">
        <f>IF(VLOOKUP($B796,Q,14,FALSE)=0,"",(VLOOKUP($B796,Q,15,FALSE)))</f>
        <v/>
      </c>
      <c r="J796" s="2" t="str">
        <f>IF(VLOOKUP($B796,Q,14,FALSE)=0,"",(VLOOKUP($B796,Q,16,FALSE)))</f>
        <v/>
      </c>
      <c r="K796" s="2" t="str">
        <f>IF(VLOOKUP($B796,Q,14,FALSE)=0,"",(VLOOKUP($B796,Q,17,FALSE)))</f>
        <v/>
      </c>
    </row>
    <row r="797" spans="2:11" x14ac:dyDescent="0.6">
      <c r="B797" s="1">
        <v>800</v>
      </c>
      <c r="C797" s="2" t="str">
        <f>IF(VLOOKUP($B797,Q,2,FALSE)=0,"",(VLOOKUP($B797,Q,2,FALSE)))</f>
        <v/>
      </c>
      <c r="D797" s="2" t="str">
        <f>IF(VLOOKUP($B797,Q,3,FALSE)=0,"",(VLOOKUP($B797,Q,3,FALSE)))</f>
        <v/>
      </c>
      <c r="E797" s="2" t="str">
        <f>IF(VLOOKUP($B797,Q,8,FALSE)=0,"",(VLOOKUP($B797,Q,8,FALSE)))</f>
        <v/>
      </c>
      <c r="F797" s="19" t="str">
        <f>IF(VLOOKUP($B797,Q,9,FALSE)=0,"",(VLOOKUP($B797,Q,9,FALSE)))</f>
        <v/>
      </c>
      <c r="G797" s="2" t="str">
        <f>IF(VLOOKUP($B797,Q,10,FALSE)=0,"",(VLOOKUP($B797,Q,10,FALSE)))</f>
        <v/>
      </c>
      <c r="H797" s="2" t="str">
        <f>IF(VLOOKUP($B797,Q,14,FALSE)=0,"",(VLOOKUP($B797,Q,14,FALSE)))</f>
        <v/>
      </c>
      <c r="I797" s="2" t="str">
        <f>IF(VLOOKUP($B797,Q,14,FALSE)=0,"",(VLOOKUP($B797,Q,15,FALSE)))</f>
        <v/>
      </c>
      <c r="J797" s="2" t="str">
        <f>IF(VLOOKUP($B797,Q,14,FALSE)=0,"",(VLOOKUP($B797,Q,16,FALSE)))</f>
        <v/>
      </c>
      <c r="K797" s="2" t="str">
        <f>IF(VLOOKUP($B797,Q,14,FALSE)=0,"",(VLOOKUP($B797,Q,17,FALSE)))</f>
        <v/>
      </c>
    </row>
    <row r="798" spans="2:11" x14ac:dyDescent="0.6">
      <c r="B798" s="1">
        <v>801</v>
      </c>
      <c r="C798" s="2" t="str">
        <f>IF(VLOOKUP($B798,Q,2,FALSE)=0,"",(VLOOKUP($B798,Q,2,FALSE)))</f>
        <v/>
      </c>
      <c r="D798" s="2" t="str">
        <f>IF(VLOOKUP($B798,Q,3,FALSE)=0,"",(VLOOKUP($B798,Q,3,FALSE)))</f>
        <v/>
      </c>
      <c r="E798" s="2" t="str">
        <f>IF(VLOOKUP($B798,Q,8,FALSE)=0,"",(VLOOKUP($B798,Q,8,FALSE)))</f>
        <v/>
      </c>
      <c r="F798" s="19" t="str">
        <f>IF(VLOOKUP($B798,Q,9,FALSE)=0,"",(VLOOKUP($B798,Q,9,FALSE)))</f>
        <v/>
      </c>
      <c r="G798" s="2" t="str">
        <f>IF(VLOOKUP($B798,Q,10,FALSE)=0,"",(VLOOKUP($B798,Q,10,FALSE)))</f>
        <v/>
      </c>
      <c r="H798" s="2" t="str">
        <f>IF(VLOOKUP($B798,Q,14,FALSE)=0,"",(VLOOKUP($B798,Q,14,FALSE)))</f>
        <v/>
      </c>
      <c r="I798" s="2" t="str">
        <f>IF(VLOOKUP($B798,Q,14,FALSE)=0,"",(VLOOKUP($B798,Q,15,FALSE)))</f>
        <v/>
      </c>
      <c r="J798" s="2" t="str">
        <f>IF(VLOOKUP($B798,Q,14,FALSE)=0,"",(VLOOKUP($B798,Q,16,FALSE)))</f>
        <v/>
      </c>
      <c r="K798" s="2" t="str">
        <f>IF(VLOOKUP($B798,Q,14,FALSE)=0,"",(VLOOKUP($B798,Q,17,FALSE)))</f>
        <v/>
      </c>
    </row>
    <row r="799" spans="2:11" x14ac:dyDescent="0.6">
      <c r="B799" s="1">
        <v>802</v>
      </c>
      <c r="C799" s="2" t="str">
        <f>IF(VLOOKUP($B799,Q,2,FALSE)=0,"",(VLOOKUP($B799,Q,2,FALSE)))</f>
        <v/>
      </c>
      <c r="D799" s="2" t="str">
        <f>IF(VLOOKUP($B799,Q,3,FALSE)=0,"",(VLOOKUP($B799,Q,3,FALSE)))</f>
        <v/>
      </c>
      <c r="E799" s="2" t="str">
        <f>IF(VLOOKUP($B799,Q,8,FALSE)=0,"",(VLOOKUP($B799,Q,8,FALSE)))</f>
        <v/>
      </c>
      <c r="F799" s="19" t="str">
        <f>IF(VLOOKUP($B799,Q,9,FALSE)=0,"",(VLOOKUP($B799,Q,9,FALSE)))</f>
        <v/>
      </c>
      <c r="G799" s="2" t="str">
        <f>IF(VLOOKUP($B799,Q,10,FALSE)=0,"",(VLOOKUP($B799,Q,10,FALSE)))</f>
        <v/>
      </c>
      <c r="H799" s="2" t="str">
        <f>IF(VLOOKUP($B799,Q,14,FALSE)=0,"",(VLOOKUP($B799,Q,14,FALSE)))</f>
        <v/>
      </c>
      <c r="I799" s="2" t="str">
        <f>IF(VLOOKUP($B799,Q,14,FALSE)=0,"",(VLOOKUP($B799,Q,15,FALSE)))</f>
        <v/>
      </c>
      <c r="J799" s="2" t="str">
        <f>IF(VLOOKUP($B799,Q,14,FALSE)=0,"",(VLOOKUP($B799,Q,16,FALSE)))</f>
        <v/>
      </c>
      <c r="K799" s="2" t="str">
        <f>IF(VLOOKUP($B799,Q,14,FALSE)=0,"",(VLOOKUP($B799,Q,17,FALSE)))</f>
        <v/>
      </c>
    </row>
    <row r="800" spans="2:11" x14ac:dyDescent="0.6">
      <c r="B800" s="1">
        <v>803</v>
      </c>
      <c r="C800" s="2" t="str">
        <f>IF(VLOOKUP($B800,Q,2,FALSE)=0,"",(VLOOKUP($B800,Q,2,FALSE)))</f>
        <v/>
      </c>
      <c r="D800" s="2" t="str">
        <f>IF(VLOOKUP($B800,Q,3,FALSE)=0,"",(VLOOKUP($B800,Q,3,FALSE)))</f>
        <v/>
      </c>
      <c r="E800" s="2" t="str">
        <f>IF(VLOOKUP($B800,Q,8,FALSE)=0,"",(VLOOKUP($B800,Q,8,FALSE)))</f>
        <v/>
      </c>
      <c r="F800" s="19" t="str">
        <f>IF(VLOOKUP($B800,Q,9,FALSE)=0,"",(VLOOKUP($B800,Q,9,FALSE)))</f>
        <v/>
      </c>
      <c r="G800" s="2" t="str">
        <f>IF(VLOOKUP($B800,Q,10,FALSE)=0,"",(VLOOKUP($B800,Q,10,FALSE)))</f>
        <v/>
      </c>
      <c r="H800" s="2" t="str">
        <f>IF(VLOOKUP($B800,Q,14,FALSE)=0,"",(VLOOKUP($B800,Q,14,FALSE)))</f>
        <v/>
      </c>
      <c r="I800" s="2" t="str">
        <f>IF(VLOOKUP($B800,Q,14,FALSE)=0,"",(VLOOKUP($B800,Q,15,FALSE)))</f>
        <v/>
      </c>
      <c r="J800" s="2" t="str">
        <f>IF(VLOOKUP($B800,Q,14,FALSE)=0,"",(VLOOKUP($B800,Q,16,FALSE)))</f>
        <v/>
      </c>
      <c r="K800" s="2" t="str">
        <f>IF(VLOOKUP($B800,Q,14,FALSE)=0,"",(VLOOKUP($B800,Q,17,FALSE)))</f>
        <v/>
      </c>
    </row>
    <row r="801" spans="2:11" x14ac:dyDescent="0.6">
      <c r="B801" s="1">
        <v>804</v>
      </c>
      <c r="C801" s="2" t="str">
        <f>IF(VLOOKUP($B801,Q,2,FALSE)=0,"",(VLOOKUP($B801,Q,2,FALSE)))</f>
        <v/>
      </c>
      <c r="D801" s="2" t="str">
        <f>IF(VLOOKUP($B801,Q,3,FALSE)=0,"",(VLOOKUP($B801,Q,3,FALSE)))</f>
        <v/>
      </c>
      <c r="E801" s="2" t="str">
        <f>IF(VLOOKUP($B801,Q,8,FALSE)=0,"",(VLOOKUP($B801,Q,8,FALSE)))</f>
        <v/>
      </c>
      <c r="F801" s="19" t="str">
        <f>IF(VLOOKUP($B801,Q,9,FALSE)=0,"",(VLOOKUP($B801,Q,9,FALSE)))</f>
        <v/>
      </c>
      <c r="G801" s="2" t="str">
        <f>IF(VLOOKUP($B801,Q,10,FALSE)=0,"",(VLOOKUP($B801,Q,10,FALSE)))</f>
        <v/>
      </c>
      <c r="H801" s="2" t="str">
        <f>IF(VLOOKUP($B801,Q,14,FALSE)=0,"",(VLOOKUP($B801,Q,14,FALSE)))</f>
        <v/>
      </c>
      <c r="I801" s="2" t="str">
        <f>IF(VLOOKUP($B801,Q,14,FALSE)=0,"",(VLOOKUP($B801,Q,15,FALSE)))</f>
        <v/>
      </c>
      <c r="J801" s="2" t="str">
        <f>IF(VLOOKUP($B801,Q,14,FALSE)=0,"",(VLOOKUP($B801,Q,16,FALSE)))</f>
        <v/>
      </c>
      <c r="K801" s="2" t="str">
        <f>IF(VLOOKUP($B801,Q,14,FALSE)=0,"",(VLOOKUP($B801,Q,17,FALSE)))</f>
        <v/>
      </c>
    </row>
    <row r="802" spans="2:11" x14ac:dyDescent="0.6">
      <c r="B802" s="1">
        <v>805</v>
      </c>
      <c r="C802" s="2" t="str">
        <f>IF(VLOOKUP($B802,Q,2,FALSE)=0,"",(VLOOKUP($B802,Q,2,FALSE)))</f>
        <v/>
      </c>
      <c r="D802" s="2" t="str">
        <f>IF(VLOOKUP($B802,Q,3,FALSE)=0,"",(VLOOKUP($B802,Q,3,FALSE)))</f>
        <v/>
      </c>
      <c r="E802" s="2" t="str">
        <f>IF(VLOOKUP($B802,Q,8,FALSE)=0,"",(VLOOKUP($B802,Q,8,FALSE)))</f>
        <v/>
      </c>
      <c r="F802" s="19" t="str">
        <f>IF(VLOOKUP($B802,Q,9,FALSE)=0,"",(VLOOKUP($B802,Q,9,FALSE)))</f>
        <v/>
      </c>
      <c r="G802" s="2" t="str">
        <f>IF(VLOOKUP($B802,Q,10,FALSE)=0,"",(VLOOKUP($B802,Q,10,FALSE)))</f>
        <v/>
      </c>
      <c r="H802" s="2" t="str">
        <f>IF(VLOOKUP($B802,Q,14,FALSE)=0,"",(VLOOKUP($B802,Q,14,FALSE)))</f>
        <v/>
      </c>
      <c r="I802" s="2" t="str">
        <f>IF(VLOOKUP($B802,Q,14,FALSE)=0,"",(VLOOKUP($B802,Q,15,FALSE)))</f>
        <v/>
      </c>
      <c r="J802" s="2" t="str">
        <f>IF(VLOOKUP($B802,Q,14,FALSE)=0,"",(VLOOKUP($B802,Q,16,FALSE)))</f>
        <v/>
      </c>
      <c r="K802" s="2" t="str">
        <f>IF(VLOOKUP($B802,Q,14,FALSE)=0,"",(VLOOKUP($B802,Q,17,FALSE)))</f>
        <v/>
      </c>
    </row>
    <row r="803" spans="2:11" x14ac:dyDescent="0.6">
      <c r="B803" s="1">
        <v>806</v>
      </c>
      <c r="C803" s="2" t="str">
        <f>IF(VLOOKUP($B803,Q,2,FALSE)=0,"",(VLOOKUP($B803,Q,2,FALSE)))</f>
        <v/>
      </c>
      <c r="D803" s="2" t="str">
        <f>IF(VLOOKUP($B803,Q,3,FALSE)=0,"",(VLOOKUP($B803,Q,3,FALSE)))</f>
        <v/>
      </c>
      <c r="E803" s="2" t="str">
        <f>IF(VLOOKUP($B803,Q,8,FALSE)=0,"",(VLOOKUP($B803,Q,8,FALSE)))</f>
        <v/>
      </c>
      <c r="F803" s="19" t="str">
        <f>IF(VLOOKUP($B803,Q,9,FALSE)=0,"",(VLOOKUP($B803,Q,9,FALSE)))</f>
        <v/>
      </c>
      <c r="G803" s="2" t="str">
        <f>IF(VLOOKUP($B803,Q,10,FALSE)=0,"",(VLOOKUP($B803,Q,10,FALSE)))</f>
        <v/>
      </c>
      <c r="H803" s="2" t="str">
        <f>IF(VLOOKUP($B803,Q,14,FALSE)=0,"",(VLOOKUP($B803,Q,14,FALSE)))</f>
        <v/>
      </c>
      <c r="I803" s="2" t="str">
        <f>IF(VLOOKUP($B803,Q,14,FALSE)=0,"",(VLOOKUP($B803,Q,15,FALSE)))</f>
        <v/>
      </c>
      <c r="J803" s="2" t="str">
        <f>IF(VLOOKUP($B803,Q,14,FALSE)=0,"",(VLOOKUP($B803,Q,16,FALSE)))</f>
        <v/>
      </c>
      <c r="K803" s="2" t="str">
        <f>IF(VLOOKUP($B803,Q,14,FALSE)=0,"",(VLOOKUP($B803,Q,17,FALSE)))</f>
        <v/>
      </c>
    </row>
    <row r="804" spans="2:11" x14ac:dyDescent="0.6">
      <c r="B804" s="1">
        <v>807</v>
      </c>
      <c r="C804" s="2" t="str">
        <f>IF(VLOOKUP($B804,Q,2,FALSE)=0,"",(VLOOKUP($B804,Q,2,FALSE)))</f>
        <v/>
      </c>
      <c r="D804" s="2" t="str">
        <f>IF(VLOOKUP($B804,Q,3,FALSE)=0,"",(VLOOKUP($B804,Q,3,FALSE)))</f>
        <v/>
      </c>
      <c r="E804" s="2" t="str">
        <f>IF(VLOOKUP($B804,Q,8,FALSE)=0,"",(VLOOKUP($B804,Q,8,FALSE)))</f>
        <v/>
      </c>
      <c r="F804" s="19" t="str">
        <f>IF(VLOOKUP($B804,Q,9,FALSE)=0,"",(VLOOKUP($B804,Q,9,FALSE)))</f>
        <v/>
      </c>
      <c r="G804" s="2" t="str">
        <f>IF(VLOOKUP($B804,Q,10,FALSE)=0,"",(VLOOKUP($B804,Q,10,FALSE)))</f>
        <v/>
      </c>
      <c r="H804" s="2" t="str">
        <f>IF(VLOOKUP($B804,Q,14,FALSE)=0,"",(VLOOKUP($B804,Q,14,FALSE)))</f>
        <v/>
      </c>
      <c r="I804" s="2" t="str">
        <f>IF(VLOOKUP($B804,Q,14,FALSE)=0,"",(VLOOKUP($B804,Q,15,FALSE)))</f>
        <v/>
      </c>
      <c r="J804" s="2" t="str">
        <f>IF(VLOOKUP($B804,Q,14,FALSE)=0,"",(VLOOKUP($B804,Q,16,FALSE)))</f>
        <v/>
      </c>
      <c r="K804" s="2" t="str">
        <f>IF(VLOOKUP($B804,Q,14,FALSE)=0,"",(VLOOKUP($B804,Q,17,FALSE)))</f>
        <v/>
      </c>
    </row>
    <row r="805" spans="2:11" x14ac:dyDescent="0.6">
      <c r="B805" s="1">
        <v>808</v>
      </c>
      <c r="C805" s="2" t="str">
        <f>IF(VLOOKUP($B805,Q,2,FALSE)=0,"",(VLOOKUP($B805,Q,2,FALSE)))</f>
        <v/>
      </c>
      <c r="D805" s="2" t="str">
        <f>IF(VLOOKUP($B805,Q,3,FALSE)=0,"",(VLOOKUP($B805,Q,3,FALSE)))</f>
        <v/>
      </c>
      <c r="E805" s="2" t="str">
        <f>IF(VLOOKUP($B805,Q,8,FALSE)=0,"",(VLOOKUP($B805,Q,8,FALSE)))</f>
        <v/>
      </c>
      <c r="F805" s="19" t="str">
        <f>IF(VLOOKUP($B805,Q,9,FALSE)=0,"",(VLOOKUP($B805,Q,9,FALSE)))</f>
        <v/>
      </c>
      <c r="G805" s="2" t="str">
        <f>IF(VLOOKUP($B805,Q,10,FALSE)=0,"",(VLOOKUP($B805,Q,10,FALSE)))</f>
        <v/>
      </c>
      <c r="H805" s="2" t="str">
        <f>IF(VLOOKUP($B805,Q,14,FALSE)=0,"",(VLOOKUP($B805,Q,14,FALSE)))</f>
        <v/>
      </c>
      <c r="I805" s="2" t="str">
        <f>IF(VLOOKUP($B805,Q,14,FALSE)=0,"",(VLOOKUP($B805,Q,15,FALSE)))</f>
        <v/>
      </c>
      <c r="J805" s="2" t="str">
        <f>IF(VLOOKUP($B805,Q,14,FALSE)=0,"",(VLOOKUP($B805,Q,16,FALSE)))</f>
        <v/>
      </c>
      <c r="K805" s="2" t="str">
        <f>IF(VLOOKUP($B805,Q,14,FALSE)=0,"",(VLOOKUP($B805,Q,17,FALSE)))</f>
        <v/>
      </c>
    </row>
    <row r="806" spans="2:11" x14ac:dyDescent="0.6">
      <c r="B806" s="1">
        <v>809</v>
      </c>
      <c r="C806" s="2" t="str">
        <f>IF(VLOOKUP($B806,Q,2,FALSE)=0,"",(VLOOKUP($B806,Q,2,FALSE)))</f>
        <v/>
      </c>
      <c r="D806" s="2" t="str">
        <f>IF(VLOOKUP($B806,Q,3,FALSE)=0,"",(VLOOKUP($B806,Q,3,FALSE)))</f>
        <v/>
      </c>
      <c r="E806" s="2" t="str">
        <f>IF(VLOOKUP($B806,Q,8,FALSE)=0,"",(VLOOKUP($B806,Q,8,FALSE)))</f>
        <v/>
      </c>
      <c r="F806" s="19" t="str">
        <f>IF(VLOOKUP($B806,Q,9,FALSE)=0,"",(VLOOKUP($B806,Q,9,FALSE)))</f>
        <v/>
      </c>
      <c r="G806" s="2" t="str">
        <f>IF(VLOOKUP($B806,Q,10,FALSE)=0,"",(VLOOKUP($B806,Q,10,FALSE)))</f>
        <v/>
      </c>
      <c r="H806" s="2" t="str">
        <f>IF(VLOOKUP($B806,Q,14,FALSE)=0,"",(VLOOKUP($B806,Q,14,FALSE)))</f>
        <v/>
      </c>
      <c r="I806" s="2" t="str">
        <f>IF(VLOOKUP($B806,Q,14,FALSE)=0,"",(VLOOKUP($B806,Q,15,FALSE)))</f>
        <v/>
      </c>
      <c r="J806" s="2" t="str">
        <f>IF(VLOOKUP($B806,Q,14,FALSE)=0,"",(VLOOKUP($B806,Q,16,FALSE)))</f>
        <v/>
      </c>
      <c r="K806" s="2" t="str">
        <f>IF(VLOOKUP($B806,Q,14,FALSE)=0,"",(VLOOKUP($B806,Q,17,FALSE)))</f>
        <v/>
      </c>
    </row>
    <row r="807" spans="2:11" x14ac:dyDescent="0.6">
      <c r="B807" s="1">
        <v>810</v>
      </c>
      <c r="C807" s="2" t="str">
        <f>IF(VLOOKUP($B807,Q,2,FALSE)=0,"",(VLOOKUP($B807,Q,2,FALSE)))</f>
        <v/>
      </c>
      <c r="D807" s="2" t="str">
        <f>IF(VLOOKUP($B807,Q,3,FALSE)=0,"",(VLOOKUP($B807,Q,3,FALSE)))</f>
        <v/>
      </c>
      <c r="E807" s="2" t="str">
        <f>IF(VLOOKUP($B807,Q,8,FALSE)=0,"",(VLOOKUP($B807,Q,8,FALSE)))</f>
        <v/>
      </c>
      <c r="F807" s="19" t="str">
        <f>IF(VLOOKUP($B807,Q,9,FALSE)=0,"",(VLOOKUP($B807,Q,9,FALSE)))</f>
        <v/>
      </c>
      <c r="G807" s="2" t="str">
        <f>IF(VLOOKUP($B807,Q,10,FALSE)=0,"",(VLOOKUP($B807,Q,10,FALSE)))</f>
        <v/>
      </c>
      <c r="H807" s="2" t="str">
        <f>IF(VLOOKUP($B807,Q,14,FALSE)=0,"",(VLOOKUP($B807,Q,14,FALSE)))</f>
        <v/>
      </c>
      <c r="I807" s="2" t="str">
        <f>IF(VLOOKUP($B807,Q,14,FALSE)=0,"",(VLOOKUP($B807,Q,15,FALSE)))</f>
        <v/>
      </c>
      <c r="J807" s="2" t="str">
        <f>IF(VLOOKUP($B807,Q,14,FALSE)=0,"",(VLOOKUP($B807,Q,16,FALSE)))</f>
        <v/>
      </c>
      <c r="K807" s="2" t="str">
        <f>IF(VLOOKUP($B807,Q,14,FALSE)=0,"",(VLOOKUP($B807,Q,17,FALSE)))</f>
        <v/>
      </c>
    </row>
    <row r="808" spans="2:11" x14ac:dyDescent="0.6">
      <c r="B808" s="1">
        <v>811</v>
      </c>
      <c r="C808" s="2" t="str">
        <f>IF(VLOOKUP($B808,Q,2,FALSE)=0,"",(VLOOKUP($B808,Q,2,FALSE)))</f>
        <v/>
      </c>
      <c r="D808" s="2" t="str">
        <f>IF(VLOOKUP($B808,Q,3,FALSE)=0,"",(VLOOKUP($B808,Q,3,FALSE)))</f>
        <v/>
      </c>
      <c r="E808" s="2" t="str">
        <f>IF(VLOOKUP($B808,Q,8,FALSE)=0,"",(VLOOKUP($B808,Q,8,FALSE)))</f>
        <v/>
      </c>
      <c r="F808" s="19" t="str">
        <f>IF(VLOOKUP($B808,Q,9,FALSE)=0,"",(VLOOKUP($B808,Q,9,FALSE)))</f>
        <v/>
      </c>
      <c r="G808" s="2" t="str">
        <f>IF(VLOOKUP($B808,Q,10,FALSE)=0,"",(VLOOKUP($B808,Q,10,FALSE)))</f>
        <v/>
      </c>
      <c r="H808" s="2" t="str">
        <f>IF(VLOOKUP($B808,Q,14,FALSE)=0,"",(VLOOKUP($B808,Q,14,FALSE)))</f>
        <v/>
      </c>
      <c r="I808" s="2" t="str">
        <f>IF(VLOOKUP($B808,Q,14,FALSE)=0,"",(VLOOKUP($B808,Q,15,FALSE)))</f>
        <v/>
      </c>
      <c r="J808" s="2" t="str">
        <f>IF(VLOOKUP($B808,Q,14,FALSE)=0,"",(VLOOKUP($B808,Q,16,FALSE)))</f>
        <v/>
      </c>
      <c r="K808" s="2" t="str">
        <f>IF(VLOOKUP($B808,Q,14,FALSE)=0,"",(VLOOKUP($B808,Q,17,FALSE)))</f>
        <v/>
      </c>
    </row>
    <row r="809" spans="2:11" x14ac:dyDescent="0.6">
      <c r="B809" s="1">
        <v>812</v>
      </c>
      <c r="C809" s="2" t="str">
        <f>IF(VLOOKUP($B809,Q,2,FALSE)=0,"",(VLOOKUP($B809,Q,2,FALSE)))</f>
        <v/>
      </c>
      <c r="D809" s="2" t="str">
        <f>IF(VLOOKUP($B809,Q,3,FALSE)=0,"",(VLOOKUP($B809,Q,3,FALSE)))</f>
        <v/>
      </c>
      <c r="E809" s="2" t="str">
        <f>IF(VLOOKUP($B809,Q,8,FALSE)=0,"",(VLOOKUP($B809,Q,8,FALSE)))</f>
        <v/>
      </c>
      <c r="F809" s="19" t="str">
        <f>IF(VLOOKUP($B809,Q,9,FALSE)=0,"",(VLOOKUP($B809,Q,9,FALSE)))</f>
        <v/>
      </c>
      <c r="G809" s="2" t="str">
        <f>IF(VLOOKUP($B809,Q,10,FALSE)=0,"",(VLOOKUP($B809,Q,10,FALSE)))</f>
        <v/>
      </c>
      <c r="H809" s="2" t="str">
        <f>IF(VLOOKUP($B809,Q,14,FALSE)=0,"",(VLOOKUP($B809,Q,14,FALSE)))</f>
        <v/>
      </c>
      <c r="I809" s="2" t="str">
        <f>IF(VLOOKUP($B809,Q,14,FALSE)=0,"",(VLOOKUP($B809,Q,15,FALSE)))</f>
        <v/>
      </c>
      <c r="J809" s="2" t="str">
        <f>IF(VLOOKUP($B809,Q,14,FALSE)=0,"",(VLOOKUP($B809,Q,16,FALSE)))</f>
        <v/>
      </c>
      <c r="K809" s="2" t="str">
        <f>IF(VLOOKUP($B809,Q,14,FALSE)=0,"",(VLOOKUP($B809,Q,17,FALSE)))</f>
        <v/>
      </c>
    </row>
    <row r="810" spans="2:11" x14ac:dyDescent="0.6">
      <c r="B810" s="1">
        <v>813</v>
      </c>
      <c r="C810" s="2" t="str">
        <f>IF(VLOOKUP($B810,Q,2,FALSE)=0,"",(VLOOKUP($B810,Q,2,FALSE)))</f>
        <v/>
      </c>
      <c r="D810" s="2" t="str">
        <f>IF(VLOOKUP($B810,Q,3,FALSE)=0,"",(VLOOKUP($B810,Q,3,FALSE)))</f>
        <v/>
      </c>
      <c r="E810" s="2" t="str">
        <f>IF(VLOOKUP($B810,Q,8,FALSE)=0,"",(VLOOKUP($B810,Q,8,FALSE)))</f>
        <v/>
      </c>
      <c r="F810" s="19" t="str">
        <f>IF(VLOOKUP($B810,Q,9,FALSE)=0,"",(VLOOKUP($B810,Q,9,FALSE)))</f>
        <v/>
      </c>
      <c r="G810" s="2" t="str">
        <f>IF(VLOOKUP($B810,Q,10,FALSE)=0,"",(VLOOKUP($B810,Q,10,FALSE)))</f>
        <v/>
      </c>
      <c r="H810" s="2" t="str">
        <f>IF(VLOOKUP($B810,Q,14,FALSE)=0,"",(VLOOKUP($B810,Q,14,FALSE)))</f>
        <v/>
      </c>
      <c r="I810" s="2" t="str">
        <f>IF(VLOOKUP($B810,Q,14,FALSE)=0,"",(VLOOKUP($B810,Q,15,FALSE)))</f>
        <v/>
      </c>
      <c r="J810" s="2" t="str">
        <f>IF(VLOOKUP($B810,Q,14,FALSE)=0,"",(VLOOKUP($B810,Q,16,FALSE)))</f>
        <v/>
      </c>
      <c r="K810" s="2" t="str">
        <f>IF(VLOOKUP($B810,Q,14,FALSE)=0,"",(VLOOKUP($B810,Q,17,FALSE)))</f>
        <v/>
      </c>
    </row>
    <row r="811" spans="2:11" x14ac:dyDescent="0.6">
      <c r="B811" s="1">
        <v>814</v>
      </c>
      <c r="C811" s="2" t="str">
        <f>IF(VLOOKUP($B811,Q,2,FALSE)=0,"",(VLOOKUP($B811,Q,2,FALSE)))</f>
        <v/>
      </c>
      <c r="D811" s="2" t="str">
        <f>IF(VLOOKUP($B811,Q,3,FALSE)=0,"",(VLOOKUP($B811,Q,3,FALSE)))</f>
        <v/>
      </c>
      <c r="E811" s="2" t="str">
        <f>IF(VLOOKUP($B811,Q,8,FALSE)=0,"",(VLOOKUP($B811,Q,8,FALSE)))</f>
        <v/>
      </c>
      <c r="F811" s="19" t="str">
        <f>IF(VLOOKUP($B811,Q,9,FALSE)=0,"",(VLOOKUP($B811,Q,9,FALSE)))</f>
        <v/>
      </c>
      <c r="G811" s="2" t="str">
        <f>IF(VLOOKUP($B811,Q,10,FALSE)=0,"",(VLOOKUP($B811,Q,10,FALSE)))</f>
        <v/>
      </c>
      <c r="H811" s="2" t="str">
        <f>IF(VLOOKUP($B811,Q,14,FALSE)=0,"",(VLOOKUP($B811,Q,14,FALSE)))</f>
        <v/>
      </c>
      <c r="I811" s="2" t="str">
        <f>IF(VLOOKUP($B811,Q,14,FALSE)=0,"",(VLOOKUP($B811,Q,15,FALSE)))</f>
        <v/>
      </c>
      <c r="J811" s="2" t="str">
        <f>IF(VLOOKUP($B811,Q,14,FALSE)=0,"",(VLOOKUP($B811,Q,16,FALSE)))</f>
        <v/>
      </c>
      <c r="K811" s="2" t="str">
        <f>IF(VLOOKUP($B811,Q,14,FALSE)=0,"",(VLOOKUP($B811,Q,17,FALSE)))</f>
        <v/>
      </c>
    </row>
    <row r="812" spans="2:11" x14ac:dyDescent="0.6">
      <c r="B812" s="1">
        <v>815</v>
      </c>
      <c r="C812" s="2" t="str">
        <f>IF(VLOOKUP($B812,Q,2,FALSE)=0,"",(VLOOKUP($B812,Q,2,FALSE)))</f>
        <v/>
      </c>
      <c r="D812" s="2" t="str">
        <f>IF(VLOOKUP($B812,Q,3,FALSE)=0,"",(VLOOKUP($B812,Q,3,FALSE)))</f>
        <v/>
      </c>
      <c r="E812" s="2" t="str">
        <f>IF(VLOOKUP($B812,Q,8,FALSE)=0,"",(VLOOKUP($B812,Q,8,FALSE)))</f>
        <v/>
      </c>
      <c r="F812" s="19" t="str">
        <f>IF(VLOOKUP($B812,Q,9,FALSE)=0,"",(VLOOKUP($B812,Q,9,FALSE)))</f>
        <v/>
      </c>
      <c r="G812" s="2" t="str">
        <f>IF(VLOOKUP($B812,Q,10,FALSE)=0,"",(VLOOKUP($B812,Q,10,FALSE)))</f>
        <v/>
      </c>
      <c r="H812" s="2" t="str">
        <f>IF(VLOOKUP($B812,Q,14,FALSE)=0,"",(VLOOKUP($B812,Q,14,FALSE)))</f>
        <v/>
      </c>
      <c r="I812" s="2" t="str">
        <f>IF(VLOOKUP($B812,Q,14,FALSE)=0,"",(VLOOKUP($B812,Q,15,FALSE)))</f>
        <v/>
      </c>
      <c r="J812" s="2" t="str">
        <f>IF(VLOOKUP($B812,Q,14,FALSE)=0,"",(VLOOKUP($B812,Q,16,FALSE)))</f>
        <v/>
      </c>
      <c r="K812" s="2" t="str">
        <f>IF(VLOOKUP($B812,Q,14,FALSE)=0,"",(VLOOKUP($B812,Q,17,FALSE)))</f>
        <v/>
      </c>
    </row>
    <row r="813" spans="2:11" x14ac:dyDescent="0.6">
      <c r="B813" s="1">
        <v>816</v>
      </c>
      <c r="C813" s="2" t="str">
        <f>IF(VLOOKUP($B813,Q,2,FALSE)=0,"",(VLOOKUP($B813,Q,2,FALSE)))</f>
        <v/>
      </c>
      <c r="D813" s="2" t="str">
        <f>IF(VLOOKUP($B813,Q,3,FALSE)=0,"",(VLOOKUP($B813,Q,3,FALSE)))</f>
        <v/>
      </c>
      <c r="E813" s="2" t="str">
        <f>IF(VLOOKUP($B813,Q,8,FALSE)=0,"",(VLOOKUP($B813,Q,8,FALSE)))</f>
        <v/>
      </c>
      <c r="F813" s="19" t="str">
        <f>IF(VLOOKUP($B813,Q,9,FALSE)=0,"",(VLOOKUP($B813,Q,9,FALSE)))</f>
        <v/>
      </c>
      <c r="G813" s="2" t="str">
        <f>IF(VLOOKUP($B813,Q,10,FALSE)=0,"",(VLOOKUP($B813,Q,10,FALSE)))</f>
        <v/>
      </c>
      <c r="H813" s="2" t="str">
        <f>IF(VLOOKUP($B813,Q,14,FALSE)=0,"",(VLOOKUP($B813,Q,14,FALSE)))</f>
        <v/>
      </c>
      <c r="I813" s="2" t="str">
        <f>IF(VLOOKUP($B813,Q,14,FALSE)=0,"",(VLOOKUP($B813,Q,15,FALSE)))</f>
        <v/>
      </c>
      <c r="J813" s="2" t="str">
        <f>IF(VLOOKUP($B813,Q,14,FALSE)=0,"",(VLOOKUP($B813,Q,16,FALSE)))</f>
        <v/>
      </c>
      <c r="K813" s="2" t="str">
        <f>IF(VLOOKUP($B813,Q,14,FALSE)=0,"",(VLOOKUP($B813,Q,17,FALSE)))</f>
        <v/>
      </c>
    </row>
    <row r="814" spans="2:11" x14ac:dyDescent="0.6">
      <c r="B814" s="1">
        <v>817</v>
      </c>
      <c r="C814" s="2" t="str">
        <f>IF(VLOOKUP($B814,Q,2,FALSE)=0,"",(VLOOKUP($B814,Q,2,FALSE)))</f>
        <v/>
      </c>
      <c r="D814" s="2" t="str">
        <f>IF(VLOOKUP($B814,Q,3,FALSE)=0,"",(VLOOKUP($B814,Q,3,FALSE)))</f>
        <v/>
      </c>
      <c r="E814" s="2" t="str">
        <f>IF(VLOOKUP($B814,Q,8,FALSE)=0,"",(VLOOKUP($B814,Q,8,FALSE)))</f>
        <v/>
      </c>
      <c r="F814" s="19" t="str">
        <f>IF(VLOOKUP($B814,Q,9,FALSE)=0,"",(VLOOKUP($B814,Q,9,FALSE)))</f>
        <v/>
      </c>
      <c r="G814" s="2" t="str">
        <f>IF(VLOOKUP($B814,Q,10,FALSE)=0,"",(VLOOKUP($B814,Q,10,FALSE)))</f>
        <v/>
      </c>
      <c r="H814" s="2" t="str">
        <f>IF(VLOOKUP($B814,Q,14,FALSE)=0,"",(VLOOKUP($B814,Q,14,FALSE)))</f>
        <v/>
      </c>
      <c r="I814" s="2" t="str">
        <f>IF(VLOOKUP($B814,Q,14,FALSE)=0,"",(VLOOKUP($B814,Q,15,FALSE)))</f>
        <v/>
      </c>
      <c r="J814" s="2" t="str">
        <f>IF(VLOOKUP($B814,Q,14,FALSE)=0,"",(VLOOKUP($B814,Q,16,FALSE)))</f>
        <v/>
      </c>
      <c r="K814" s="2" t="str">
        <f>IF(VLOOKUP($B814,Q,14,FALSE)=0,"",(VLOOKUP($B814,Q,17,FALSE)))</f>
        <v/>
      </c>
    </row>
    <row r="815" spans="2:11" x14ac:dyDescent="0.6">
      <c r="B815" s="1">
        <v>818</v>
      </c>
      <c r="C815" s="2" t="str">
        <f>IF(VLOOKUP($B815,Q,2,FALSE)=0,"",(VLOOKUP($B815,Q,2,FALSE)))</f>
        <v/>
      </c>
      <c r="D815" s="2" t="str">
        <f>IF(VLOOKUP($B815,Q,3,FALSE)=0,"",(VLOOKUP($B815,Q,3,FALSE)))</f>
        <v/>
      </c>
      <c r="E815" s="2" t="str">
        <f>IF(VLOOKUP($B815,Q,8,FALSE)=0,"",(VLOOKUP($B815,Q,8,FALSE)))</f>
        <v/>
      </c>
      <c r="F815" s="19" t="str">
        <f>IF(VLOOKUP($B815,Q,9,FALSE)=0,"",(VLOOKUP($B815,Q,9,FALSE)))</f>
        <v/>
      </c>
      <c r="G815" s="2" t="str">
        <f>IF(VLOOKUP($B815,Q,10,FALSE)=0,"",(VLOOKUP($B815,Q,10,FALSE)))</f>
        <v/>
      </c>
      <c r="H815" s="2" t="str">
        <f>IF(VLOOKUP($B815,Q,14,FALSE)=0,"",(VLOOKUP($B815,Q,14,FALSE)))</f>
        <v/>
      </c>
      <c r="I815" s="2" t="str">
        <f>IF(VLOOKUP($B815,Q,14,FALSE)=0,"",(VLOOKUP($B815,Q,15,FALSE)))</f>
        <v/>
      </c>
      <c r="J815" s="2" t="str">
        <f>IF(VLOOKUP($B815,Q,14,FALSE)=0,"",(VLOOKUP($B815,Q,16,FALSE)))</f>
        <v/>
      </c>
      <c r="K815" s="2" t="str">
        <f>IF(VLOOKUP($B815,Q,14,FALSE)=0,"",(VLOOKUP($B815,Q,17,FALSE)))</f>
        <v/>
      </c>
    </row>
    <row r="816" spans="2:11" x14ac:dyDescent="0.6">
      <c r="B816" s="1">
        <v>819</v>
      </c>
      <c r="C816" s="2" t="str">
        <f>IF(VLOOKUP($B816,Q,2,FALSE)=0,"",(VLOOKUP($B816,Q,2,FALSE)))</f>
        <v/>
      </c>
      <c r="D816" s="2" t="str">
        <f>IF(VLOOKUP($B816,Q,3,FALSE)=0,"",(VLOOKUP($B816,Q,3,FALSE)))</f>
        <v/>
      </c>
      <c r="E816" s="2" t="str">
        <f>IF(VLOOKUP($B816,Q,8,FALSE)=0,"",(VLOOKUP($B816,Q,8,FALSE)))</f>
        <v/>
      </c>
      <c r="F816" s="19" t="str">
        <f>IF(VLOOKUP($B816,Q,9,FALSE)=0,"",(VLOOKUP($B816,Q,9,FALSE)))</f>
        <v/>
      </c>
      <c r="G816" s="2" t="str">
        <f>IF(VLOOKUP($B816,Q,10,FALSE)=0,"",(VLOOKUP($B816,Q,10,FALSE)))</f>
        <v/>
      </c>
      <c r="H816" s="2" t="str">
        <f>IF(VLOOKUP($B816,Q,14,FALSE)=0,"",(VLOOKUP($B816,Q,14,FALSE)))</f>
        <v/>
      </c>
      <c r="I816" s="2" t="str">
        <f>IF(VLOOKUP($B816,Q,14,FALSE)=0,"",(VLOOKUP($B816,Q,15,FALSE)))</f>
        <v/>
      </c>
      <c r="J816" s="2" t="str">
        <f>IF(VLOOKUP($B816,Q,14,FALSE)=0,"",(VLOOKUP($B816,Q,16,FALSE)))</f>
        <v/>
      </c>
      <c r="K816" s="2" t="str">
        <f>IF(VLOOKUP($B816,Q,14,FALSE)=0,"",(VLOOKUP($B816,Q,17,FALSE)))</f>
        <v/>
      </c>
    </row>
    <row r="817" spans="2:11" x14ac:dyDescent="0.6">
      <c r="B817" s="1">
        <v>820</v>
      </c>
      <c r="C817" s="2" t="str">
        <f>IF(VLOOKUP($B817,Q,2,FALSE)=0,"",(VLOOKUP($B817,Q,2,FALSE)))</f>
        <v/>
      </c>
      <c r="D817" s="2" t="str">
        <f>IF(VLOOKUP($B817,Q,3,FALSE)=0,"",(VLOOKUP($B817,Q,3,FALSE)))</f>
        <v/>
      </c>
      <c r="E817" s="2" t="str">
        <f>IF(VLOOKUP($B817,Q,8,FALSE)=0,"",(VLOOKUP($B817,Q,8,FALSE)))</f>
        <v/>
      </c>
      <c r="F817" s="19" t="str">
        <f>IF(VLOOKUP($B817,Q,9,FALSE)=0,"",(VLOOKUP($B817,Q,9,FALSE)))</f>
        <v/>
      </c>
      <c r="G817" s="2" t="str">
        <f>IF(VLOOKUP($B817,Q,10,FALSE)=0,"",(VLOOKUP($B817,Q,10,FALSE)))</f>
        <v/>
      </c>
      <c r="H817" s="2" t="str">
        <f>IF(VLOOKUP($B817,Q,14,FALSE)=0,"",(VLOOKUP($B817,Q,14,FALSE)))</f>
        <v/>
      </c>
      <c r="I817" s="2" t="str">
        <f>IF(VLOOKUP($B817,Q,14,FALSE)=0,"",(VLOOKUP($B817,Q,15,FALSE)))</f>
        <v/>
      </c>
      <c r="J817" s="2" t="str">
        <f>IF(VLOOKUP($B817,Q,14,FALSE)=0,"",(VLOOKUP($B817,Q,16,FALSE)))</f>
        <v/>
      </c>
      <c r="K817" s="2" t="str">
        <f>IF(VLOOKUP($B817,Q,14,FALSE)=0,"",(VLOOKUP($B817,Q,17,FALSE)))</f>
        <v/>
      </c>
    </row>
    <row r="818" spans="2:11" x14ac:dyDescent="0.6">
      <c r="B818" s="1">
        <v>821</v>
      </c>
      <c r="C818" s="2" t="str">
        <f>IF(VLOOKUP($B818,Q,2,FALSE)=0,"",(VLOOKUP($B818,Q,2,FALSE)))</f>
        <v/>
      </c>
      <c r="D818" s="2" t="str">
        <f>IF(VLOOKUP($B818,Q,3,FALSE)=0,"",(VLOOKUP($B818,Q,3,FALSE)))</f>
        <v/>
      </c>
      <c r="E818" s="2" t="str">
        <f>IF(VLOOKUP($B818,Q,8,FALSE)=0,"",(VLOOKUP($B818,Q,8,FALSE)))</f>
        <v/>
      </c>
      <c r="F818" s="19" t="str">
        <f>IF(VLOOKUP($B818,Q,9,FALSE)=0,"",(VLOOKUP($B818,Q,9,FALSE)))</f>
        <v/>
      </c>
      <c r="G818" s="2" t="str">
        <f>IF(VLOOKUP($B818,Q,10,FALSE)=0,"",(VLOOKUP($B818,Q,10,FALSE)))</f>
        <v/>
      </c>
      <c r="H818" s="2" t="str">
        <f>IF(VLOOKUP($B818,Q,14,FALSE)=0,"",(VLOOKUP($B818,Q,14,FALSE)))</f>
        <v/>
      </c>
      <c r="I818" s="2" t="str">
        <f>IF(VLOOKUP($B818,Q,14,FALSE)=0,"",(VLOOKUP($B818,Q,15,FALSE)))</f>
        <v/>
      </c>
      <c r="J818" s="2" t="str">
        <f>IF(VLOOKUP($B818,Q,14,FALSE)=0,"",(VLOOKUP($B818,Q,16,FALSE)))</f>
        <v/>
      </c>
      <c r="K818" s="2" t="str">
        <f>IF(VLOOKUP($B818,Q,14,FALSE)=0,"",(VLOOKUP($B818,Q,17,FALSE)))</f>
        <v/>
      </c>
    </row>
    <row r="819" spans="2:11" x14ac:dyDescent="0.6">
      <c r="B819" s="1">
        <v>822</v>
      </c>
      <c r="C819" s="2" t="str">
        <f>IF(VLOOKUP($B819,Q,2,FALSE)=0,"",(VLOOKUP($B819,Q,2,FALSE)))</f>
        <v/>
      </c>
      <c r="D819" s="2" t="str">
        <f>IF(VLOOKUP($B819,Q,3,FALSE)=0,"",(VLOOKUP($B819,Q,3,FALSE)))</f>
        <v/>
      </c>
      <c r="E819" s="2" t="str">
        <f>IF(VLOOKUP($B819,Q,8,FALSE)=0,"",(VLOOKUP($B819,Q,8,FALSE)))</f>
        <v/>
      </c>
      <c r="F819" s="19" t="str">
        <f>IF(VLOOKUP($B819,Q,9,FALSE)=0,"",(VLOOKUP($B819,Q,9,FALSE)))</f>
        <v/>
      </c>
      <c r="G819" s="2" t="str">
        <f>IF(VLOOKUP($B819,Q,10,FALSE)=0,"",(VLOOKUP($B819,Q,10,FALSE)))</f>
        <v/>
      </c>
      <c r="H819" s="2" t="str">
        <f>IF(VLOOKUP($B819,Q,14,FALSE)=0,"",(VLOOKUP($B819,Q,14,FALSE)))</f>
        <v/>
      </c>
      <c r="I819" s="2" t="str">
        <f>IF(VLOOKUP($B819,Q,14,FALSE)=0,"",(VLOOKUP($B819,Q,15,FALSE)))</f>
        <v/>
      </c>
      <c r="J819" s="2" t="str">
        <f>IF(VLOOKUP($B819,Q,14,FALSE)=0,"",(VLOOKUP($B819,Q,16,FALSE)))</f>
        <v/>
      </c>
      <c r="K819" s="2" t="str">
        <f>IF(VLOOKUP($B819,Q,14,FALSE)=0,"",(VLOOKUP($B819,Q,17,FALSE)))</f>
        <v/>
      </c>
    </row>
    <row r="820" spans="2:11" x14ac:dyDescent="0.6">
      <c r="B820" s="1">
        <v>823</v>
      </c>
      <c r="C820" s="2" t="str">
        <f>IF(VLOOKUP($B820,Q,2,FALSE)=0,"",(VLOOKUP($B820,Q,2,FALSE)))</f>
        <v/>
      </c>
      <c r="D820" s="2" t="str">
        <f>IF(VLOOKUP($B820,Q,3,FALSE)=0,"",(VLOOKUP($B820,Q,3,FALSE)))</f>
        <v/>
      </c>
      <c r="E820" s="2" t="str">
        <f>IF(VLOOKUP($B820,Q,8,FALSE)=0,"",(VLOOKUP($B820,Q,8,FALSE)))</f>
        <v/>
      </c>
      <c r="F820" s="19" t="str">
        <f>IF(VLOOKUP($B820,Q,9,FALSE)=0,"",(VLOOKUP($B820,Q,9,FALSE)))</f>
        <v/>
      </c>
      <c r="G820" s="2" t="str">
        <f>IF(VLOOKUP($B820,Q,10,FALSE)=0,"",(VLOOKUP($B820,Q,10,FALSE)))</f>
        <v/>
      </c>
      <c r="H820" s="2" t="str">
        <f>IF(VLOOKUP($B820,Q,14,FALSE)=0,"",(VLOOKUP($B820,Q,14,FALSE)))</f>
        <v/>
      </c>
      <c r="I820" s="2" t="str">
        <f>IF(VLOOKUP($B820,Q,14,FALSE)=0,"",(VLOOKUP($B820,Q,15,FALSE)))</f>
        <v/>
      </c>
      <c r="J820" s="2" t="str">
        <f>IF(VLOOKUP($B820,Q,14,FALSE)=0,"",(VLOOKUP($B820,Q,16,FALSE)))</f>
        <v/>
      </c>
      <c r="K820" s="2" t="str">
        <f>IF(VLOOKUP($B820,Q,14,FALSE)=0,"",(VLOOKUP($B820,Q,17,FALSE)))</f>
        <v/>
      </c>
    </row>
    <row r="821" spans="2:11" x14ac:dyDescent="0.6">
      <c r="B821" s="1">
        <v>824</v>
      </c>
      <c r="C821" s="2" t="str">
        <f>IF(VLOOKUP($B821,Q,2,FALSE)=0,"",(VLOOKUP($B821,Q,2,FALSE)))</f>
        <v/>
      </c>
      <c r="D821" s="2" t="str">
        <f>IF(VLOOKUP($B821,Q,3,FALSE)=0,"",(VLOOKUP($B821,Q,3,FALSE)))</f>
        <v/>
      </c>
      <c r="E821" s="2" t="str">
        <f>IF(VLOOKUP($B821,Q,8,FALSE)=0,"",(VLOOKUP($B821,Q,8,FALSE)))</f>
        <v/>
      </c>
      <c r="F821" s="19" t="str">
        <f>IF(VLOOKUP($B821,Q,9,FALSE)=0,"",(VLOOKUP($B821,Q,9,FALSE)))</f>
        <v/>
      </c>
      <c r="G821" s="2" t="str">
        <f>IF(VLOOKUP($B821,Q,10,FALSE)=0,"",(VLOOKUP($B821,Q,10,FALSE)))</f>
        <v/>
      </c>
      <c r="H821" s="2" t="str">
        <f>IF(VLOOKUP($B821,Q,14,FALSE)=0,"",(VLOOKUP($B821,Q,14,FALSE)))</f>
        <v/>
      </c>
      <c r="I821" s="2" t="str">
        <f>IF(VLOOKUP($B821,Q,14,FALSE)=0,"",(VLOOKUP($B821,Q,15,FALSE)))</f>
        <v/>
      </c>
      <c r="J821" s="2" t="str">
        <f>IF(VLOOKUP($B821,Q,14,FALSE)=0,"",(VLOOKUP($B821,Q,16,FALSE)))</f>
        <v/>
      </c>
      <c r="K821" s="2" t="str">
        <f>IF(VLOOKUP($B821,Q,14,FALSE)=0,"",(VLOOKUP($B821,Q,17,FALSE)))</f>
        <v/>
      </c>
    </row>
    <row r="822" spans="2:11" x14ac:dyDescent="0.6">
      <c r="B822" s="1">
        <v>825</v>
      </c>
      <c r="C822" s="2" t="str">
        <f>IF(VLOOKUP($B822,Q,2,FALSE)=0,"",(VLOOKUP($B822,Q,2,FALSE)))</f>
        <v/>
      </c>
      <c r="D822" s="2" t="str">
        <f>IF(VLOOKUP($B822,Q,3,FALSE)=0,"",(VLOOKUP($B822,Q,3,FALSE)))</f>
        <v/>
      </c>
      <c r="E822" s="2" t="str">
        <f>IF(VLOOKUP($B822,Q,8,FALSE)=0,"",(VLOOKUP($B822,Q,8,FALSE)))</f>
        <v/>
      </c>
      <c r="F822" s="19" t="str">
        <f>IF(VLOOKUP($B822,Q,9,FALSE)=0,"",(VLOOKUP($B822,Q,9,FALSE)))</f>
        <v/>
      </c>
      <c r="G822" s="2" t="str">
        <f>IF(VLOOKUP($B822,Q,10,FALSE)=0,"",(VLOOKUP($B822,Q,10,FALSE)))</f>
        <v/>
      </c>
      <c r="H822" s="2" t="str">
        <f>IF(VLOOKUP($B822,Q,14,FALSE)=0,"",(VLOOKUP($B822,Q,14,FALSE)))</f>
        <v/>
      </c>
      <c r="I822" s="2" t="str">
        <f>IF(VLOOKUP($B822,Q,14,FALSE)=0,"",(VLOOKUP($B822,Q,15,FALSE)))</f>
        <v/>
      </c>
      <c r="J822" s="2" t="str">
        <f>IF(VLOOKUP($B822,Q,14,FALSE)=0,"",(VLOOKUP($B822,Q,16,FALSE)))</f>
        <v/>
      </c>
      <c r="K822" s="2" t="str">
        <f>IF(VLOOKUP($B822,Q,14,FALSE)=0,"",(VLOOKUP($B822,Q,17,FALSE)))</f>
        <v/>
      </c>
    </row>
    <row r="823" spans="2:11" x14ac:dyDescent="0.6">
      <c r="B823" s="1">
        <v>826</v>
      </c>
      <c r="C823" s="2" t="str">
        <f>IF(VLOOKUP($B823,Q,2,FALSE)=0,"",(VLOOKUP($B823,Q,2,FALSE)))</f>
        <v/>
      </c>
      <c r="D823" s="2" t="str">
        <f>IF(VLOOKUP($B823,Q,3,FALSE)=0,"",(VLOOKUP($B823,Q,3,FALSE)))</f>
        <v/>
      </c>
      <c r="E823" s="2" t="str">
        <f>IF(VLOOKUP($B823,Q,8,FALSE)=0,"",(VLOOKUP($B823,Q,8,FALSE)))</f>
        <v/>
      </c>
      <c r="F823" s="19" t="str">
        <f>IF(VLOOKUP($B823,Q,9,FALSE)=0,"",(VLOOKUP($B823,Q,9,FALSE)))</f>
        <v/>
      </c>
      <c r="G823" s="2" t="str">
        <f>IF(VLOOKUP($B823,Q,10,FALSE)=0,"",(VLOOKUP($B823,Q,10,FALSE)))</f>
        <v/>
      </c>
      <c r="H823" s="2" t="str">
        <f>IF(VLOOKUP($B823,Q,14,FALSE)=0,"",(VLOOKUP($B823,Q,14,FALSE)))</f>
        <v/>
      </c>
      <c r="I823" s="2" t="str">
        <f>IF(VLOOKUP($B823,Q,14,FALSE)=0,"",(VLOOKUP($B823,Q,15,FALSE)))</f>
        <v/>
      </c>
      <c r="J823" s="2" t="str">
        <f>IF(VLOOKUP($B823,Q,14,FALSE)=0,"",(VLOOKUP($B823,Q,16,FALSE)))</f>
        <v/>
      </c>
      <c r="K823" s="2" t="str">
        <f>IF(VLOOKUP($B823,Q,14,FALSE)=0,"",(VLOOKUP($B823,Q,17,FALSE)))</f>
        <v/>
      </c>
    </row>
    <row r="824" spans="2:11" x14ac:dyDescent="0.6">
      <c r="B824" s="1">
        <v>827</v>
      </c>
      <c r="C824" s="2" t="str">
        <f>IF(VLOOKUP($B824,Q,2,FALSE)=0,"",(VLOOKUP($B824,Q,2,FALSE)))</f>
        <v/>
      </c>
      <c r="D824" s="2" t="str">
        <f>IF(VLOOKUP($B824,Q,3,FALSE)=0,"",(VLOOKUP($B824,Q,3,FALSE)))</f>
        <v/>
      </c>
      <c r="E824" s="2" t="str">
        <f>IF(VLOOKUP($B824,Q,8,FALSE)=0,"",(VLOOKUP($B824,Q,8,FALSE)))</f>
        <v/>
      </c>
      <c r="F824" s="19" t="str">
        <f>IF(VLOOKUP($B824,Q,9,FALSE)=0,"",(VLOOKUP($B824,Q,9,FALSE)))</f>
        <v/>
      </c>
      <c r="G824" s="2" t="str">
        <f>IF(VLOOKUP($B824,Q,10,FALSE)=0,"",(VLOOKUP($B824,Q,10,FALSE)))</f>
        <v/>
      </c>
      <c r="H824" s="2" t="str">
        <f>IF(VLOOKUP($B824,Q,14,FALSE)=0,"",(VLOOKUP($B824,Q,14,FALSE)))</f>
        <v/>
      </c>
      <c r="I824" s="2" t="str">
        <f>IF(VLOOKUP($B824,Q,14,FALSE)=0,"",(VLOOKUP($B824,Q,15,FALSE)))</f>
        <v/>
      </c>
      <c r="J824" s="2" t="str">
        <f>IF(VLOOKUP($B824,Q,14,FALSE)=0,"",(VLOOKUP($B824,Q,16,FALSE)))</f>
        <v/>
      </c>
      <c r="K824" s="2" t="str">
        <f>IF(VLOOKUP($B824,Q,14,FALSE)=0,"",(VLOOKUP($B824,Q,17,FALSE)))</f>
        <v/>
      </c>
    </row>
    <row r="825" spans="2:11" x14ac:dyDescent="0.6">
      <c r="B825" s="1">
        <v>828</v>
      </c>
      <c r="C825" s="2" t="str">
        <f>IF(VLOOKUP($B825,Q,2,FALSE)=0,"",(VLOOKUP($B825,Q,2,FALSE)))</f>
        <v/>
      </c>
      <c r="D825" s="2" t="str">
        <f>IF(VLOOKUP($B825,Q,3,FALSE)=0,"",(VLOOKUP($B825,Q,3,FALSE)))</f>
        <v/>
      </c>
      <c r="E825" s="2" t="str">
        <f>IF(VLOOKUP($B825,Q,8,FALSE)=0,"",(VLOOKUP($B825,Q,8,FALSE)))</f>
        <v/>
      </c>
      <c r="F825" s="19" t="str">
        <f>IF(VLOOKUP($B825,Q,9,FALSE)=0,"",(VLOOKUP($B825,Q,9,FALSE)))</f>
        <v/>
      </c>
      <c r="G825" s="2" t="str">
        <f>IF(VLOOKUP($B825,Q,10,FALSE)=0,"",(VLOOKUP($B825,Q,10,FALSE)))</f>
        <v/>
      </c>
      <c r="H825" s="2" t="str">
        <f>IF(VLOOKUP($B825,Q,14,FALSE)=0,"",(VLOOKUP($B825,Q,14,FALSE)))</f>
        <v/>
      </c>
      <c r="I825" s="2" t="str">
        <f>IF(VLOOKUP($B825,Q,14,FALSE)=0,"",(VLOOKUP($B825,Q,15,FALSE)))</f>
        <v/>
      </c>
      <c r="J825" s="2" t="str">
        <f>IF(VLOOKUP($B825,Q,14,FALSE)=0,"",(VLOOKUP($B825,Q,16,FALSE)))</f>
        <v/>
      </c>
      <c r="K825" s="2" t="str">
        <f>IF(VLOOKUP($B825,Q,14,FALSE)=0,"",(VLOOKUP($B825,Q,17,FALSE)))</f>
        <v/>
      </c>
    </row>
    <row r="826" spans="2:11" x14ac:dyDescent="0.6">
      <c r="B826" s="1">
        <v>829</v>
      </c>
      <c r="C826" s="2" t="str">
        <f>IF(VLOOKUP($B826,Q,2,FALSE)=0,"",(VLOOKUP($B826,Q,2,FALSE)))</f>
        <v/>
      </c>
      <c r="D826" s="2" t="str">
        <f>IF(VLOOKUP($B826,Q,3,FALSE)=0,"",(VLOOKUP($B826,Q,3,FALSE)))</f>
        <v/>
      </c>
      <c r="E826" s="2" t="str">
        <f>IF(VLOOKUP($B826,Q,8,FALSE)=0,"",(VLOOKUP($B826,Q,8,FALSE)))</f>
        <v/>
      </c>
      <c r="F826" s="19" t="str">
        <f>IF(VLOOKUP($B826,Q,9,FALSE)=0,"",(VLOOKUP($B826,Q,9,FALSE)))</f>
        <v/>
      </c>
      <c r="G826" s="2" t="str">
        <f>IF(VLOOKUP($B826,Q,10,FALSE)=0,"",(VLOOKUP($B826,Q,10,FALSE)))</f>
        <v/>
      </c>
      <c r="H826" s="2" t="str">
        <f>IF(VLOOKUP($B826,Q,14,FALSE)=0,"",(VLOOKUP($B826,Q,14,FALSE)))</f>
        <v/>
      </c>
      <c r="I826" s="2" t="str">
        <f>IF(VLOOKUP($B826,Q,14,FALSE)=0,"",(VLOOKUP($B826,Q,15,FALSE)))</f>
        <v/>
      </c>
      <c r="J826" s="2" t="str">
        <f>IF(VLOOKUP($B826,Q,14,FALSE)=0,"",(VLOOKUP($B826,Q,16,FALSE)))</f>
        <v/>
      </c>
      <c r="K826" s="2" t="str">
        <f>IF(VLOOKUP($B826,Q,14,FALSE)=0,"",(VLOOKUP($B826,Q,17,FALSE)))</f>
        <v/>
      </c>
    </row>
    <row r="827" spans="2:11" x14ac:dyDescent="0.6">
      <c r="B827" s="1">
        <v>830</v>
      </c>
      <c r="C827" s="2" t="str">
        <f>IF(VLOOKUP($B827,Q,2,FALSE)=0,"",(VLOOKUP($B827,Q,2,FALSE)))</f>
        <v/>
      </c>
      <c r="D827" s="2" t="str">
        <f>IF(VLOOKUP($B827,Q,3,FALSE)=0,"",(VLOOKUP($B827,Q,3,FALSE)))</f>
        <v/>
      </c>
      <c r="E827" s="2" t="str">
        <f>IF(VLOOKUP($B827,Q,8,FALSE)=0,"",(VLOOKUP($B827,Q,8,FALSE)))</f>
        <v/>
      </c>
      <c r="F827" s="19" t="str">
        <f>IF(VLOOKUP($B827,Q,9,FALSE)=0,"",(VLOOKUP($B827,Q,9,FALSE)))</f>
        <v/>
      </c>
      <c r="G827" s="2" t="str">
        <f>IF(VLOOKUP($B827,Q,10,FALSE)=0,"",(VLOOKUP($B827,Q,10,FALSE)))</f>
        <v/>
      </c>
      <c r="H827" s="2" t="str">
        <f>IF(VLOOKUP($B827,Q,14,FALSE)=0,"",(VLOOKUP($B827,Q,14,FALSE)))</f>
        <v/>
      </c>
      <c r="I827" s="2" t="str">
        <f>IF(VLOOKUP($B827,Q,14,FALSE)=0,"",(VLOOKUP($B827,Q,15,FALSE)))</f>
        <v/>
      </c>
      <c r="J827" s="2" t="str">
        <f>IF(VLOOKUP($B827,Q,14,FALSE)=0,"",(VLOOKUP($B827,Q,16,FALSE)))</f>
        <v/>
      </c>
      <c r="K827" s="2" t="str">
        <f>IF(VLOOKUP($B827,Q,14,FALSE)=0,"",(VLOOKUP($B827,Q,17,FALSE)))</f>
        <v/>
      </c>
    </row>
    <row r="828" spans="2:11" x14ac:dyDescent="0.6">
      <c r="B828" s="1">
        <v>831</v>
      </c>
      <c r="C828" s="2" t="str">
        <f>IF(VLOOKUP($B828,Q,2,FALSE)=0,"",(VLOOKUP($B828,Q,2,FALSE)))</f>
        <v/>
      </c>
      <c r="D828" s="2" t="str">
        <f>IF(VLOOKUP($B828,Q,3,FALSE)=0,"",(VLOOKUP($B828,Q,3,FALSE)))</f>
        <v/>
      </c>
      <c r="E828" s="2" t="str">
        <f>IF(VLOOKUP($B828,Q,8,FALSE)=0,"",(VLOOKUP($B828,Q,8,FALSE)))</f>
        <v/>
      </c>
      <c r="F828" s="19" t="str">
        <f>IF(VLOOKUP($B828,Q,9,FALSE)=0,"",(VLOOKUP($B828,Q,9,FALSE)))</f>
        <v/>
      </c>
      <c r="G828" s="2" t="str">
        <f>IF(VLOOKUP($B828,Q,10,FALSE)=0,"",(VLOOKUP($B828,Q,10,FALSE)))</f>
        <v/>
      </c>
      <c r="H828" s="2" t="str">
        <f>IF(VLOOKUP($B828,Q,14,FALSE)=0,"",(VLOOKUP($B828,Q,14,FALSE)))</f>
        <v/>
      </c>
      <c r="I828" s="2" t="str">
        <f>IF(VLOOKUP($B828,Q,14,FALSE)=0,"",(VLOOKUP($B828,Q,15,FALSE)))</f>
        <v/>
      </c>
      <c r="J828" s="2" t="str">
        <f>IF(VLOOKUP($B828,Q,14,FALSE)=0,"",(VLOOKUP($B828,Q,16,FALSE)))</f>
        <v/>
      </c>
      <c r="K828" s="2" t="str">
        <f>IF(VLOOKUP($B828,Q,14,FALSE)=0,"",(VLOOKUP($B828,Q,17,FALSE)))</f>
        <v/>
      </c>
    </row>
    <row r="829" spans="2:11" x14ac:dyDescent="0.6">
      <c r="B829" s="1">
        <v>832</v>
      </c>
      <c r="C829" s="2" t="str">
        <f>IF(VLOOKUP($B829,Q,2,FALSE)=0,"",(VLOOKUP($B829,Q,2,FALSE)))</f>
        <v/>
      </c>
      <c r="D829" s="2" t="str">
        <f>IF(VLOOKUP($B829,Q,3,FALSE)=0,"",(VLOOKUP($B829,Q,3,FALSE)))</f>
        <v/>
      </c>
      <c r="E829" s="2" t="str">
        <f>IF(VLOOKUP($B829,Q,8,FALSE)=0,"",(VLOOKUP($B829,Q,8,FALSE)))</f>
        <v/>
      </c>
      <c r="F829" s="19" t="str">
        <f>IF(VLOOKUP($B829,Q,9,FALSE)=0,"",(VLOOKUP($B829,Q,9,FALSE)))</f>
        <v/>
      </c>
      <c r="G829" s="2" t="str">
        <f>IF(VLOOKUP($B829,Q,10,FALSE)=0,"",(VLOOKUP($B829,Q,10,FALSE)))</f>
        <v/>
      </c>
      <c r="H829" s="2" t="str">
        <f>IF(VLOOKUP($B829,Q,14,FALSE)=0,"",(VLOOKUP($B829,Q,14,FALSE)))</f>
        <v/>
      </c>
      <c r="I829" s="2" t="str">
        <f>IF(VLOOKUP($B829,Q,14,FALSE)=0,"",(VLOOKUP($B829,Q,15,FALSE)))</f>
        <v/>
      </c>
      <c r="J829" s="2" t="str">
        <f>IF(VLOOKUP($B829,Q,14,FALSE)=0,"",(VLOOKUP($B829,Q,16,FALSE)))</f>
        <v/>
      </c>
      <c r="K829" s="2" t="str">
        <f>IF(VLOOKUP($B829,Q,14,FALSE)=0,"",(VLOOKUP($B829,Q,17,FALSE)))</f>
        <v/>
      </c>
    </row>
    <row r="830" spans="2:11" x14ac:dyDescent="0.6">
      <c r="B830" s="1">
        <v>833</v>
      </c>
      <c r="C830" s="2" t="str">
        <f>IF(VLOOKUP($B830,Q,2,FALSE)=0,"",(VLOOKUP($B830,Q,2,FALSE)))</f>
        <v/>
      </c>
      <c r="D830" s="2" t="str">
        <f>IF(VLOOKUP($B830,Q,3,FALSE)=0,"",(VLOOKUP($B830,Q,3,FALSE)))</f>
        <v/>
      </c>
      <c r="E830" s="2" t="str">
        <f>IF(VLOOKUP($B830,Q,8,FALSE)=0,"",(VLOOKUP($B830,Q,8,FALSE)))</f>
        <v/>
      </c>
      <c r="F830" s="19" t="str">
        <f>IF(VLOOKUP($B830,Q,9,FALSE)=0,"",(VLOOKUP($B830,Q,9,FALSE)))</f>
        <v/>
      </c>
      <c r="G830" s="2" t="str">
        <f>IF(VLOOKUP($B830,Q,10,FALSE)=0,"",(VLOOKUP($B830,Q,10,FALSE)))</f>
        <v/>
      </c>
      <c r="H830" s="2" t="str">
        <f>IF(VLOOKUP($B830,Q,14,FALSE)=0,"",(VLOOKUP($B830,Q,14,FALSE)))</f>
        <v/>
      </c>
      <c r="I830" s="2" t="str">
        <f>IF(VLOOKUP($B830,Q,14,FALSE)=0,"",(VLOOKUP($B830,Q,15,FALSE)))</f>
        <v/>
      </c>
      <c r="J830" s="2" t="str">
        <f>IF(VLOOKUP($B830,Q,14,FALSE)=0,"",(VLOOKUP($B830,Q,16,FALSE)))</f>
        <v/>
      </c>
      <c r="K830" s="2" t="str">
        <f>IF(VLOOKUP($B830,Q,14,FALSE)=0,"",(VLOOKUP($B830,Q,17,FALSE)))</f>
        <v/>
      </c>
    </row>
    <row r="831" spans="2:11" x14ac:dyDescent="0.6">
      <c r="B831" s="1">
        <v>834</v>
      </c>
      <c r="C831" s="2" t="str">
        <f>IF(VLOOKUP($B831,Q,2,FALSE)=0,"",(VLOOKUP($B831,Q,2,FALSE)))</f>
        <v/>
      </c>
      <c r="D831" s="2" t="str">
        <f>IF(VLOOKUP($B831,Q,3,FALSE)=0,"",(VLOOKUP($B831,Q,3,FALSE)))</f>
        <v/>
      </c>
      <c r="E831" s="2" t="str">
        <f>IF(VLOOKUP($B831,Q,8,FALSE)=0,"",(VLOOKUP($B831,Q,8,FALSE)))</f>
        <v/>
      </c>
      <c r="F831" s="19" t="str">
        <f>IF(VLOOKUP($B831,Q,9,FALSE)=0,"",(VLOOKUP($B831,Q,9,FALSE)))</f>
        <v/>
      </c>
      <c r="G831" s="2" t="str">
        <f>IF(VLOOKUP($B831,Q,10,FALSE)=0,"",(VLOOKUP($B831,Q,10,FALSE)))</f>
        <v/>
      </c>
      <c r="H831" s="2" t="str">
        <f>IF(VLOOKUP($B831,Q,14,FALSE)=0,"",(VLOOKUP($B831,Q,14,FALSE)))</f>
        <v/>
      </c>
      <c r="I831" s="2" t="str">
        <f>IF(VLOOKUP($B831,Q,14,FALSE)=0,"",(VLOOKUP($B831,Q,15,FALSE)))</f>
        <v/>
      </c>
      <c r="J831" s="2" t="str">
        <f>IF(VLOOKUP($B831,Q,14,FALSE)=0,"",(VLOOKUP($B831,Q,16,FALSE)))</f>
        <v/>
      </c>
      <c r="K831" s="2" t="str">
        <f>IF(VLOOKUP($B831,Q,14,FALSE)=0,"",(VLOOKUP($B831,Q,17,FALSE)))</f>
        <v/>
      </c>
    </row>
    <row r="832" spans="2:11" x14ac:dyDescent="0.6">
      <c r="B832" s="1">
        <v>835</v>
      </c>
      <c r="C832" s="2" t="str">
        <f>IF(VLOOKUP($B832,Q,2,FALSE)=0,"",(VLOOKUP($B832,Q,2,FALSE)))</f>
        <v/>
      </c>
      <c r="D832" s="2" t="str">
        <f>IF(VLOOKUP($B832,Q,3,FALSE)=0,"",(VLOOKUP($B832,Q,3,FALSE)))</f>
        <v/>
      </c>
      <c r="E832" s="2" t="str">
        <f>IF(VLOOKUP($B832,Q,8,FALSE)=0,"",(VLOOKUP($B832,Q,8,FALSE)))</f>
        <v/>
      </c>
      <c r="F832" s="19" t="str">
        <f>IF(VLOOKUP($B832,Q,9,FALSE)=0,"",(VLOOKUP($B832,Q,9,FALSE)))</f>
        <v/>
      </c>
      <c r="G832" s="2" t="str">
        <f>IF(VLOOKUP($B832,Q,10,FALSE)=0,"",(VLOOKUP($B832,Q,10,FALSE)))</f>
        <v/>
      </c>
      <c r="H832" s="2" t="str">
        <f>IF(VLOOKUP($B832,Q,14,FALSE)=0,"",(VLOOKUP($B832,Q,14,FALSE)))</f>
        <v/>
      </c>
      <c r="I832" s="2" t="str">
        <f>IF(VLOOKUP($B832,Q,14,FALSE)=0,"",(VLOOKUP($B832,Q,15,FALSE)))</f>
        <v/>
      </c>
      <c r="J832" s="2" t="str">
        <f>IF(VLOOKUP($B832,Q,14,FALSE)=0,"",(VLOOKUP($B832,Q,16,FALSE)))</f>
        <v/>
      </c>
      <c r="K832" s="2" t="str">
        <f>IF(VLOOKUP($B832,Q,14,FALSE)=0,"",(VLOOKUP($B832,Q,17,FALSE)))</f>
        <v/>
      </c>
    </row>
    <row r="833" spans="2:11" x14ac:dyDescent="0.6">
      <c r="B833" s="1">
        <v>836</v>
      </c>
      <c r="C833" s="2" t="str">
        <f>IF(VLOOKUP($B833,Q,2,FALSE)=0,"",(VLOOKUP($B833,Q,2,FALSE)))</f>
        <v/>
      </c>
      <c r="D833" s="2" t="str">
        <f>IF(VLOOKUP($B833,Q,3,FALSE)=0,"",(VLOOKUP($B833,Q,3,FALSE)))</f>
        <v/>
      </c>
      <c r="E833" s="2" t="str">
        <f>IF(VLOOKUP($B833,Q,8,FALSE)=0,"",(VLOOKUP($B833,Q,8,FALSE)))</f>
        <v/>
      </c>
      <c r="F833" s="19" t="str">
        <f>IF(VLOOKUP($B833,Q,9,FALSE)=0,"",(VLOOKUP($B833,Q,9,FALSE)))</f>
        <v/>
      </c>
      <c r="G833" s="2" t="str">
        <f>IF(VLOOKUP($B833,Q,10,FALSE)=0,"",(VLOOKUP($B833,Q,10,FALSE)))</f>
        <v/>
      </c>
      <c r="H833" s="2" t="str">
        <f>IF(VLOOKUP($B833,Q,14,FALSE)=0,"",(VLOOKUP($B833,Q,14,FALSE)))</f>
        <v/>
      </c>
      <c r="I833" s="2" t="str">
        <f>IF(VLOOKUP($B833,Q,14,FALSE)=0,"",(VLOOKUP($B833,Q,15,FALSE)))</f>
        <v/>
      </c>
      <c r="J833" s="2" t="str">
        <f>IF(VLOOKUP($B833,Q,14,FALSE)=0,"",(VLOOKUP($B833,Q,16,FALSE)))</f>
        <v/>
      </c>
      <c r="K833" s="2" t="str">
        <f>IF(VLOOKUP($B833,Q,14,FALSE)=0,"",(VLOOKUP($B833,Q,17,FALSE)))</f>
        <v/>
      </c>
    </row>
    <row r="834" spans="2:11" x14ac:dyDescent="0.6">
      <c r="B834" s="1">
        <v>837</v>
      </c>
      <c r="C834" s="2" t="str">
        <f>IF(VLOOKUP($B834,Q,2,FALSE)=0,"",(VLOOKUP($B834,Q,2,FALSE)))</f>
        <v/>
      </c>
      <c r="D834" s="2" t="str">
        <f>IF(VLOOKUP($B834,Q,3,FALSE)=0,"",(VLOOKUP($B834,Q,3,FALSE)))</f>
        <v/>
      </c>
      <c r="E834" s="2" t="str">
        <f>IF(VLOOKUP($B834,Q,8,FALSE)=0,"",(VLOOKUP($B834,Q,8,FALSE)))</f>
        <v/>
      </c>
      <c r="F834" s="19" t="str">
        <f>IF(VLOOKUP($B834,Q,9,FALSE)=0,"",(VLOOKUP($B834,Q,9,FALSE)))</f>
        <v/>
      </c>
      <c r="G834" s="2" t="str">
        <f>IF(VLOOKUP($B834,Q,10,FALSE)=0,"",(VLOOKUP($B834,Q,10,FALSE)))</f>
        <v/>
      </c>
      <c r="H834" s="2" t="str">
        <f>IF(VLOOKUP($B834,Q,14,FALSE)=0,"",(VLOOKUP($B834,Q,14,FALSE)))</f>
        <v/>
      </c>
      <c r="I834" s="2" t="str">
        <f>IF(VLOOKUP($B834,Q,14,FALSE)=0,"",(VLOOKUP($B834,Q,15,FALSE)))</f>
        <v/>
      </c>
      <c r="J834" s="2" t="str">
        <f>IF(VLOOKUP($B834,Q,14,FALSE)=0,"",(VLOOKUP($B834,Q,16,FALSE)))</f>
        <v/>
      </c>
      <c r="K834" s="2" t="str">
        <f>IF(VLOOKUP($B834,Q,14,FALSE)=0,"",(VLOOKUP($B834,Q,17,FALSE)))</f>
        <v/>
      </c>
    </row>
    <row r="835" spans="2:11" x14ac:dyDescent="0.6">
      <c r="B835" s="1">
        <v>838</v>
      </c>
      <c r="C835" s="2" t="str">
        <f>IF(VLOOKUP($B835,Q,2,FALSE)=0,"",(VLOOKUP($B835,Q,2,FALSE)))</f>
        <v/>
      </c>
      <c r="D835" s="2" t="str">
        <f>IF(VLOOKUP($B835,Q,3,FALSE)=0,"",(VLOOKUP($B835,Q,3,FALSE)))</f>
        <v/>
      </c>
      <c r="E835" s="2" t="str">
        <f>IF(VLOOKUP($B835,Q,8,FALSE)=0,"",(VLOOKUP($B835,Q,8,FALSE)))</f>
        <v/>
      </c>
      <c r="F835" s="19" t="str">
        <f>IF(VLOOKUP($B835,Q,9,FALSE)=0,"",(VLOOKUP($B835,Q,9,FALSE)))</f>
        <v/>
      </c>
      <c r="G835" s="2" t="str">
        <f>IF(VLOOKUP($B835,Q,10,FALSE)=0,"",(VLOOKUP($B835,Q,10,FALSE)))</f>
        <v/>
      </c>
      <c r="H835" s="2" t="str">
        <f>IF(VLOOKUP($B835,Q,14,FALSE)=0,"",(VLOOKUP($B835,Q,14,FALSE)))</f>
        <v/>
      </c>
      <c r="I835" s="2" t="str">
        <f>IF(VLOOKUP($B835,Q,14,FALSE)=0,"",(VLOOKUP($B835,Q,15,FALSE)))</f>
        <v/>
      </c>
      <c r="J835" s="2" t="str">
        <f>IF(VLOOKUP($B835,Q,14,FALSE)=0,"",(VLOOKUP($B835,Q,16,FALSE)))</f>
        <v/>
      </c>
      <c r="K835" s="2" t="str">
        <f>IF(VLOOKUP($B835,Q,14,FALSE)=0,"",(VLOOKUP($B835,Q,17,FALSE)))</f>
        <v/>
      </c>
    </row>
    <row r="836" spans="2:11" x14ac:dyDescent="0.6">
      <c r="B836" s="1">
        <v>839</v>
      </c>
      <c r="C836" s="2" t="str">
        <f>IF(VLOOKUP($B836,Q,2,FALSE)=0,"",(VLOOKUP($B836,Q,2,FALSE)))</f>
        <v/>
      </c>
      <c r="D836" s="2" t="str">
        <f>IF(VLOOKUP($B836,Q,3,FALSE)=0,"",(VLOOKUP($B836,Q,3,FALSE)))</f>
        <v/>
      </c>
      <c r="E836" s="2" t="str">
        <f>IF(VLOOKUP($B836,Q,8,FALSE)=0,"",(VLOOKUP($B836,Q,8,FALSE)))</f>
        <v/>
      </c>
      <c r="F836" s="19" t="str">
        <f>IF(VLOOKUP($B836,Q,9,FALSE)=0,"",(VLOOKUP($B836,Q,9,FALSE)))</f>
        <v/>
      </c>
      <c r="G836" s="2" t="str">
        <f>IF(VLOOKUP($B836,Q,10,FALSE)=0,"",(VLOOKUP($B836,Q,10,FALSE)))</f>
        <v/>
      </c>
      <c r="H836" s="2" t="str">
        <f>IF(VLOOKUP($B836,Q,14,FALSE)=0,"",(VLOOKUP($B836,Q,14,FALSE)))</f>
        <v/>
      </c>
      <c r="I836" s="2" t="str">
        <f>IF(VLOOKUP($B836,Q,14,FALSE)=0,"",(VLOOKUP($B836,Q,15,FALSE)))</f>
        <v/>
      </c>
      <c r="J836" s="2" t="str">
        <f>IF(VLOOKUP($B836,Q,14,FALSE)=0,"",(VLOOKUP($B836,Q,16,FALSE)))</f>
        <v/>
      </c>
      <c r="K836" s="2" t="str">
        <f>IF(VLOOKUP($B836,Q,14,FALSE)=0,"",(VLOOKUP($B836,Q,17,FALSE)))</f>
        <v/>
      </c>
    </row>
    <row r="837" spans="2:11" x14ac:dyDescent="0.6">
      <c r="B837" s="1">
        <v>840</v>
      </c>
      <c r="C837" s="2" t="str">
        <f>IF(VLOOKUP($B837,Q,2,FALSE)=0,"",(VLOOKUP($B837,Q,2,FALSE)))</f>
        <v/>
      </c>
      <c r="D837" s="2" t="str">
        <f>IF(VLOOKUP($B837,Q,3,FALSE)=0,"",(VLOOKUP($B837,Q,3,FALSE)))</f>
        <v/>
      </c>
      <c r="E837" s="2" t="str">
        <f>IF(VLOOKUP($B837,Q,8,FALSE)=0,"",(VLOOKUP($B837,Q,8,FALSE)))</f>
        <v/>
      </c>
      <c r="F837" s="19" t="str">
        <f>IF(VLOOKUP($B837,Q,9,FALSE)=0,"",(VLOOKUP($B837,Q,9,FALSE)))</f>
        <v/>
      </c>
      <c r="G837" s="2" t="str">
        <f>IF(VLOOKUP($B837,Q,10,FALSE)=0,"",(VLOOKUP($B837,Q,10,FALSE)))</f>
        <v/>
      </c>
      <c r="H837" s="2" t="str">
        <f>IF(VLOOKUP($B837,Q,14,FALSE)=0,"",(VLOOKUP($B837,Q,14,FALSE)))</f>
        <v/>
      </c>
      <c r="I837" s="2" t="str">
        <f>IF(VLOOKUP($B837,Q,14,FALSE)=0,"",(VLOOKUP($B837,Q,15,FALSE)))</f>
        <v/>
      </c>
      <c r="J837" s="2" t="str">
        <f>IF(VLOOKUP($B837,Q,14,FALSE)=0,"",(VLOOKUP($B837,Q,16,FALSE)))</f>
        <v/>
      </c>
      <c r="K837" s="2" t="str">
        <f>IF(VLOOKUP($B837,Q,14,FALSE)=0,"",(VLOOKUP($B837,Q,17,FALSE)))</f>
        <v/>
      </c>
    </row>
    <row r="838" spans="2:11" x14ac:dyDescent="0.6">
      <c r="B838" s="1">
        <v>841</v>
      </c>
      <c r="C838" s="2" t="str">
        <f>IF(VLOOKUP($B838,Q,2,FALSE)=0,"",(VLOOKUP($B838,Q,2,FALSE)))</f>
        <v/>
      </c>
      <c r="D838" s="2" t="str">
        <f>IF(VLOOKUP($B838,Q,3,FALSE)=0,"",(VLOOKUP($B838,Q,3,FALSE)))</f>
        <v/>
      </c>
      <c r="E838" s="2" t="str">
        <f>IF(VLOOKUP($B838,Q,8,FALSE)=0,"",(VLOOKUP($B838,Q,8,FALSE)))</f>
        <v/>
      </c>
      <c r="F838" s="19" t="str">
        <f>IF(VLOOKUP($B838,Q,9,FALSE)=0,"",(VLOOKUP($B838,Q,9,FALSE)))</f>
        <v/>
      </c>
      <c r="G838" s="2" t="str">
        <f>IF(VLOOKUP($B838,Q,10,FALSE)=0,"",(VLOOKUP($B838,Q,10,FALSE)))</f>
        <v/>
      </c>
      <c r="H838" s="2" t="str">
        <f>IF(VLOOKUP($B838,Q,14,FALSE)=0,"",(VLOOKUP($B838,Q,14,FALSE)))</f>
        <v/>
      </c>
      <c r="I838" s="2" t="str">
        <f>IF(VLOOKUP($B838,Q,14,FALSE)=0,"",(VLOOKUP($B838,Q,15,FALSE)))</f>
        <v/>
      </c>
      <c r="J838" s="2" t="str">
        <f>IF(VLOOKUP($B838,Q,14,FALSE)=0,"",(VLOOKUP($B838,Q,16,FALSE)))</f>
        <v/>
      </c>
      <c r="K838" s="2" t="str">
        <f>IF(VLOOKUP($B838,Q,14,FALSE)=0,"",(VLOOKUP($B838,Q,17,FALSE)))</f>
        <v/>
      </c>
    </row>
    <row r="839" spans="2:11" x14ac:dyDescent="0.6">
      <c r="B839" s="1">
        <v>842</v>
      </c>
      <c r="C839" s="2" t="str">
        <f>IF(VLOOKUP($B839,Q,2,FALSE)=0,"",(VLOOKUP($B839,Q,2,FALSE)))</f>
        <v/>
      </c>
      <c r="D839" s="2" t="str">
        <f>IF(VLOOKUP($B839,Q,3,FALSE)=0,"",(VLOOKUP($B839,Q,3,FALSE)))</f>
        <v/>
      </c>
      <c r="E839" s="2" t="str">
        <f>IF(VLOOKUP($B839,Q,8,FALSE)=0,"",(VLOOKUP($B839,Q,8,FALSE)))</f>
        <v/>
      </c>
      <c r="F839" s="19" t="str">
        <f>IF(VLOOKUP($B839,Q,9,FALSE)=0,"",(VLOOKUP($B839,Q,9,FALSE)))</f>
        <v/>
      </c>
      <c r="G839" s="2" t="str">
        <f>IF(VLOOKUP($B839,Q,10,FALSE)=0,"",(VLOOKUP($B839,Q,10,FALSE)))</f>
        <v/>
      </c>
      <c r="H839" s="2" t="str">
        <f>IF(VLOOKUP($B839,Q,14,FALSE)=0,"",(VLOOKUP($B839,Q,14,FALSE)))</f>
        <v/>
      </c>
      <c r="I839" s="2" t="str">
        <f>IF(VLOOKUP($B839,Q,14,FALSE)=0,"",(VLOOKUP($B839,Q,15,FALSE)))</f>
        <v/>
      </c>
      <c r="J839" s="2" t="str">
        <f>IF(VLOOKUP($B839,Q,14,FALSE)=0,"",(VLOOKUP($B839,Q,16,FALSE)))</f>
        <v/>
      </c>
      <c r="K839" s="2" t="str">
        <f>IF(VLOOKUP($B839,Q,14,FALSE)=0,"",(VLOOKUP($B839,Q,17,FALSE)))</f>
        <v/>
      </c>
    </row>
    <row r="840" spans="2:11" x14ac:dyDescent="0.6">
      <c r="B840" s="1">
        <v>843</v>
      </c>
      <c r="C840" s="2" t="str">
        <f>IF(VLOOKUP($B840,Q,2,FALSE)=0,"",(VLOOKUP($B840,Q,2,FALSE)))</f>
        <v/>
      </c>
      <c r="D840" s="2" t="str">
        <f>IF(VLOOKUP($B840,Q,3,FALSE)=0,"",(VLOOKUP($B840,Q,3,FALSE)))</f>
        <v/>
      </c>
      <c r="E840" s="2" t="str">
        <f>IF(VLOOKUP($B840,Q,8,FALSE)=0,"",(VLOOKUP($B840,Q,8,FALSE)))</f>
        <v/>
      </c>
      <c r="F840" s="19" t="str">
        <f>IF(VLOOKUP($B840,Q,9,FALSE)=0,"",(VLOOKUP($B840,Q,9,FALSE)))</f>
        <v/>
      </c>
      <c r="G840" s="2" t="str">
        <f>IF(VLOOKUP($B840,Q,10,FALSE)=0,"",(VLOOKUP($B840,Q,10,FALSE)))</f>
        <v/>
      </c>
      <c r="H840" s="2" t="str">
        <f>IF(VLOOKUP($B840,Q,14,FALSE)=0,"",(VLOOKUP($B840,Q,14,FALSE)))</f>
        <v/>
      </c>
      <c r="I840" s="2" t="str">
        <f>IF(VLOOKUP($B840,Q,14,FALSE)=0,"",(VLOOKUP($B840,Q,15,FALSE)))</f>
        <v/>
      </c>
      <c r="J840" s="2" t="str">
        <f>IF(VLOOKUP($B840,Q,14,FALSE)=0,"",(VLOOKUP($B840,Q,16,FALSE)))</f>
        <v/>
      </c>
      <c r="K840" s="2" t="str">
        <f>IF(VLOOKUP($B840,Q,14,FALSE)=0,"",(VLOOKUP($B840,Q,17,FALSE)))</f>
        <v/>
      </c>
    </row>
    <row r="841" spans="2:11" x14ac:dyDescent="0.6">
      <c r="B841" s="1">
        <v>844</v>
      </c>
      <c r="C841" s="2" t="str">
        <f>IF(VLOOKUP($B841,Q,2,FALSE)=0,"",(VLOOKUP($B841,Q,2,FALSE)))</f>
        <v/>
      </c>
      <c r="D841" s="2" t="str">
        <f>IF(VLOOKUP($B841,Q,3,FALSE)=0,"",(VLOOKUP($B841,Q,3,FALSE)))</f>
        <v/>
      </c>
      <c r="E841" s="2" t="str">
        <f>IF(VLOOKUP($B841,Q,8,FALSE)=0,"",(VLOOKUP($B841,Q,8,FALSE)))</f>
        <v/>
      </c>
      <c r="F841" s="19" t="str">
        <f>IF(VLOOKUP($B841,Q,9,FALSE)=0,"",(VLOOKUP($B841,Q,9,FALSE)))</f>
        <v/>
      </c>
      <c r="G841" s="2" t="str">
        <f>IF(VLOOKUP($B841,Q,10,FALSE)=0,"",(VLOOKUP($B841,Q,10,FALSE)))</f>
        <v/>
      </c>
      <c r="H841" s="2" t="str">
        <f>IF(VLOOKUP($B841,Q,14,FALSE)=0,"",(VLOOKUP($B841,Q,14,FALSE)))</f>
        <v/>
      </c>
      <c r="I841" s="2" t="str">
        <f>IF(VLOOKUP($B841,Q,14,FALSE)=0,"",(VLOOKUP($B841,Q,15,FALSE)))</f>
        <v/>
      </c>
      <c r="J841" s="2" t="str">
        <f>IF(VLOOKUP($B841,Q,14,FALSE)=0,"",(VLOOKUP($B841,Q,16,FALSE)))</f>
        <v/>
      </c>
      <c r="K841" s="2" t="str">
        <f>IF(VLOOKUP($B841,Q,14,FALSE)=0,"",(VLOOKUP($B841,Q,17,FALSE)))</f>
        <v/>
      </c>
    </row>
    <row r="842" spans="2:11" x14ac:dyDescent="0.6">
      <c r="B842" s="1">
        <v>845</v>
      </c>
      <c r="C842" s="2" t="str">
        <f>IF(VLOOKUP($B842,Q,2,FALSE)=0,"",(VLOOKUP($B842,Q,2,FALSE)))</f>
        <v/>
      </c>
      <c r="D842" s="2" t="str">
        <f>IF(VLOOKUP($B842,Q,3,FALSE)=0,"",(VLOOKUP($B842,Q,3,FALSE)))</f>
        <v/>
      </c>
      <c r="E842" s="2" t="str">
        <f>IF(VLOOKUP($B842,Q,8,FALSE)=0,"",(VLOOKUP($B842,Q,8,FALSE)))</f>
        <v/>
      </c>
      <c r="F842" s="19" t="str">
        <f>IF(VLOOKUP($B842,Q,9,FALSE)=0,"",(VLOOKUP($B842,Q,9,FALSE)))</f>
        <v/>
      </c>
      <c r="G842" s="2" t="str">
        <f>IF(VLOOKUP($B842,Q,10,FALSE)=0,"",(VLOOKUP($B842,Q,10,FALSE)))</f>
        <v/>
      </c>
      <c r="H842" s="2" t="str">
        <f>IF(VLOOKUP($B842,Q,14,FALSE)=0,"",(VLOOKUP($B842,Q,14,FALSE)))</f>
        <v/>
      </c>
      <c r="I842" s="2" t="str">
        <f>IF(VLOOKUP($B842,Q,14,FALSE)=0,"",(VLOOKUP($B842,Q,15,FALSE)))</f>
        <v/>
      </c>
      <c r="J842" s="2" t="str">
        <f>IF(VLOOKUP($B842,Q,14,FALSE)=0,"",(VLOOKUP($B842,Q,16,FALSE)))</f>
        <v/>
      </c>
      <c r="K842" s="2" t="str">
        <f>IF(VLOOKUP($B842,Q,14,FALSE)=0,"",(VLOOKUP($B842,Q,17,FALSE)))</f>
        <v/>
      </c>
    </row>
    <row r="843" spans="2:11" x14ac:dyDescent="0.6">
      <c r="B843" s="1">
        <v>846</v>
      </c>
      <c r="C843" s="2" t="str">
        <f>IF(VLOOKUP($B843,Q,2,FALSE)=0,"",(VLOOKUP($B843,Q,2,FALSE)))</f>
        <v/>
      </c>
      <c r="D843" s="2" t="str">
        <f>IF(VLOOKUP($B843,Q,3,FALSE)=0,"",(VLOOKUP($B843,Q,3,FALSE)))</f>
        <v/>
      </c>
      <c r="E843" s="2" t="str">
        <f>IF(VLOOKUP($B843,Q,8,FALSE)=0,"",(VLOOKUP($B843,Q,8,FALSE)))</f>
        <v/>
      </c>
      <c r="F843" s="19" t="str">
        <f>IF(VLOOKUP($B843,Q,9,FALSE)=0,"",(VLOOKUP($B843,Q,9,FALSE)))</f>
        <v/>
      </c>
      <c r="G843" s="2" t="str">
        <f>IF(VLOOKUP($B843,Q,10,FALSE)=0,"",(VLOOKUP($B843,Q,10,FALSE)))</f>
        <v/>
      </c>
      <c r="H843" s="2" t="str">
        <f>IF(VLOOKUP($B843,Q,14,FALSE)=0,"",(VLOOKUP($B843,Q,14,FALSE)))</f>
        <v/>
      </c>
      <c r="I843" s="2" t="str">
        <f>IF(VLOOKUP($B843,Q,14,FALSE)=0,"",(VLOOKUP($B843,Q,15,FALSE)))</f>
        <v/>
      </c>
      <c r="J843" s="2" t="str">
        <f>IF(VLOOKUP($B843,Q,14,FALSE)=0,"",(VLOOKUP($B843,Q,16,FALSE)))</f>
        <v/>
      </c>
      <c r="K843" s="2" t="str">
        <f>IF(VLOOKUP($B843,Q,14,FALSE)=0,"",(VLOOKUP($B843,Q,17,FALSE)))</f>
        <v/>
      </c>
    </row>
    <row r="844" spans="2:11" x14ac:dyDescent="0.6">
      <c r="B844" s="1">
        <v>847</v>
      </c>
      <c r="C844" s="2" t="str">
        <f>IF(VLOOKUP($B844,Q,2,FALSE)=0,"",(VLOOKUP($B844,Q,2,FALSE)))</f>
        <v/>
      </c>
      <c r="D844" s="2" t="str">
        <f>IF(VLOOKUP($B844,Q,3,FALSE)=0,"",(VLOOKUP($B844,Q,3,FALSE)))</f>
        <v/>
      </c>
      <c r="E844" s="2" t="str">
        <f>IF(VLOOKUP($B844,Q,8,FALSE)=0,"",(VLOOKUP($B844,Q,8,FALSE)))</f>
        <v/>
      </c>
      <c r="F844" s="19" t="str">
        <f>IF(VLOOKUP($B844,Q,9,FALSE)=0,"",(VLOOKUP($B844,Q,9,FALSE)))</f>
        <v/>
      </c>
      <c r="G844" s="2" t="str">
        <f>IF(VLOOKUP($B844,Q,10,FALSE)=0,"",(VLOOKUP($B844,Q,10,FALSE)))</f>
        <v/>
      </c>
      <c r="H844" s="2" t="str">
        <f>IF(VLOOKUP($B844,Q,14,FALSE)=0,"",(VLOOKUP($B844,Q,14,FALSE)))</f>
        <v/>
      </c>
      <c r="I844" s="2" t="str">
        <f>IF(VLOOKUP($B844,Q,14,FALSE)=0,"",(VLOOKUP($B844,Q,15,FALSE)))</f>
        <v/>
      </c>
      <c r="J844" s="2" t="str">
        <f>IF(VLOOKUP($B844,Q,14,FALSE)=0,"",(VLOOKUP($B844,Q,16,FALSE)))</f>
        <v/>
      </c>
      <c r="K844" s="2" t="str">
        <f>IF(VLOOKUP($B844,Q,14,FALSE)=0,"",(VLOOKUP($B844,Q,17,FALSE)))</f>
        <v/>
      </c>
    </row>
    <row r="845" spans="2:11" x14ac:dyDescent="0.6">
      <c r="B845" s="1">
        <v>848</v>
      </c>
      <c r="C845" s="2" t="str">
        <f>IF(VLOOKUP($B845,Q,2,FALSE)=0,"",(VLOOKUP($B845,Q,2,FALSE)))</f>
        <v/>
      </c>
      <c r="D845" s="2" t="str">
        <f>IF(VLOOKUP($B845,Q,3,FALSE)=0,"",(VLOOKUP($B845,Q,3,FALSE)))</f>
        <v/>
      </c>
      <c r="E845" s="2" t="str">
        <f>IF(VLOOKUP($B845,Q,8,FALSE)=0,"",(VLOOKUP($B845,Q,8,FALSE)))</f>
        <v/>
      </c>
      <c r="F845" s="19" t="str">
        <f>IF(VLOOKUP($B845,Q,9,FALSE)=0,"",(VLOOKUP($B845,Q,9,FALSE)))</f>
        <v/>
      </c>
      <c r="G845" s="2" t="str">
        <f>IF(VLOOKUP($B845,Q,10,FALSE)=0,"",(VLOOKUP($B845,Q,10,FALSE)))</f>
        <v/>
      </c>
      <c r="H845" s="2" t="str">
        <f>IF(VLOOKUP($B845,Q,14,FALSE)=0,"",(VLOOKUP($B845,Q,14,FALSE)))</f>
        <v/>
      </c>
      <c r="I845" s="2" t="str">
        <f>IF(VLOOKUP($B845,Q,14,FALSE)=0,"",(VLOOKUP($B845,Q,15,FALSE)))</f>
        <v/>
      </c>
      <c r="J845" s="2" t="str">
        <f>IF(VLOOKUP($B845,Q,14,FALSE)=0,"",(VLOOKUP($B845,Q,16,FALSE)))</f>
        <v/>
      </c>
      <c r="K845" s="2" t="str">
        <f>IF(VLOOKUP($B845,Q,14,FALSE)=0,"",(VLOOKUP($B845,Q,17,FALSE)))</f>
        <v/>
      </c>
    </row>
    <row r="846" spans="2:11" x14ac:dyDescent="0.6">
      <c r="B846" s="1">
        <v>849</v>
      </c>
      <c r="C846" s="2" t="str">
        <f>IF(VLOOKUP($B846,Q,2,FALSE)=0,"",(VLOOKUP($B846,Q,2,FALSE)))</f>
        <v/>
      </c>
      <c r="D846" s="2" t="str">
        <f>IF(VLOOKUP($B846,Q,3,FALSE)=0,"",(VLOOKUP($B846,Q,3,FALSE)))</f>
        <v/>
      </c>
      <c r="E846" s="2" t="str">
        <f>IF(VLOOKUP($B846,Q,8,FALSE)=0,"",(VLOOKUP($B846,Q,8,FALSE)))</f>
        <v/>
      </c>
      <c r="F846" s="19" t="str">
        <f>IF(VLOOKUP($B846,Q,9,FALSE)=0,"",(VLOOKUP($B846,Q,9,FALSE)))</f>
        <v/>
      </c>
      <c r="G846" s="2" t="str">
        <f>IF(VLOOKUP($B846,Q,10,FALSE)=0,"",(VLOOKUP($B846,Q,10,FALSE)))</f>
        <v/>
      </c>
      <c r="H846" s="2" t="str">
        <f>IF(VLOOKUP($B846,Q,14,FALSE)=0,"",(VLOOKUP($B846,Q,14,FALSE)))</f>
        <v/>
      </c>
      <c r="I846" s="2" t="str">
        <f>IF(VLOOKUP($B846,Q,14,FALSE)=0,"",(VLOOKUP($B846,Q,15,FALSE)))</f>
        <v/>
      </c>
      <c r="J846" s="2" t="str">
        <f>IF(VLOOKUP($B846,Q,14,FALSE)=0,"",(VLOOKUP($B846,Q,16,FALSE)))</f>
        <v/>
      </c>
      <c r="K846" s="2" t="str">
        <f>IF(VLOOKUP($B846,Q,14,FALSE)=0,"",(VLOOKUP($B846,Q,17,FALSE)))</f>
        <v/>
      </c>
    </row>
    <row r="847" spans="2:11" x14ac:dyDescent="0.6">
      <c r="B847" s="1">
        <v>850</v>
      </c>
      <c r="C847" s="2" t="str">
        <f>IF(VLOOKUP($B847,Q,2,FALSE)=0,"",(VLOOKUP($B847,Q,2,FALSE)))</f>
        <v/>
      </c>
      <c r="D847" s="2" t="str">
        <f>IF(VLOOKUP($B847,Q,3,FALSE)=0,"",(VLOOKUP($B847,Q,3,FALSE)))</f>
        <v/>
      </c>
      <c r="E847" s="2" t="str">
        <f>IF(VLOOKUP($B847,Q,8,FALSE)=0,"",(VLOOKUP($B847,Q,8,FALSE)))</f>
        <v/>
      </c>
      <c r="F847" s="19" t="str">
        <f>IF(VLOOKUP($B847,Q,9,FALSE)=0,"",(VLOOKUP($B847,Q,9,FALSE)))</f>
        <v/>
      </c>
      <c r="G847" s="2" t="str">
        <f>IF(VLOOKUP($B847,Q,10,FALSE)=0,"",(VLOOKUP($B847,Q,10,FALSE)))</f>
        <v/>
      </c>
      <c r="H847" s="2" t="str">
        <f>IF(VLOOKUP($B847,Q,14,FALSE)=0,"",(VLOOKUP($B847,Q,14,FALSE)))</f>
        <v/>
      </c>
      <c r="I847" s="2" t="str">
        <f>IF(VLOOKUP($B847,Q,14,FALSE)=0,"",(VLOOKUP($B847,Q,15,FALSE)))</f>
        <v/>
      </c>
      <c r="J847" s="2" t="str">
        <f>IF(VLOOKUP($B847,Q,14,FALSE)=0,"",(VLOOKUP($B847,Q,16,FALSE)))</f>
        <v/>
      </c>
      <c r="K847" s="2" t="str">
        <f>IF(VLOOKUP($B847,Q,14,FALSE)=0,"",(VLOOKUP($B847,Q,17,FALSE)))</f>
        <v/>
      </c>
    </row>
    <row r="848" spans="2:11" x14ac:dyDescent="0.6">
      <c r="B848" s="1">
        <v>851</v>
      </c>
      <c r="C848" s="2" t="str">
        <f>IF(VLOOKUP($B848,Q,2,FALSE)=0,"",(VLOOKUP($B848,Q,2,FALSE)))</f>
        <v/>
      </c>
      <c r="D848" s="2" t="str">
        <f>IF(VLOOKUP($B848,Q,3,FALSE)=0,"",(VLOOKUP($B848,Q,3,FALSE)))</f>
        <v/>
      </c>
      <c r="E848" s="2" t="str">
        <f>IF(VLOOKUP($B848,Q,8,FALSE)=0,"",(VLOOKUP($B848,Q,8,FALSE)))</f>
        <v/>
      </c>
      <c r="F848" s="19" t="str">
        <f>IF(VLOOKUP($B848,Q,9,FALSE)=0,"",(VLOOKUP($B848,Q,9,FALSE)))</f>
        <v/>
      </c>
      <c r="G848" s="2" t="str">
        <f>IF(VLOOKUP($B848,Q,10,FALSE)=0,"",(VLOOKUP($B848,Q,10,FALSE)))</f>
        <v/>
      </c>
      <c r="H848" s="2" t="str">
        <f>IF(VLOOKUP($B848,Q,14,FALSE)=0,"",(VLOOKUP($B848,Q,14,FALSE)))</f>
        <v/>
      </c>
      <c r="I848" s="2" t="str">
        <f>IF(VLOOKUP($B848,Q,14,FALSE)=0,"",(VLOOKUP($B848,Q,15,FALSE)))</f>
        <v/>
      </c>
      <c r="J848" s="2" t="str">
        <f>IF(VLOOKUP($B848,Q,14,FALSE)=0,"",(VLOOKUP($B848,Q,16,FALSE)))</f>
        <v/>
      </c>
      <c r="K848" s="2" t="str">
        <f>IF(VLOOKUP($B848,Q,14,FALSE)=0,"",(VLOOKUP($B848,Q,17,FALSE)))</f>
        <v/>
      </c>
    </row>
    <row r="849" spans="2:11" x14ac:dyDescent="0.6">
      <c r="B849" s="1">
        <v>852</v>
      </c>
      <c r="C849" s="2" t="str">
        <f>IF(VLOOKUP($B849,Q,2,FALSE)=0,"",(VLOOKUP($B849,Q,2,FALSE)))</f>
        <v/>
      </c>
      <c r="D849" s="2" t="str">
        <f>IF(VLOOKUP($B849,Q,3,FALSE)=0,"",(VLOOKUP($B849,Q,3,FALSE)))</f>
        <v/>
      </c>
      <c r="E849" s="2" t="str">
        <f>IF(VLOOKUP($B849,Q,8,FALSE)=0,"",(VLOOKUP($B849,Q,8,FALSE)))</f>
        <v/>
      </c>
      <c r="F849" s="19" t="str">
        <f>IF(VLOOKUP($B849,Q,9,FALSE)=0,"",(VLOOKUP($B849,Q,9,FALSE)))</f>
        <v/>
      </c>
      <c r="G849" s="2" t="str">
        <f>IF(VLOOKUP($B849,Q,10,FALSE)=0,"",(VLOOKUP($B849,Q,10,FALSE)))</f>
        <v/>
      </c>
      <c r="H849" s="2" t="str">
        <f>IF(VLOOKUP($B849,Q,14,FALSE)=0,"",(VLOOKUP($B849,Q,14,FALSE)))</f>
        <v/>
      </c>
      <c r="I849" s="2" t="str">
        <f>IF(VLOOKUP($B849,Q,14,FALSE)=0,"",(VLOOKUP($B849,Q,15,FALSE)))</f>
        <v/>
      </c>
      <c r="J849" s="2" t="str">
        <f>IF(VLOOKUP($B849,Q,14,FALSE)=0,"",(VLOOKUP($B849,Q,16,FALSE)))</f>
        <v/>
      </c>
      <c r="K849" s="2" t="str">
        <f>IF(VLOOKUP($B849,Q,14,FALSE)=0,"",(VLOOKUP($B849,Q,17,FALSE)))</f>
        <v/>
      </c>
    </row>
    <row r="850" spans="2:11" x14ac:dyDescent="0.6">
      <c r="B850" s="1">
        <v>853</v>
      </c>
      <c r="C850" s="2" t="str">
        <f>IF(VLOOKUP($B850,Q,2,FALSE)=0,"",(VLOOKUP($B850,Q,2,FALSE)))</f>
        <v/>
      </c>
      <c r="D850" s="2" t="str">
        <f>IF(VLOOKUP($B850,Q,3,FALSE)=0,"",(VLOOKUP($B850,Q,3,FALSE)))</f>
        <v/>
      </c>
      <c r="E850" s="2" t="str">
        <f>IF(VLOOKUP($B850,Q,8,FALSE)=0,"",(VLOOKUP($B850,Q,8,FALSE)))</f>
        <v/>
      </c>
      <c r="F850" s="19" t="str">
        <f>IF(VLOOKUP($B850,Q,9,FALSE)=0,"",(VLOOKUP($B850,Q,9,FALSE)))</f>
        <v/>
      </c>
      <c r="G850" s="2" t="str">
        <f>IF(VLOOKUP($B850,Q,10,FALSE)=0,"",(VLOOKUP($B850,Q,10,FALSE)))</f>
        <v/>
      </c>
      <c r="H850" s="2" t="str">
        <f>IF(VLOOKUP($B850,Q,14,FALSE)=0,"",(VLOOKUP($B850,Q,14,FALSE)))</f>
        <v/>
      </c>
      <c r="I850" s="2" t="str">
        <f>IF(VLOOKUP($B850,Q,14,FALSE)=0,"",(VLOOKUP($B850,Q,15,FALSE)))</f>
        <v/>
      </c>
      <c r="J850" s="2" t="str">
        <f>IF(VLOOKUP($B850,Q,14,FALSE)=0,"",(VLOOKUP($B850,Q,16,FALSE)))</f>
        <v/>
      </c>
      <c r="K850" s="2" t="str">
        <f>IF(VLOOKUP($B850,Q,14,FALSE)=0,"",(VLOOKUP($B850,Q,17,FALSE)))</f>
        <v/>
      </c>
    </row>
    <row r="851" spans="2:11" x14ac:dyDescent="0.6">
      <c r="B851" s="1">
        <v>854</v>
      </c>
      <c r="C851" s="2" t="str">
        <f>IF(VLOOKUP($B851,Q,2,FALSE)=0,"",(VLOOKUP($B851,Q,2,FALSE)))</f>
        <v/>
      </c>
      <c r="D851" s="2" t="str">
        <f>IF(VLOOKUP($B851,Q,3,FALSE)=0,"",(VLOOKUP($B851,Q,3,FALSE)))</f>
        <v/>
      </c>
      <c r="E851" s="2" t="str">
        <f>IF(VLOOKUP($B851,Q,8,FALSE)=0,"",(VLOOKUP($B851,Q,8,FALSE)))</f>
        <v/>
      </c>
      <c r="F851" s="19" t="str">
        <f>IF(VLOOKUP($B851,Q,9,FALSE)=0,"",(VLOOKUP($B851,Q,9,FALSE)))</f>
        <v/>
      </c>
      <c r="G851" s="2" t="str">
        <f>IF(VLOOKUP($B851,Q,10,FALSE)=0,"",(VLOOKUP($B851,Q,10,FALSE)))</f>
        <v/>
      </c>
      <c r="H851" s="2" t="str">
        <f>IF(VLOOKUP($B851,Q,14,FALSE)=0,"",(VLOOKUP($B851,Q,14,FALSE)))</f>
        <v/>
      </c>
      <c r="I851" s="2" t="str">
        <f>IF(VLOOKUP($B851,Q,14,FALSE)=0,"",(VLOOKUP($B851,Q,15,FALSE)))</f>
        <v/>
      </c>
      <c r="J851" s="2" t="str">
        <f>IF(VLOOKUP($B851,Q,14,FALSE)=0,"",(VLOOKUP($B851,Q,16,FALSE)))</f>
        <v/>
      </c>
      <c r="K851" s="2" t="str">
        <f>IF(VLOOKUP($B851,Q,14,FALSE)=0,"",(VLOOKUP($B851,Q,17,FALSE)))</f>
        <v/>
      </c>
    </row>
    <row r="852" spans="2:11" x14ac:dyDescent="0.6">
      <c r="B852" s="1">
        <v>855</v>
      </c>
      <c r="C852" s="2" t="str">
        <f>IF(VLOOKUP($B852,Q,2,FALSE)=0,"",(VLOOKUP($B852,Q,2,FALSE)))</f>
        <v/>
      </c>
      <c r="D852" s="2" t="str">
        <f>IF(VLOOKUP($B852,Q,3,FALSE)=0,"",(VLOOKUP($B852,Q,3,FALSE)))</f>
        <v/>
      </c>
      <c r="E852" s="2" t="str">
        <f>IF(VLOOKUP($B852,Q,8,FALSE)=0,"",(VLOOKUP($B852,Q,8,FALSE)))</f>
        <v/>
      </c>
      <c r="F852" s="19" t="str">
        <f>IF(VLOOKUP($B852,Q,9,FALSE)=0,"",(VLOOKUP($B852,Q,9,FALSE)))</f>
        <v/>
      </c>
      <c r="G852" s="2" t="str">
        <f>IF(VLOOKUP($B852,Q,10,FALSE)=0,"",(VLOOKUP($B852,Q,10,FALSE)))</f>
        <v/>
      </c>
      <c r="H852" s="2" t="str">
        <f>IF(VLOOKUP($B852,Q,14,FALSE)=0,"",(VLOOKUP($B852,Q,14,FALSE)))</f>
        <v/>
      </c>
      <c r="I852" s="2" t="str">
        <f>IF(VLOOKUP($B852,Q,14,FALSE)=0,"",(VLOOKUP($B852,Q,15,FALSE)))</f>
        <v/>
      </c>
      <c r="J852" s="2" t="str">
        <f>IF(VLOOKUP($B852,Q,14,FALSE)=0,"",(VLOOKUP($B852,Q,16,FALSE)))</f>
        <v/>
      </c>
      <c r="K852" s="2" t="str">
        <f>IF(VLOOKUP($B852,Q,14,FALSE)=0,"",(VLOOKUP($B852,Q,17,FALSE)))</f>
        <v/>
      </c>
    </row>
    <row r="853" spans="2:11" x14ac:dyDescent="0.6">
      <c r="B853" s="1">
        <v>856</v>
      </c>
      <c r="C853" s="2" t="str">
        <f>IF(VLOOKUP($B853,Q,2,FALSE)=0,"",(VLOOKUP($B853,Q,2,FALSE)))</f>
        <v/>
      </c>
      <c r="D853" s="2" t="str">
        <f>IF(VLOOKUP($B853,Q,3,FALSE)=0,"",(VLOOKUP($B853,Q,3,FALSE)))</f>
        <v/>
      </c>
      <c r="E853" s="2" t="str">
        <f>IF(VLOOKUP($B853,Q,8,FALSE)=0,"",(VLOOKUP($B853,Q,8,FALSE)))</f>
        <v/>
      </c>
      <c r="F853" s="19" t="str">
        <f>IF(VLOOKUP($B853,Q,9,FALSE)=0,"",(VLOOKUP($B853,Q,9,FALSE)))</f>
        <v/>
      </c>
      <c r="G853" s="2" t="str">
        <f>IF(VLOOKUP($B853,Q,10,FALSE)=0,"",(VLOOKUP($B853,Q,10,FALSE)))</f>
        <v/>
      </c>
      <c r="H853" s="2" t="str">
        <f>IF(VLOOKUP($B853,Q,14,FALSE)=0,"",(VLOOKUP($B853,Q,14,FALSE)))</f>
        <v/>
      </c>
      <c r="I853" s="2" t="str">
        <f>IF(VLOOKUP($B853,Q,14,FALSE)=0,"",(VLOOKUP($B853,Q,15,FALSE)))</f>
        <v/>
      </c>
      <c r="J853" s="2" t="str">
        <f>IF(VLOOKUP($B853,Q,14,FALSE)=0,"",(VLOOKUP($B853,Q,16,FALSE)))</f>
        <v/>
      </c>
      <c r="K853" s="2" t="str">
        <f>IF(VLOOKUP($B853,Q,14,FALSE)=0,"",(VLOOKUP($B853,Q,17,FALSE)))</f>
        <v/>
      </c>
    </row>
    <row r="854" spans="2:11" x14ac:dyDescent="0.6">
      <c r="B854" s="1">
        <v>857</v>
      </c>
      <c r="C854" s="2" t="str">
        <f>IF(VLOOKUP($B854,Q,2,FALSE)=0,"",(VLOOKUP($B854,Q,2,FALSE)))</f>
        <v/>
      </c>
      <c r="D854" s="2" t="str">
        <f>IF(VLOOKUP($B854,Q,3,FALSE)=0,"",(VLOOKUP($B854,Q,3,FALSE)))</f>
        <v/>
      </c>
      <c r="E854" s="2" t="str">
        <f>IF(VLOOKUP($B854,Q,8,FALSE)=0,"",(VLOOKUP($B854,Q,8,FALSE)))</f>
        <v/>
      </c>
      <c r="F854" s="19" t="str">
        <f>IF(VLOOKUP($B854,Q,9,FALSE)=0,"",(VLOOKUP($B854,Q,9,FALSE)))</f>
        <v/>
      </c>
      <c r="G854" s="2" t="str">
        <f>IF(VLOOKUP($B854,Q,10,FALSE)=0,"",(VLOOKUP($B854,Q,10,FALSE)))</f>
        <v/>
      </c>
      <c r="H854" s="2" t="str">
        <f>IF(VLOOKUP($B854,Q,14,FALSE)=0,"",(VLOOKUP($B854,Q,14,FALSE)))</f>
        <v/>
      </c>
      <c r="I854" s="2" t="str">
        <f>IF(VLOOKUP($B854,Q,14,FALSE)=0,"",(VLOOKUP($B854,Q,15,FALSE)))</f>
        <v/>
      </c>
      <c r="J854" s="2" t="str">
        <f>IF(VLOOKUP($B854,Q,14,FALSE)=0,"",(VLOOKUP($B854,Q,16,FALSE)))</f>
        <v/>
      </c>
      <c r="K854" s="2" t="str">
        <f>IF(VLOOKUP($B854,Q,14,FALSE)=0,"",(VLOOKUP($B854,Q,17,FALSE)))</f>
        <v/>
      </c>
    </row>
    <row r="855" spans="2:11" x14ac:dyDescent="0.6">
      <c r="B855" s="1">
        <v>858</v>
      </c>
      <c r="C855" s="2" t="str">
        <f>IF(VLOOKUP($B855,Q,2,FALSE)=0,"",(VLOOKUP($B855,Q,2,FALSE)))</f>
        <v/>
      </c>
      <c r="D855" s="2" t="str">
        <f>IF(VLOOKUP($B855,Q,3,FALSE)=0,"",(VLOOKUP($B855,Q,3,FALSE)))</f>
        <v/>
      </c>
      <c r="E855" s="2" t="str">
        <f>IF(VLOOKUP($B855,Q,8,FALSE)=0,"",(VLOOKUP($B855,Q,8,FALSE)))</f>
        <v/>
      </c>
      <c r="F855" s="19" t="str">
        <f>IF(VLOOKUP($B855,Q,9,FALSE)=0,"",(VLOOKUP($B855,Q,9,FALSE)))</f>
        <v/>
      </c>
      <c r="G855" s="2" t="str">
        <f>IF(VLOOKUP($B855,Q,10,FALSE)=0,"",(VLOOKUP($B855,Q,10,FALSE)))</f>
        <v/>
      </c>
      <c r="H855" s="2" t="str">
        <f>IF(VLOOKUP($B855,Q,14,FALSE)=0,"",(VLOOKUP($B855,Q,14,FALSE)))</f>
        <v/>
      </c>
      <c r="I855" s="2" t="str">
        <f>IF(VLOOKUP($B855,Q,14,FALSE)=0,"",(VLOOKUP($B855,Q,15,FALSE)))</f>
        <v/>
      </c>
      <c r="J855" s="2" t="str">
        <f>IF(VLOOKUP($B855,Q,14,FALSE)=0,"",(VLOOKUP($B855,Q,16,FALSE)))</f>
        <v/>
      </c>
      <c r="K855" s="2" t="str">
        <f>IF(VLOOKUP($B855,Q,14,FALSE)=0,"",(VLOOKUP($B855,Q,17,FALSE)))</f>
        <v/>
      </c>
    </row>
    <row r="856" spans="2:11" x14ac:dyDescent="0.6">
      <c r="B856" s="1">
        <v>859</v>
      </c>
      <c r="C856" s="2" t="str">
        <f>IF(VLOOKUP($B856,Q,2,FALSE)=0,"",(VLOOKUP($B856,Q,2,FALSE)))</f>
        <v/>
      </c>
      <c r="D856" s="2" t="str">
        <f>IF(VLOOKUP($B856,Q,3,FALSE)=0,"",(VLOOKUP($B856,Q,3,FALSE)))</f>
        <v/>
      </c>
      <c r="E856" s="2" t="str">
        <f>IF(VLOOKUP($B856,Q,8,FALSE)=0,"",(VLOOKUP($B856,Q,8,FALSE)))</f>
        <v/>
      </c>
      <c r="F856" s="19" t="str">
        <f>IF(VLOOKUP($B856,Q,9,FALSE)=0,"",(VLOOKUP($B856,Q,9,FALSE)))</f>
        <v/>
      </c>
      <c r="G856" s="2" t="str">
        <f>IF(VLOOKUP($B856,Q,10,FALSE)=0,"",(VLOOKUP($B856,Q,10,FALSE)))</f>
        <v/>
      </c>
      <c r="H856" s="2" t="str">
        <f>IF(VLOOKUP($B856,Q,14,FALSE)=0,"",(VLOOKUP($B856,Q,14,FALSE)))</f>
        <v/>
      </c>
      <c r="I856" s="2" t="str">
        <f>IF(VLOOKUP($B856,Q,14,FALSE)=0,"",(VLOOKUP($B856,Q,15,FALSE)))</f>
        <v/>
      </c>
      <c r="J856" s="2" t="str">
        <f>IF(VLOOKUP($B856,Q,14,FALSE)=0,"",(VLOOKUP($B856,Q,16,FALSE)))</f>
        <v/>
      </c>
      <c r="K856" s="2" t="str">
        <f>IF(VLOOKUP($B856,Q,14,FALSE)=0,"",(VLOOKUP($B856,Q,17,FALSE)))</f>
        <v/>
      </c>
    </row>
    <row r="857" spans="2:11" x14ac:dyDescent="0.6">
      <c r="B857" s="1">
        <v>860</v>
      </c>
      <c r="C857" s="2" t="str">
        <f>IF(VLOOKUP($B857,Q,2,FALSE)=0,"",(VLOOKUP($B857,Q,2,FALSE)))</f>
        <v/>
      </c>
      <c r="D857" s="2" t="str">
        <f>IF(VLOOKUP($B857,Q,3,FALSE)=0,"",(VLOOKUP($B857,Q,3,FALSE)))</f>
        <v/>
      </c>
      <c r="E857" s="2" t="str">
        <f>IF(VLOOKUP($B857,Q,8,FALSE)=0,"",(VLOOKUP($B857,Q,8,FALSE)))</f>
        <v/>
      </c>
      <c r="F857" s="19" t="str">
        <f>IF(VLOOKUP($B857,Q,9,FALSE)=0,"",(VLOOKUP($B857,Q,9,FALSE)))</f>
        <v/>
      </c>
      <c r="G857" s="2" t="str">
        <f>IF(VLOOKUP($B857,Q,10,FALSE)=0,"",(VLOOKUP($B857,Q,10,FALSE)))</f>
        <v/>
      </c>
      <c r="H857" s="2" t="str">
        <f>IF(VLOOKUP($B857,Q,14,FALSE)=0,"",(VLOOKUP($B857,Q,14,FALSE)))</f>
        <v/>
      </c>
      <c r="I857" s="2" t="str">
        <f>IF(VLOOKUP($B857,Q,14,FALSE)=0,"",(VLOOKUP($B857,Q,15,FALSE)))</f>
        <v/>
      </c>
      <c r="J857" s="2" t="str">
        <f>IF(VLOOKUP($B857,Q,14,FALSE)=0,"",(VLOOKUP($B857,Q,16,FALSE)))</f>
        <v/>
      </c>
      <c r="K857" s="2" t="str">
        <f>IF(VLOOKUP($B857,Q,14,FALSE)=0,"",(VLOOKUP($B857,Q,17,FALSE)))</f>
        <v/>
      </c>
    </row>
    <row r="858" spans="2:11" x14ac:dyDescent="0.6">
      <c r="B858" s="1">
        <v>861</v>
      </c>
      <c r="C858" s="2" t="str">
        <f>IF(VLOOKUP($B858,Q,2,FALSE)=0,"",(VLOOKUP($B858,Q,2,FALSE)))</f>
        <v/>
      </c>
      <c r="D858" s="2" t="str">
        <f>IF(VLOOKUP($B858,Q,3,FALSE)=0,"",(VLOOKUP($B858,Q,3,FALSE)))</f>
        <v/>
      </c>
      <c r="E858" s="2" t="str">
        <f>IF(VLOOKUP($B858,Q,8,FALSE)=0,"",(VLOOKUP($B858,Q,8,FALSE)))</f>
        <v/>
      </c>
      <c r="F858" s="19" t="str">
        <f>IF(VLOOKUP($B858,Q,9,FALSE)=0,"",(VLOOKUP($B858,Q,9,FALSE)))</f>
        <v/>
      </c>
      <c r="G858" s="2" t="str">
        <f>IF(VLOOKUP($B858,Q,10,FALSE)=0,"",(VLOOKUP($B858,Q,10,FALSE)))</f>
        <v/>
      </c>
      <c r="H858" s="2" t="str">
        <f>IF(VLOOKUP($B858,Q,14,FALSE)=0,"",(VLOOKUP($B858,Q,14,FALSE)))</f>
        <v/>
      </c>
      <c r="I858" s="2" t="str">
        <f>IF(VLOOKUP($B858,Q,14,FALSE)=0,"",(VLOOKUP($B858,Q,15,FALSE)))</f>
        <v/>
      </c>
      <c r="J858" s="2" t="str">
        <f>IF(VLOOKUP($B858,Q,14,FALSE)=0,"",(VLOOKUP($B858,Q,16,FALSE)))</f>
        <v/>
      </c>
      <c r="K858" s="2" t="str">
        <f>IF(VLOOKUP($B858,Q,14,FALSE)=0,"",(VLOOKUP($B858,Q,17,FALSE)))</f>
        <v/>
      </c>
    </row>
    <row r="859" spans="2:11" x14ac:dyDescent="0.6">
      <c r="B859" s="1">
        <v>862</v>
      </c>
      <c r="C859" s="2" t="str">
        <f>IF(VLOOKUP($B859,Q,2,FALSE)=0,"",(VLOOKUP($B859,Q,2,FALSE)))</f>
        <v/>
      </c>
      <c r="D859" s="2" t="str">
        <f>IF(VLOOKUP($B859,Q,3,FALSE)=0,"",(VLOOKUP($B859,Q,3,FALSE)))</f>
        <v/>
      </c>
      <c r="E859" s="2" t="str">
        <f>IF(VLOOKUP($B859,Q,8,FALSE)=0,"",(VLOOKUP($B859,Q,8,FALSE)))</f>
        <v/>
      </c>
      <c r="F859" s="19" t="str">
        <f>IF(VLOOKUP($B859,Q,9,FALSE)=0,"",(VLOOKUP($B859,Q,9,FALSE)))</f>
        <v/>
      </c>
      <c r="G859" s="2" t="str">
        <f>IF(VLOOKUP($B859,Q,10,FALSE)=0,"",(VLOOKUP($B859,Q,10,FALSE)))</f>
        <v/>
      </c>
      <c r="H859" s="2" t="str">
        <f>IF(VLOOKUP($B859,Q,14,FALSE)=0,"",(VLOOKUP($B859,Q,14,FALSE)))</f>
        <v/>
      </c>
      <c r="I859" s="2" t="str">
        <f>IF(VLOOKUP($B859,Q,14,FALSE)=0,"",(VLOOKUP($B859,Q,15,FALSE)))</f>
        <v/>
      </c>
      <c r="J859" s="2" t="str">
        <f>IF(VLOOKUP($B859,Q,14,FALSE)=0,"",(VLOOKUP($B859,Q,16,FALSE)))</f>
        <v/>
      </c>
      <c r="K859" s="2" t="str">
        <f>IF(VLOOKUP($B859,Q,14,FALSE)=0,"",(VLOOKUP($B859,Q,17,FALSE)))</f>
        <v/>
      </c>
    </row>
    <row r="860" spans="2:11" x14ac:dyDescent="0.6">
      <c r="B860" s="1">
        <v>863</v>
      </c>
      <c r="C860" s="2" t="str">
        <f>IF(VLOOKUP($B860,Q,2,FALSE)=0,"",(VLOOKUP($B860,Q,2,FALSE)))</f>
        <v/>
      </c>
      <c r="D860" s="2" t="str">
        <f>IF(VLOOKUP($B860,Q,3,FALSE)=0,"",(VLOOKUP($B860,Q,3,FALSE)))</f>
        <v/>
      </c>
      <c r="E860" s="2" t="str">
        <f>IF(VLOOKUP($B860,Q,8,FALSE)=0,"",(VLOOKUP($B860,Q,8,FALSE)))</f>
        <v/>
      </c>
      <c r="F860" s="19" t="str">
        <f>IF(VLOOKUP($B860,Q,9,FALSE)=0,"",(VLOOKUP($B860,Q,9,FALSE)))</f>
        <v/>
      </c>
      <c r="G860" s="2" t="str">
        <f>IF(VLOOKUP($B860,Q,10,FALSE)=0,"",(VLOOKUP($B860,Q,10,FALSE)))</f>
        <v/>
      </c>
      <c r="H860" s="2" t="str">
        <f>IF(VLOOKUP($B860,Q,14,FALSE)=0,"",(VLOOKUP($B860,Q,14,FALSE)))</f>
        <v/>
      </c>
      <c r="I860" s="2" t="str">
        <f>IF(VLOOKUP($B860,Q,14,FALSE)=0,"",(VLOOKUP($B860,Q,15,FALSE)))</f>
        <v/>
      </c>
      <c r="J860" s="2" t="str">
        <f>IF(VLOOKUP($B860,Q,14,FALSE)=0,"",(VLOOKUP($B860,Q,16,FALSE)))</f>
        <v/>
      </c>
      <c r="K860" s="2" t="str">
        <f>IF(VLOOKUP($B860,Q,14,FALSE)=0,"",(VLOOKUP($B860,Q,17,FALSE)))</f>
        <v/>
      </c>
    </row>
    <row r="861" spans="2:11" x14ac:dyDescent="0.6">
      <c r="B861" s="1">
        <v>864</v>
      </c>
      <c r="C861" s="2" t="str">
        <f>IF(VLOOKUP($B861,Q,2,FALSE)=0,"",(VLOOKUP($B861,Q,2,FALSE)))</f>
        <v/>
      </c>
      <c r="D861" s="2" t="str">
        <f>IF(VLOOKUP($B861,Q,3,FALSE)=0,"",(VLOOKUP($B861,Q,3,FALSE)))</f>
        <v/>
      </c>
      <c r="E861" s="2" t="str">
        <f>IF(VLOOKUP($B861,Q,8,FALSE)=0,"",(VLOOKUP($B861,Q,8,FALSE)))</f>
        <v/>
      </c>
      <c r="F861" s="19" t="str">
        <f>IF(VLOOKUP($B861,Q,9,FALSE)=0,"",(VLOOKUP($B861,Q,9,FALSE)))</f>
        <v/>
      </c>
      <c r="G861" s="2" t="str">
        <f>IF(VLOOKUP($B861,Q,10,FALSE)=0,"",(VLOOKUP($B861,Q,10,FALSE)))</f>
        <v/>
      </c>
      <c r="H861" s="2" t="str">
        <f>IF(VLOOKUP($B861,Q,14,FALSE)=0,"",(VLOOKUP($B861,Q,14,FALSE)))</f>
        <v/>
      </c>
      <c r="I861" s="2" t="str">
        <f>IF(VLOOKUP($B861,Q,14,FALSE)=0,"",(VLOOKUP($B861,Q,15,FALSE)))</f>
        <v/>
      </c>
      <c r="J861" s="2" t="str">
        <f>IF(VLOOKUP($B861,Q,14,FALSE)=0,"",(VLOOKUP($B861,Q,16,FALSE)))</f>
        <v/>
      </c>
      <c r="K861" s="2" t="str">
        <f>IF(VLOOKUP($B861,Q,14,FALSE)=0,"",(VLOOKUP($B861,Q,17,FALSE)))</f>
        <v/>
      </c>
    </row>
    <row r="862" spans="2:11" x14ac:dyDescent="0.6">
      <c r="B862" s="1">
        <v>865</v>
      </c>
      <c r="C862" s="2" t="str">
        <f>IF(VLOOKUP($B862,Q,2,FALSE)=0,"",(VLOOKUP($B862,Q,2,FALSE)))</f>
        <v/>
      </c>
      <c r="D862" s="2" t="str">
        <f>IF(VLOOKUP($B862,Q,3,FALSE)=0,"",(VLOOKUP($B862,Q,3,FALSE)))</f>
        <v/>
      </c>
      <c r="E862" s="2" t="str">
        <f>IF(VLOOKUP($B862,Q,8,FALSE)=0,"",(VLOOKUP($B862,Q,8,FALSE)))</f>
        <v/>
      </c>
      <c r="F862" s="19" t="str">
        <f>IF(VLOOKUP($B862,Q,9,FALSE)=0,"",(VLOOKUP($B862,Q,9,FALSE)))</f>
        <v/>
      </c>
      <c r="G862" s="2" t="str">
        <f>IF(VLOOKUP($B862,Q,10,FALSE)=0,"",(VLOOKUP($B862,Q,10,FALSE)))</f>
        <v/>
      </c>
      <c r="H862" s="2" t="str">
        <f>IF(VLOOKUP($B862,Q,14,FALSE)=0,"",(VLOOKUP($B862,Q,14,FALSE)))</f>
        <v/>
      </c>
      <c r="I862" s="2" t="str">
        <f>IF(VLOOKUP($B862,Q,14,FALSE)=0,"",(VLOOKUP($B862,Q,15,FALSE)))</f>
        <v/>
      </c>
      <c r="J862" s="2" t="str">
        <f>IF(VLOOKUP($B862,Q,14,FALSE)=0,"",(VLOOKUP($B862,Q,16,FALSE)))</f>
        <v/>
      </c>
      <c r="K862" s="2" t="str">
        <f>IF(VLOOKUP($B862,Q,14,FALSE)=0,"",(VLOOKUP($B862,Q,17,FALSE)))</f>
        <v/>
      </c>
    </row>
    <row r="863" spans="2:11" x14ac:dyDescent="0.6">
      <c r="B863" s="1">
        <v>866</v>
      </c>
      <c r="C863" s="2" t="str">
        <f>IF(VLOOKUP($B863,Q,2,FALSE)=0,"",(VLOOKUP($B863,Q,2,FALSE)))</f>
        <v/>
      </c>
      <c r="D863" s="2" t="str">
        <f>IF(VLOOKUP($B863,Q,3,FALSE)=0,"",(VLOOKUP($B863,Q,3,FALSE)))</f>
        <v/>
      </c>
      <c r="E863" s="2" t="str">
        <f>IF(VLOOKUP($B863,Q,8,FALSE)=0,"",(VLOOKUP($B863,Q,8,FALSE)))</f>
        <v/>
      </c>
      <c r="F863" s="19" t="str">
        <f>IF(VLOOKUP($B863,Q,9,FALSE)=0,"",(VLOOKUP($B863,Q,9,FALSE)))</f>
        <v/>
      </c>
      <c r="G863" s="2" t="str">
        <f>IF(VLOOKUP($B863,Q,10,FALSE)=0,"",(VLOOKUP($B863,Q,10,FALSE)))</f>
        <v/>
      </c>
      <c r="H863" s="2" t="str">
        <f>IF(VLOOKUP($B863,Q,14,FALSE)=0,"",(VLOOKUP($B863,Q,14,FALSE)))</f>
        <v/>
      </c>
      <c r="I863" s="2" t="str">
        <f>IF(VLOOKUP($B863,Q,14,FALSE)=0,"",(VLOOKUP($B863,Q,15,FALSE)))</f>
        <v/>
      </c>
      <c r="J863" s="2" t="str">
        <f>IF(VLOOKUP($B863,Q,14,FALSE)=0,"",(VLOOKUP($B863,Q,16,FALSE)))</f>
        <v/>
      </c>
      <c r="K863" s="2" t="str">
        <f>IF(VLOOKUP($B863,Q,14,FALSE)=0,"",(VLOOKUP($B863,Q,17,FALSE)))</f>
        <v/>
      </c>
    </row>
    <row r="864" spans="2:11" x14ac:dyDescent="0.6">
      <c r="B864" s="1">
        <v>867</v>
      </c>
      <c r="C864" s="2" t="str">
        <f>IF(VLOOKUP($B864,Q,2,FALSE)=0,"",(VLOOKUP($B864,Q,2,FALSE)))</f>
        <v/>
      </c>
      <c r="D864" s="2" t="str">
        <f>IF(VLOOKUP($B864,Q,3,FALSE)=0,"",(VLOOKUP($B864,Q,3,FALSE)))</f>
        <v/>
      </c>
      <c r="E864" s="2" t="str">
        <f>IF(VLOOKUP($B864,Q,8,FALSE)=0,"",(VLOOKUP($B864,Q,8,FALSE)))</f>
        <v/>
      </c>
      <c r="F864" s="19" t="str">
        <f>IF(VLOOKUP($B864,Q,9,FALSE)=0,"",(VLOOKUP($B864,Q,9,FALSE)))</f>
        <v/>
      </c>
      <c r="G864" s="2" t="str">
        <f>IF(VLOOKUP($B864,Q,10,FALSE)=0,"",(VLOOKUP($B864,Q,10,FALSE)))</f>
        <v/>
      </c>
      <c r="H864" s="2" t="str">
        <f>IF(VLOOKUP($B864,Q,14,FALSE)=0,"",(VLOOKUP($B864,Q,14,FALSE)))</f>
        <v/>
      </c>
      <c r="I864" s="2" t="str">
        <f>IF(VLOOKUP($B864,Q,14,FALSE)=0,"",(VLOOKUP($B864,Q,15,FALSE)))</f>
        <v/>
      </c>
      <c r="J864" s="2" t="str">
        <f>IF(VLOOKUP($B864,Q,14,FALSE)=0,"",(VLOOKUP($B864,Q,16,FALSE)))</f>
        <v/>
      </c>
      <c r="K864" s="2" t="str">
        <f>IF(VLOOKUP($B864,Q,14,FALSE)=0,"",(VLOOKUP($B864,Q,17,FALSE)))</f>
        <v/>
      </c>
    </row>
    <row r="865" spans="2:11" x14ac:dyDescent="0.6">
      <c r="B865" s="1">
        <v>868</v>
      </c>
      <c r="C865" s="2" t="str">
        <f>IF(VLOOKUP($B865,Q,2,FALSE)=0,"",(VLOOKUP($B865,Q,2,FALSE)))</f>
        <v/>
      </c>
      <c r="D865" s="2" t="str">
        <f>IF(VLOOKUP($B865,Q,3,FALSE)=0,"",(VLOOKUP($B865,Q,3,FALSE)))</f>
        <v/>
      </c>
      <c r="E865" s="2" t="str">
        <f>IF(VLOOKUP($B865,Q,8,FALSE)=0,"",(VLOOKUP($B865,Q,8,FALSE)))</f>
        <v/>
      </c>
      <c r="F865" s="19" t="str">
        <f>IF(VLOOKUP($B865,Q,9,FALSE)=0,"",(VLOOKUP($B865,Q,9,FALSE)))</f>
        <v/>
      </c>
      <c r="G865" s="2" t="str">
        <f>IF(VLOOKUP($B865,Q,10,FALSE)=0,"",(VLOOKUP($B865,Q,10,FALSE)))</f>
        <v/>
      </c>
      <c r="H865" s="2" t="str">
        <f>IF(VLOOKUP($B865,Q,14,FALSE)=0,"",(VLOOKUP($B865,Q,14,FALSE)))</f>
        <v/>
      </c>
      <c r="I865" s="2" t="str">
        <f>IF(VLOOKUP($B865,Q,14,FALSE)=0,"",(VLOOKUP($B865,Q,15,FALSE)))</f>
        <v/>
      </c>
      <c r="J865" s="2" t="str">
        <f>IF(VLOOKUP($B865,Q,14,FALSE)=0,"",(VLOOKUP($B865,Q,16,FALSE)))</f>
        <v/>
      </c>
      <c r="K865" s="2" t="str">
        <f>IF(VLOOKUP($B865,Q,14,FALSE)=0,"",(VLOOKUP($B865,Q,17,FALSE)))</f>
        <v/>
      </c>
    </row>
    <row r="866" spans="2:11" x14ac:dyDescent="0.6">
      <c r="B866" s="1">
        <v>869</v>
      </c>
      <c r="C866" s="2" t="str">
        <f>IF(VLOOKUP($B866,Q,2,FALSE)=0,"",(VLOOKUP($B866,Q,2,FALSE)))</f>
        <v/>
      </c>
      <c r="D866" s="2" t="str">
        <f>IF(VLOOKUP($B866,Q,3,FALSE)=0,"",(VLOOKUP($B866,Q,3,FALSE)))</f>
        <v/>
      </c>
      <c r="E866" s="2" t="str">
        <f>IF(VLOOKUP($B866,Q,8,FALSE)=0,"",(VLOOKUP($B866,Q,8,FALSE)))</f>
        <v/>
      </c>
      <c r="F866" s="19" t="str">
        <f>IF(VLOOKUP($B866,Q,9,FALSE)=0,"",(VLOOKUP($B866,Q,9,FALSE)))</f>
        <v/>
      </c>
      <c r="G866" s="2" t="str">
        <f>IF(VLOOKUP($B866,Q,10,FALSE)=0,"",(VLOOKUP($B866,Q,10,FALSE)))</f>
        <v/>
      </c>
      <c r="H866" s="2" t="str">
        <f>IF(VLOOKUP($B866,Q,14,FALSE)=0,"",(VLOOKUP($B866,Q,14,FALSE)))</f>
        <v/>
      </c>
      <c r="I866" s="2" t="str">
        <f>IF(VLOOKUP($B866,Q,14,FALSE)=0,"",(VLOOKUP($B866,Q,15,FALSE)))</f>
        <v/>
      </c>
      <c r="J866" s="2" t="str">
        <f>IF(VLOOKUP($B866,Q,14,FALSE)=0,"",(VLOOKUP($B866,Q,16,FALSE)))</f>
        <v/>
      </c>
      <c r="K866" s="2" t="str">
        <f>IF(VLOOKUP($B866,Q,14,FALSE)=0,"",(VLOOKUP($B866,Q,17,FALSE)))</f>
        <v/>
      </c>
    </row>
    <row r="867" spans="2:11" x14ac:dyDescent="0.6">
      <c r="B867" s="1">
        <v>870</v>
      </c>
      <c r="C867" s="2" t="str">
        <f>IF(VLOOKUP($B867,Q,2,FALSE)=0,"",(VLOOKUP($B867,Q,2,FALSE)))</f>
        <v/>
      </c>
      <c r="D867" s="2" t="str">
        <f>IF(VLOOKUP($B867,Q,3,FALSE)=0,"",(VLOOKUP($B867,Q,3,FALSE)))</f>
        <v/>
      </c>
      <c r="E867" s="2" t="str">
        <f>IF(VLOOKUP($B867,Q,8,FALSE)=0,"",(VLOOKUP($B867,Q,8,FALSE)))</f>
        <v/>
      </c>
      <c r="F867" s="19" t="str">
        <f>IF(VLOOKUP($B867,Q,9,FALSE)=0,"",(VLOOKUP($B867,Q,9,FALSE)))</f>
        <v/>
      </c>
      <c r="G867" s="2" t="str">
        <f>IF(VLOOKUP($B867,Q,10,FALSE)=0,"",(VLOOKUP($B867,Q,10,FALSE)))</f>
        <v/>
      </c>
      <c r="H867" s="2" t="str">
        <f>IF(VLOOKUP($B867,Q,14,FALSE)=0,"",(VLOOKUP($B867,Q,14,FALSE)))</f>
        <v/>
      </c>
      <c r="I867" s="2" t="str">
        <f>IF(VLOOKUP($B867,Q,14,FALSE)=0,"",(VLOOKUP($B867,Q,15,FALSE)))</f>
        <v/>
      </c>
      <c r="J867" s="2" t="str">
        <f>IF(VLOOKUP($B867,Q,14,FALSE)=0,"",(VLOOKUP($B867,Q,16,FALSE)))</f>
        <v/>
      </c>
      <c r="K867" s="2" t="str">
        <f>IF(VLOOKUP($B867,Q,14,FALSE)=0,"",(VLOOKUP($B867,Q,17,FALSE)))</f>
        <v/>
      </c>
    </row>
    <row r="868" spans="2:11" x14ac:dyDescent="0.6">
      <c r="B868" s="1">
        <v>871</v>
      </c>
      <c r="C868" s="2" t="str">
        <f>IF(VLOOKUP($B868,Q,2,FALSE)=0,"",(VLOOKUP($B868,Q,2,FALSE)))</f>
        <v/>
      </c>
      <c r="D868" s="2" t="str">
        <f>IF(VLOOKUP($B868,Q,3,FALSE)=0,"",(VLOOKUP($B868,Q,3,FALSE)))</f>
        <v/>
      </c>
      <c r="E868" s="2" t="str">
        <f>IF(VLOOKUP($B868,Q,8,FALSE)=0,"",(VLOOKUP($B868,Q,8,FALSE)))</f>
        <v/>
      </c>
      <c r="F868" s="19" t="str">
        <f>IF(VLOOKUP($B868,Q,9,FALSE)=0,"",(VLOOKUP($B868,Q,9,FALSE)))</f>
        <v/>
      </c>
      <c r="G868" s="2" t="str">
        <f>IF(VLOOKUP($B868,Q,10,FALSE)=0,"",(VLOOKUP($B868,Q,10,FALSE)))</f>
        <v/>
      </c>
      <c r="H868" s="2" t="str">
        <f>IF(VLOOKUP($B868,Q,14,FALSE)=0,"",(VLOOKUP($B868,Q,14,FALSE)))</f>
        <v/>
      </c>
      <c r="I868" s="2" t="str">
        <f>IF(VLOOKUP($B868,Q,14,FALSE)=0,"",(VLOOKUP($B868,Q,15,FALSE)))</f>
        <v/>
      </c>
      <c r="J868" s="2" t="str">
        <f>IF(VLOOKUP($B868,Q,14,FALSE)=0,"",(VLOOKUP($B868,Q,16,FALSE)))</f>
        <v/>
      </c>
      <c r="K868" s="2" t="str">
        <f>IF(VLOOKUP($B868,Q,14,FALSE)=0,"",(VLOOKUP($B868,Q,17,FALSE)))</f>
        <v/>
      </c>
    </row>
    <row r="869" spans="2:11" x14ac:dyDescent="0.6">
      <c r="B869" s="1">
        <v>872</v>
      </c>
      <c r="C869" s="2" t="str">
        <f>IF(VLOOKUP($B869,Q,2,FALSE)=0,"",(VLOOKUP($B869,Q,2,FALSE)))</f>
        <v/>
      </c>
      <c r="D869" s="2" t="str">
        <f>IF(VLOOKUP($B869,Q,3,FALSE)=0,"",(VLOOKUP($B869,Q,3,FALSE)))</f>
        <v/>
      </c>
      <c r="E869" s="2" t="str">
        <f>IF(VLOOKUP($B869,Q,8,FALSE)=0,"",(VLOOKUP($B869,Q,8,FALSE)))</f>
        <v/>
      </c>
      <c r="F869" s="19" t="str">
        <f>IF(VLOOKUP($B869,Q,9,FALSE)=0,"",(VLOOKUP($B869,Q,9,FALSE)))</f>
        <v/>
      </c>
      <c r="G869" s="2" t="str">
        <f>IF(VLOOKUP($B869,Q,10,FALSE)=0,"",(VLOOKUP($B869,Q,10,FALSE)))</f>
        <v/>
      </c>
      <c r="H869" s="2" t="str">
        <f>IF(VLOOKUP($B869,Q,14,FALSE)=0,"",(VLOOKUP($B869,Q,14,FALSE)))</f>
        <v/>
      </c>
      <c r="I869" s="2" t="str">
        <f>IF(VLOOKUP($B869,Q,14,FALSE)=0,"",(VLOOKUP($B869,Q,15,FALSE)))</f>
        <v/>
      </c>
      <c r="J869" s="2" t="str">
        <f>IF(VLOOKUP($B869,Q,14,FALSE)=0,"",(VLOOKUP($B869,Q,16,FALSE)))</f>
        <v/>
      </c>
      <c r="K869" s="2" t="str">
        <f>IF(VLOOKUP($B869,Q,14,FALSE)=0,"",(VLOOKUP($B869,Q,17,FALSE)))</f>
        <v/>
      </c>
    </row>
    <row r="870" spans="2:11" x14ac:dyDescent="0.6">
      <c r="B870" s="1">
        <v>873</v>
      </c>
      <c r="C870" s="2" t="str">
        <f>IF(VLOOKUP($B870,Q,2,FALSE)=0,"",(VLOOKUP($B870,Q,2,FALSE)))</f>
        <v/>
      </c>
      <c r="D870" s="2" t="str">
        <f>IF(VLOOKUP($B870,Q,3,FALSE)=0,"",(VLOOKUP($B870,Q,3,FALSE)))</f>
        <v/>
      </c>
      <c r="E870" s="2" t="str">
        <f>IF(VLOOKUP($B870,Q,8,FALSE)=0,"",(VLOOKUP($B870,Q,8,FALSE)))</f>
        <v/>
      </c>
      <c r="F870" s="19" t="str">
        <f>IF(VLOOKUP($B870,Q,9,FALSE)=0,"",(VLOOKUP($B870,Q,9,FALSE)))</f>
        <v/>
      </c>
      <c r="G870" s="2" t="str">
        <f>IF(VLOOKUP($B870,Q,10,FALSE)=0,"",(VLOOKUP($B870,Q,10,FALSE)))</f>
        <v/>
      </c>
      <c r="H870" s="2" t="str">
        <f>IF(VLOOKUP($B870,Q,14,FALSE)=0,"",(VLOOKUP($B870,Q,14,FALSE)))</f>
        <v/>
      </c>
      <c r="I870" s="2" t="str">
        <f>IF(VLOOKUP($B870,Q,14,FALSE)=0,"",(VLOOKUP($B870,Q,15,FALSE)))</f>
        <v/>
      </c>
      <c r="J870" s="2" t="str">
        <f>IF(VLOOKUP($B870,Q,14,FALSE)=0,"",(VLOOKUP($B870,Q,16,FALSE)))</f>
        <v/>
      </c>
      <c r="K870" s="2" t="str">
        <f>IF(VLOOKUP($B870,Q,14,FALSE)=0,"",(VLOOKUP($B870,Q,17,FALSE)))</f>
        <v/>
      </c>
    </row>
    <row r="871" spans="2:11" x14ac:dyDescent="0.6">
      <c r="B871" s="1">
        <v>874</v>
      </c>
      <c r="C871" s="2" t="str">
        <f>IF(VLOOKUP($B871,Q,2,FALSE)=0,"",(VLOOKUP($B871,Q,2,FALSE)))</f>
        <v/>
      </c>
      <c r="D871" s="2" t="str">
        <f>IF(VLOOKUP($B871,Q,3,FALSE)=0,"",(VLOOKUP($B871,Q,3,FALSE)))</f>
        <v/>
      </c>
      <c r="E871" s="2" t="str">
        <f>IF(VLOOKUP($B871,Q,8,FALSE)=0,"",(VLOOKUP($B871,Q,8,FALSE)))</f>
        <v/>
      </c>
      <c r="F871" s="19" t="str">
        <f>IF(VLOOKUP($B871,Q,9,FALSE)=0,"",(VLOOKUP($B871,Q,9,FALSE)))</f>
        <v/>
      </c>
      <c r="G871" s="2" t="str">
        <f>IF(VLOOKUP($B871,Q,10,FALSE)=0,"",(VLOOKUP($B871,Q,10,FALSE)))</f>
        <v/>
      </c>
      <c r="H871" s="2" t="str">
        <f>IF(VLOOKUP($B871,Q,14,FALSE)=0,"",(VLOOKUP($B871,Q,14,FALSE)))</f>
        <v/>
      </c>
      <c r="I871" s="2" t="str">
        <f>IF(VLOOKUP($B871,Q,14,FALSE)=0,"",(VLOOKUP($B871,Q,15,FALSE)))</f>
        <v/>
      </c>
      <c r="J871" s="2" t="str">
        <f>IF(VLOOKUP($B871,Q,14,FALSE)=0,"",(VLOOKUP($B871,Q,16,FALSE)))</f>
        <v/>
      </c>
      <c r="K871" s="2" t="str">
        <f>IF(VLOOKUP($B871,Q,14,FALSE)=0,"",(VLOOKUP($B871,Q,17,FALSE)))</f>
        <v/>
      </c>
    </row>
    <row r="872" spans="2:11" x14ac:dyDescent="0.6">
      <c r="B872" s="1">
        <v>875</v>
      </c>
      <c r="C872" s="2" t="str">
        <f>IF(VLOOKUP($B872,Q,2,FALSE)=0,"",(VLOOKUP($B872,Q,2,FALSE)))</f>
        <v/>
      </c>
      <c r="D872" s="2" t="str">
        <f>IF(VLOOKUP($B872,Q,3,FALSE)=0,"",(VLOOKUP($B872,Q,3,FALSE)))</f>
        <v/>
      </c>
      <c r="E872" s="2" t="str">
        <f>IF(VLOOKUP($B872,Q,8,FALSE)=0,"",(VLOOKUP($B872,Q,8,FALSE)))</f>
        <v/>
      </c>
      <c r="F872" s="19" t="str">
        <f>IF(VLOOKUP($B872,Q,9,FALSE)=0,"",(VLOOKUP($B872,Q,9,FALSE)))</f>
        <v/>
      </c>
      <c r="G872" s="2" t="str">
        <f>IF(VLOOKUP($B872,Q,10,FALSE)=0,"",(VLOOKUP($B872,Q,10,FALSE)))</f>
        <v/>
      </c>
      <c r="H872" s="2" t="str">
        <f>IF(VLOOKUP($B872,Q,14,FALSE)=0,"",(VLOOKUP($B872,Q,14,FALSE)))</f>
        <v/>
      </c>
      <c r="I872" s="2" t="str">
        <f>IF(VLOOKUP($B872,Q,14,FALSE)=0,"",(VLOOKUP($B872,Q,15,FALSE)))</f>
        <v/>
      </c>
      <c r="J872" s="2" t="str">
        <f>IF(VLOOKUP($B872,Q,14,FALSE)=0,"",(VLOOKUP($B872,Q,16,FALSE)))</f>
        <v/>
      </c>
      <c r="K872" s="2" t="str">
        <f>IF(VLOOKUP($B872,Q,14,FALSE)=0,"",(VLOOKUP($B872,Q,17,FALSE)))</f>
        <v/>
      </c>
    </row>
    <row r="873" spans="2:11" x14ac:dyDescent="0.6">
      <c r="B873" s="1">
        <v>876</v>
      </c>
      <c r="C873" s="2" t="str">
        <f>IF(VLOOKUP($B873,Q,2,FALSE)=0,"",(VLOOKUP($B873,Q,2,FALSE)))</f>
        <v/>
      </c>
      <c r="D873" s="2" t="str">
        <f>IF(VLOOKUP($B873,Q,3,FALSE)=0,"",(VLOOKUP($B873,Q,3,FALSE)))</f>
        <v/>
      </c>
      <c r="E873" s="2" t="str">
        <f>IF(VLOOKUP($B873,Q,8,FALSE)=0,"",(VLOOKUP($B873,Q,8,FALSE)))</f>
        <v/>
      </c>
      <c r="F873" s="19" t="str">
        <f>IF(VLOOKUP($B873,Q,9,FALSE)=0,"",(VLOOKUP($B873,Q,9,FALSE)))</f>
        <v/>
      </c>
      <c r="G873" s="2" t="str">
        <f>IF(VLOOKUP($B873,Q,10,FALSE)=0,"",(VLOOKUP($B873,Q,10,FALSE)))</f>
        <v/>
      </c>
      <c r="H873" s="2" t="str">
        <f>IF(VLOOKUP($B873,Q,14,FALSE)=0,"",(VLOOKUP($B873,Q,14,FALSE)))</f>
        <v/>
      </c>
      <c r="I873" s="2" t="str">
        <f>IF(VLOOKUP($B873,Q,14,FALSE)=0,"",(VLOOKUP($B873,Q,15,FALSE)))</f>
        <v/>
      </c>
      <c r="J873" s="2" t="str">
        <f>IF(VLOOKUP($B873,Q,14,FALSE)=0,"",(VLOOKUP($B873,Q,16,FALSE)))</f>
        <v/>
      </c>
      <c r="K873" s="2" t="str">
        <f>IF(VLOOKUP($B873,Q,14,FALSE)=0,"",(VLOOKUP($B873,Q,17,FALSE)))</f>
        <v/>
      </c>
    </row>
    <row r="874" spans="2:11" x14ac:dyDescent="0.6">
      <c r="B874" s="1">
        <v>877</v>
      </c>
      <c r="C874" s="2" t="str">
        <f>IF(VLOOKUP($B874,Q,2,FALSE)=0,"",(VLOOKUP($B874,Q,2,FALSE)))</f>
        <v/>
      </c>
      <c r="D874" s="2" t="str">
        <f>IF(VLOOKUP($B874,Q,3,FALSE)=0,"",(VLOOKUP($B874,Q,3,FALSE)))</f>
        <v/>
      </c>
      <c r="E874" s="2" t="str">
        <f>IF(VLOOKUP($B874,Q,8,FALSE)=0,"",(VLOOKUP($B874,Q,8,FALSE)))</f>
        <v/>
      </c>
      <c r="F874" s="19" t="str">
        <f>IF(VLOOKUP($B874,Q,9,FALSE)=0,"",(VLOOKUP($B874,Q,9,FALSE)))</f>
        <v/>
      </c>
      <c r="G874" s="2" t="str">
        <f>IF(VLOOKUP($B874,Q,10,FALSE)=0,"",(VLOOKUP($B874,Q,10,FALSE)))</f>
        <v/>
      </c>
      <c r="H874" s="2" t="str">
        <f>IF(VLOOKUP($B874,Q,14,FALSE)=0,"",(VLOOKUP($B874,Q,14,FALSE)))</f>
        <v/>
      </c>
      <c r="I874" s="2" t="str">
        <f>IF(VLOOKUP($B874,Q,14,FALSE)=0,"",(VLOOKUP($B874,Q,15,FALSE)))</f>
        <v/>
      </c>
      <c r="J874" s="2" t="str">
        <f>IF(VLOOKUP($B874,Q,14,FALSE)=0,"",(VLOOKUP($B874,Q,16,FALSE)))</f>
        <v/>
      </c>
      <c r="K874" s="2" t="str">
        <f>IF(VLOOKUP($B874,Q,14,FALSE)=0,"",(VLOOKUP($B874,Q,17,FALSE)))</f>
        <v/>
      </c>
    </row>
    <row r="875" spans="2:11" x14ac:dyDescent="0.6">
      <c r="B875" s="1">
        <v>878</v>
      </c>
      <c r="C875" s="2" t="str">
        <f>IF(VLOOKUP($B875,Q,2,FALSE)=0,"",(VLOOKUP($B875,Q,2,FALSE)))</f>
        <v/>
      </c>
      <c r="D875" s="2" t="str">
        <f>IF(VLOOKUP($B875,Q,3,FALSE)=0,"",(VLOOKUP($B875,Q,3,FALSE)))</f>
        <v/>
      </c>
      <c r="E875" s="2" t="str">
        <f>IF(VLOOKUP($B875,Q,8,FALSE)=0,"",(VLOOKUP($B875,Q,8,FALSE)))</f>
        <v/>
      </c>
      <c r="F875" s="19" t="str">
        <f>IF(VLOOKUP($B875,Q,9,FALSE)=0,"",(VLOOKUP($B875,Q,9,FALSE)))</f>
        <v/>
      </c>
      <c r="G875" s="2" t="str">
        <f>IF(VLOOKUP($B875,Q,10,FALSE)=0,"",(VLOOKUP($B875,Q,10,FALSE)))</f>
        <v/>
      </c>
      <c r="H875" s="2" t="str">
        <f>IF(VLOOKUP($B875,Q,14,FALSE)=0,"",(VLOOKUP($B875,Q,14,FALSE)))</f>
        <v/>
      </c>
      <c r="I875" s="2" t="str">
        <f>IF(VLOOKUP($B875,Q,14,FALSE)=0,"",(VLOOKUP($B875,Q,15,FALSE)))</f>
        <v/>
      </c>
      <c r="J875" s="2" t="str">
        <f>IF(VLOOKUP($B875,Q,14,FALSE)=0,"",(VLOOKUP($B875,Q,16,FALSE)))</f>
        <v/>
      </c>
      <c r="K875" s="2" t="str">
        <f>IF(VLOOKUP($B875,Q,14,FALSE)=0,"",(VLOOKUP($B875,Q,17,FALSE)))</f>
        <v/>
      </c>
    </row>
    <row r="876" spans="2:11" x14ac:dyDescent="0.6">
      <c r="B876" s="1">
        <v>879</v>
      </c>
      <c r="C876" s="2" t="str">
        <f>IF(VLOOKUP($B876,Q,2,FALSE)=0,"",(VLOOKUP($B876,Q,2,FALSE)))</f>
        <v/>
      </c>
      <c r="D876" s="2" t="str">
        <f>IF(VLOOKUP($B876,Q,3,FALSE)=0,"",(VLOOKUP($B876,Q,3,FALSE)))</f>
        <v/>
      </c>
      <c r="E876" s="2" t="str">
        <f>IF(VLOOKUP($B876,Q,8,FALSE)=0,"",(VLOOKUP($B876,Q,8,FALSE)))</f>
        <v/>
      </c>
      <c r="F876" s="19" t="str">
        <f>IF(VLOOKUP($B876,Q,9,FALSE)=0,"",(VLOOKUP($B876,Q,9,FALSE)))</f>
        <v/>
      </c>
      <c r="G876" s="2" t="str">
        <f>IF(VLOOKUP($B876,Q,10,FALSE)=0,"",(VLOOKUP($B876,Q,10,FALSE)))</f>
        <v/>
      </c>
      <c r="H876" s="2" t="str">
        <f>IF(VLOOKUP($B876,Q,14,FALSE)=0,"",(VLOOKUP($B876,Q,14,FALSE)))</f>
        <v/>
      </c>
      <c r="I876" s="2" t="str">
        <f>IF(VLOOKUP($B876,Q,14,FALSE)=0,"",(VLOOKUP($B876,Q,15,FALSE)))</f>
        <v/>
      </c>
      <c r="J876" s="2" t="str">
        <f>IF(VLOOKUP($B876,Q,14,FALSE)=0,"",(VLOOKUP($B876,Q,16,FALSE)))</f>
        <v/>
      </c>
      <c r="K876" s="2" t="str">
        <f>IF(VLOOKUP($B876,Q,14,FALSE)=0,"",(VLOOKUP($B876,Q,17,FALSE)))</f>
        <v/>
      </c>
    </row>
    <row r="877" spans="2:11" x14ac:dyDescent="0.6">
      <c r="B877" s="1">
        <v>880</v>
      </c>
      <c r="C877" s="2" t="str">
        <f>IF(VLOOKUP($B877,Q,2,FALSE)=0,"",(VLOOKUP($B877,Q,2,FALSE)))</f>
        <v/>
      </c>
      <c r="D877" s="2" t="str">
        <f>IF(VLOOKUP($B877,Q,3,FALSE)=0,"",(VLOOKUP($B877,Q,3,FALSE)))</f>
        <v/>
      </c>
      <c r="E877" s="2" t="str">
        <f>IF(VLOOKUP($B877,Q,8,FALSE)=0,"",(VLOOKUP($B877,Q,8,FALSE)))</f>
        <v/>
      </c>
      <c r="F877" s="19" t="str">
        <f>IF(VLOOKUP($B877,Q,9,FALSE)=0,"",(VLOOKUP($B877,Q,9,FALSE)))</f>
        <v/>
      </c>
      <c r="G877" s="2" t="str">
        <f>IF(VLOOKUP($B877,Q,10,FALSE)=0,"",(VLOOKUP($B877,Q,10,FALSE)))</f>
        <v/>
      </c>
      <c r="H877" s="2" t="str">
        <f>IF(VLOOKUP($B877,Q,14,FALSE)=0,"",(VLOOKUP($B877,Q,14,FALSE)))</f>
        <v/>
      </c>
      <c r="I877" s="2" t="str">
        <f>IF(VLOOKUP($B877,Q,14,FALSE)=0,"",(VLOOKUP($B877,Q,15,FALSE)))</f>
        <v/>
      </c>
      <c r="J877" s="2" t="str">
        <f>IF(VLOOKUP($B877,Q,14,FALSE)=0,"",(VLOOKUP($B877,Q,16,FALSE)))</f>
        <v/>
      </c>
      <c r="K877" s="2" t="str">
        <f>IF(VLOOKUP($B877,Q,14,FALSE)=0,"",(VLOOKUP($B877,Q,17,FALSE)))</f>
        <v/>
      </c>
    </row>
    <row r="878" spans="2:11" x14ac:dyDescent="0.6">
      <c r="B878" s="1">
        <v>881</v>
      </c>
      <c r="C878" s="2" t="str">
        <f>IF(VLOOKUP($B878,Q,2,FALSE)=0,"",(VLOOKUP($B878,Q,2,FALSE)))</f>
        <v/>
      </c>
      <c r="D878" s="2" t="str">
        <f>IF(VLOOKUP($B878,Q,3,FALSE)=0,"",(VLOOKUP($B878,Q,3,FALSE)))</f>
        <v/>
      </c>
      <c r="E878" s="2" t="str">
        <f>IF(VLOOKUP($B878,Q,8,FALSE)=0,"",(VLOOKUP($B878,Q,8,FALSE)))</f>
        <v/>
      </c>
      <c r="F878" s="19" t="str">
        <f>IF(VLOOKUP($B878,Q,9,FALSE)=0,"",(VLOOKUP($B878,Q,9,FALSE)))</f>
        <v/>
      </c>
      <c r="G878" s="2" t="str">
        <f>IF(VLOOKUP($B878,Q,10,FALSE)=0,"",(VLOOKUP($B878,Q,10,FALSE)))</f>
        <v/>
      </c>
      <c r="H878" s="2" t="str">
        <f>IF(VLOOKUP($B878,Q,14,FALSE)=0,"",(VLOOKUP($B878,Q,14,FALSE)))</f>
        <v/>
      </c>
      <c r="I878" s="2" t="str">
        <f>IF(VLOOKUP($B878,Q,14,FALSE)=0,"",(VLOOKUP($B878,Q,15,FALSE)))</f>
        <v/>
      </c>
      <c r="J878" s="2" t="str">
        <f>IF(VLOOKUP($B878,Q,14,FALSE)=0,"",(VLOOKUP($B878,Q,16,FALSE)))</f>
        <v/>
      </c>
      <c r="K878" s="2" t="str">
        <f>IF(VLOOKUP($B878,Q,14,FALSE)=0,"",(VLOOKUP($B878,Q,17,FALSE)))</f>
        <v/>
      </c>
    </row>
    <row r="879" spans="2:11" x14ac:dyDescent="0.6">
      <c r="B879" s="1">
        <v>882</v>
      </c>
      <c r="C879" s="2" t="str">
        <f>IF(VLOOKUP($B879,Q,2,FALSE)=0,"",(VLOOKUP($B879,Q,2,FALSE)))</f>
        <v/>
      </c>
      <c r="D879" s="2" t="str">
        <f>IF(VLOOKUP($B879,Q,3,FALSE)=0,"",(VLOOKUP($B879,Q,3,FALSE)))</f>
        <v/>
      </c>
      <c r="E879" s="2" t="str">
        <f>IF(VLOOKUP($B879,Q,8,FALSE)=0,"",(VLOOKUP($B879,Q,8,FALSE)))</f>
        <v/>
      </c>
      <c r="F879" s="19" t="str">
        <f>IF(VLOOKUP($B879,Q,9,FALSE)=0,"",(VLOOKUP($B879,Q,9,FALSE)))</f>
        <v/>
      </c>
      <c r="G879" s="2" t="str">
        <f>IF(VLOOKUP($B879,Q,10,FALSE)=0,"",(VLOOKUP($B879,Q,10,FALSE)))</f>
        <v/>
      </c>
      <c r="H879" s="2" t="str">
        <f>IF(VLOOKUP($B879,Q,14,FALSE)=0,"",(VLOOKUP($B879,Q,14,FALSE)))</f>
        <v/>
      </c>
      <c r="I879" s="2" t="str">
        <f>IF(VLOOKUP($B879,Q,14,FALSE)=0,"",(VLOOKUP($B879,Q,15,FALSE)))</f>
        <v/>
      </c>
      <c r="J879" s="2" t="str">
        <f>IF(VLOOKUP($B879,Q,14,FALSE)=0,"",(VLOOKUP($B879,Q,16,FALSE)))</f>
        <v/>
      </c>
      <c r="K879" s="2" t="str">
        <f>IF(VLOOKUP($B879,Q,14,FALSE)=0,"",(VLOOKUP($B879,Q,17,FALSE)))</f>
        <v/>
      </c>
    </row>
    <row r="880" spans="2:11" x14ac:dyDescent="0.6">
      <c r="B880" s="1">
        <v>883</v>
      </c>
      <c r="C880" s="2" t="str">
        <f>IF(VLOOKUP($B880,Q,2,FALSE)=0,"",(VLOOKUP($B880,Q,2,FALSE)))</f>
        <v/>
      </c>
      <c r="D880" s="2" t="str">
        <f>IF(VLOOKUP($B880,Q,3,FALSE)=0,"",(VLOOKUP($B880,Q,3,FALSE)))</f>
        <v/>
      </c>
      <c r="E880" s="2" t="str">
        <f>IF(VLOOKUP($B880,Q,8,FALSE)=0,"",(VLOOKUP($B880,Q,8,FALSE)))</f>
        <v/>
      </c>
      <c r="F880" s="19" t="str">
        <f>IF(VLOOKUP($B880,Q,9,FALSE)=0,"",(VLOOKUP($B880,Q,9,FALSE)))</f>
        <v/>
      </c>
      <c r="G880" s="2" t="str">
        <f>IF(VLOOKUP($B880,Q,10,FALSE)=0,"",(VLOOKUP($B880,Q,10,FALSE)))</f>
        <v/>
      </c>
      <c r="H880" s="2" t="str">
        <f>IF(VLOOKUP($B880,Q,14,FALSE)=0,"",(VLOOKUP($B880,Q,14,FALSE)))</f>
        <v/>
      </c>
      <c r="I880" s="2" t="str">
        <f>IF(VLOOKUP($B880,Q,14,FALSE)=0,"",(VLOOKUP($B880,Q,15,FALSE)))</f>
        <v/>
      </c>
      <c r="J880" s="2" t="str">
        <f>IF(VLOOKUP($B880,Q,14,FALSE)=0,"",(VLOOKUP($B880,Q,16,FALSE)))</f>
        <v/>
      </c>
      <c r="K880" s="2" t="str">
        <f>IF(VLOOKUP($B880,Q,14,FALSE)=0,"",(VLOOKUP($B880,Q,17,FALSE)))</f>
        <v/>
      </c>
    </row>
    <row r="881" spans="2:11" x14ac:dyDescent="0.6">
      <c r="B881" s="1">
        <v>884</v>
      </c>
      <c r="C881" s="2" t="str">
        <f>IF(VLOOKUP($B881,Q,2,FALSE)=0,"",(VLOOKUP($B881,Q,2,FALSE)))</f>
        <v/>
      </c>
      <c r="D881" s="2" t="str">
        <f>IF(VLOOKUP($B881,Q,3,FALSE)=0,"",(VLOOKUP($B881,Q,3,FALSE)))</f>
        <v/>
      </c>
      <c r="E881" s="2" t="str">
        <f>IF(VLOOKUP($B881,Q,8,FALSE)=0,"",(VLOOKUP($B881,Q,8,FALSE)))</f>
        <v/>
      </c>
      <c r="F881" s="19" t="str">
        <f>IF(VLOOKUP($B881,Q,9,FALSE)=0,"",(VLOOKUP($B881,Q,9,FALSE)))</f>
        <v/>
      </c>
      <c r="G881" s="2" t="str">
        <f>IF(VLOOKUP($B881,Q,10,FALSE)=0,"",(VLOOKUP($B881,Q,10,FALSE)))</f>
        <v/>
      </c>
      <c r="H881" s="2" t="str">
        <f>IF(VLOOKUP($B881,Q,14,FALSE)=0,"",(VLOOKUP($B881,Q,14,FALSE)))</f>
        <v/>
      </c>
      <c r="I881" s="2" t="str">
        <f>IF(VLOOKUP($B881,Q,14,FALSE)=0,"",(VLOOKUP($B881,Q,15,FALSE)))</f>
        <v/>
      </c>
      <c r="J881" s="2" t="str">
        <f>IF(VLOOKUP($B881,Q,14,FALSE)=0,"",(VLOOKUP($B881,Q,16,FALSE)))</f>
        <v/>
      </c>
      <c r="K881" s="2" t="str">
        <f>IF(VLOOKUP($B881,Q,14,FALSE)=0,"",(VLOOKUP($B881,Q,17,FALSE)))</f>
        <v/>
      </c>
    </row>
    <row r="882" spans="2:11" x14ac:dyDescent="0.6">
      <c r="B882" s="1">
        <v>885</v>
      </c>
      <c r="C882" s="2" t="str">
        <f>IF(VLOOKUP($B882,Q,2,FALSE)=0,"",(VLOOKUP($B882,Q,2,FALSE)))</f>
        <v/>
      </c>
      <c r="D882" s="2" t="str">
        <f>IF(VLOOKUP($B882,Q,3,FALSE)=0,"",(VLOOKUP($B882,Q,3,FALSE)))</f>
        <v/>
      </c>
      <c r="E882" s="2" t="str">
        <f>IF(VLOOKUP($B882,Q,8,FALSE)=0,"",(VLOOKUP($B882,Q,8,FALSE)))</f>
        <v/>
      </c>
      <c r="F882" s="19" t="str">
        <f>IF(VLOOKUP($B882,Q,9,FALSE)=0,"",(VLOOKUP($B882,Q,9,FALSE)))</f>
        <v/>
      </c>
      <c r="G882" s="2" t="str">
        <f>IF(VLOOKUP($B882,Q,10,FALSE)=0,"",(VLOOKUP($B882,Q,10,FALSE)))</f>
        <v/>
      </c>
      <c r="H882" s="2" t="str">
        <f>IF(VLOOKUP($B882,Q,14,FALSE)=0,"",(VLOOKUP($B882,Q,14,FALSE)))</f>
        <v/>
      </c>
      <c r="I882" s="2" t="str">
        <f>IF(VLOOKUP($B882,Q,14,FALSE)=0,"",(VLOOKUP($B882,Q,15,FALSE)))</f>
        <v/>
      </c>
      <c r="J882" s="2" t="str">
        <f>IF(VLOOKUP($B882,Q,14,FALSE)=0,"",(VLOOKUP($B882,Q,16,FALSE)))</f>
        <v/>
      </c>
      <c r="K882" s="2" t="str">
        <f>IF(VLOOKUP($B882,Q,14,FALSE)=0,"",(VLOOKUP($B882,Q,17,FALSE)))</f>
        <v/>
      </c>
    </row>
    <row r="883" spans="2:11" x14ac:dyDescent="0.6">
      <c r="B883" s="1">
        <v>886</v>
      </c>
      <c r="C883" s="2" t="str">
        <f>IF(VLOOKUP($B883,Q,2,FALSE)=0,"",(VLOOKUP($B883,Q,2,FALSE)))</f>
        <v/>
      </c>
      <c r="D883" s="2" t="str">
        <f>IF(VLOOKUP($B883,Q,3,FALSE)=0,"",(VLOOKUP($B883,Q,3,FALSE)))</f>
        <v/>
      </c>
      <c r="E883" s="2" t="str">
        <f>IF(VLOOKUP($B883,Q,8,FALSE)=0,"",(VLOOKUP($B883,Q,8,FALSE)))</f>
        <v/>
      </c>
      <c r="F883" s="19" t="str">
        <f>IF(VLOOKUP($B883,Q,9,FALSE)=0,"",(VLOOKUP($B883,Q,9,FALSE)))</f>
        <v/>
      </c>
      <c r="G883" s="2" t="str">
        <f>IF(VLOOKUP($B883,Q,10,FALSE)=0,"",(VLOOKUP($B883,Q,10,FALSE)))</f>
        <v/>
      </c>
      <c r="H883" s="2" t="str">
        <f>IF(VLOOKUP($B883,Q,14,FALSE)=0,"",(VLOOKUP($B883,Q,14,FALSE)))</f>
        <v/>
      </c>
      <c r="I883" s="2" t="str">
        <f>IF(VLOOKUP($B883,Q,14,FALSE)=0,"",(VLOOKUP($B883,Q,15,FALSE)))</f>
        <v/>
      </c>
      <c r="J883" s="2" t="str">
        <f>IF(VLOOKUP($B883,Q,14,FALSE)=0,"",(VLOOKUP($B883,Q,16,FALSE)))</f>
        <v/>
      </c>
      <c r="K883" s="2" t="str">
        <f>IF(VLOOKUP($B883,Q,14,FALSE)=0,"",(VLOOKUP($B883,Q,17,FALSE)))</f>
        <v/>
      </c>
    </row>
    <row r="884" spans="2:11" x14ac:dyDescent="0.6">
      <c r="B884" s="1">
        <v>887</v>
      </c>
      <c r="C884" s="2" t="str">
        <f>IF(VLOOKUP($B884,Q,2,FALSE)=0,"",(VLOOKUP($B884,Q,2,FALSE)))</f>
        <v/>
      </c>
      <c r="D884" s="2" t="str">
        <f>IF(VLOOKUP($B884,Q,3,FALSE)=0,"",(VLOOKUP($B884,Q,3,FALSE)))</f>
        <v/>
      </c>
      <c r="E884" s="2" t="str">
        <f>IF(VLOOKUP($B884,Q,8,FALSE)=0,"",(VLOOKUP($B884,Q,8,FALSE)))</f>
        <v/>
      </c>
      <c r="F884" s="19" t="str">
        <f>IF(VLOOKUP($B884,Q,9,FALSE)=0,"",(VLOOKUP($B884,Q,9,FALSE)))</f>
        <v/>
      </c>
      <c r="G884" s="2" t="str">
        <f>IF(VLOOKUP($B884,Q,10,FALSE)=0,"",(VLOOKUP($B884,Q,10,FALSE)))</f>
        <v/>
      </c>
      <c r="H884" s="2" t="str">
        <f>IF(VLOOKUP($B884,Q,14,FALSE)=0,"",(VLOOKUP($B884,Q,14,FALSE)))</f>
        <v/>
      </c>
      <c r="I884" s="2" t="str">
        <f>IF(VLOOKUP($B884,Q,14,FALSE)=0,"",(VLOOKUP($B884,Q,15,FALSE)))</f>
        <v/>
      </c>
      <c r="J884" s="2" t="str">
        <f>IF(VLOOKUP($B884,Q,14,FALSE)=0,"",(VLOOKUP($B884,Q,16,FALSE)))</f>
        <v/>
      </c>
      <c r="K884" s="2" t="str">
        <f>IF(VLOOKUP($B884,Q,14,FALSE)=0,"",(VLOOKUP($B884,Q,17,FALSE)))</f>
        <v/>
      </c>
    </row>
    <row r="885" spans="2:11" x14ac:dyDescent="0.6">
      <c r="B885" s="1">
        <v>888</v>
      </c>
      <c r="C885" s="2" t="str">
        <f>IF(VLOOKUP($B885,Q,2,FALSE)=0,"",(VLOOKUP($B885,Q,2,FALSE)))</f>
        <v/>
      </c>
      <c r="D885" s="2" t="str">
        <f>IF(VLOOKUP($B885,Q,3,FALSE)=0,"",(VLOOKUP($B885,Q,3,FALSE)))</f>
        <v/>
      </c>
      <c r="E885" s="2" t="str">
        <f>IF(VLOOKUP($B885,Q,8,FALSE)=0,"",(VLOOKUP($B885,Q,8,FALSE)))</f>
        <v/>
      </c>
      <c r="F885" s="19" t="str">
        <f>IF(VLOOKUP($B885,Q,9,FALSE)=0,"",(VLOOKUP($B885,Q,9,FALSE)))</f>
        <v/>
      </c>
      <c r="G885" s="2" t="str">
        <f>IF(VLOOKUP($B885,Q,10,FALSE)=0,"",(VLOOKUP($B885,Q,10,FALSE)))</f>
        <v/>
      </c>
      <c r="H885" s="2" t="str">
        <f>IF(VLOOKUP($B885,Q,14,FALSE)=0,"",(VLOOKUP($B885,Q,14,FALSE)))</f>
        <v/>
      </c>
      <c r="I885" s="2" t="str">
        <f>IF(VLOOKUP($B885,Q,14,FALSE)=0,"",(VLOOKUP($B885,Q,15,FALSE)))</f>
        <v/>
      </c>
      <c r="J885" s="2" t="str">
        <f>IF(VLOOKUP($B885,Q,14,FALSE)=0,"",(VLOOKUP($B885,Q,16,FALSE)))</f>
        <v/>
      </c>
      <c r="K885" s="2" t="str">
        <f>IF(VLOOKUP($B885,Q,14,FALSE)=0,"",(VLOOKUP($B885,Q,17,FALSE)))</f>
        <v/>
      </c>
    </row>
    <row r="886" spans="2:11" x14ac:dyDescent="0.6">
      <c r="B886" s="1">
        <v>889</v>
      </c>
      <c r="C886" s="2" t="str">
        <f>IF(VLOOKUP($B886,Q,2,FALSE)=0,"",(VLOOKUP($B886,Q,2,FALSE)))</f>
        <v/>
      </c>
      <c r="D886" s="2" t="str">
        <f>IF(VLOOKUP($B886,Q,3,FALSE)=0,"",(VLOOKUP($B886,Q,3,FALSE)))</f>
        <v/>
      </c>
      <c r="E886" s="2" t="str">
        <f>IF(VLOOKUP($B886,Q,8,FALSE)=0,"",(VLOOKUP($B886,Q,8,FALSE)))</f>
        <v/>
      </c>
      <c r="F886" s="19" t="str">
        <f>IF(VLOOKUP($B886,Q,9,FALSE)=0,"",(VLOOKUP($B886,Q,9,FALSE)))</f>
        <v/>
      </c>
      <c r="G886" s="2" t="str">
        <f>IF(VLOOKUP($B886,Q,10,FALSE)=0,"",(VLOOKUP($B886,Q,10,FALSE)))</f>
        <v/>
      </c>
      <c r="H886" s="2" t="str">
        <f>IF(VLOOKUP($B886,Q,14,FALSE)=0,"",(VLOOKUP($B886,Q,14,FALSE)))</f>
        <v/>
      </c>
      <c r="I886" s="2" t="str">
        <f>IF(VLOOKUP($B886,Q,14,FALSE)=0,"",(VLOOKUP($B886,Q,15,FALSE)))</f>
        <v/>
      </c>
      <c r="J886" s="2" t="str">
        <f>IF(VLOOKUP($B886,Q,14,FALSE)=0,"",(VLOOKUP($B886,Q,16,FALSE)))</f>
        <v/>
      </c>
      <c r="K886" s="2" t="str">
        <f>IF(VLOOKUP($B886,Q,14,FALSE)=0,"",(VLOOKUP($B886,Q,17,FALSE)))</f>
        <v/>
      </c>
    </row>
    <row r="887" spans="2:11" x14ac:dyDescent="0.6">
      <c r="B887" s="1">
        <v>890</v>
      </c>
      <c r="C887" s="2" t="str">
        <f>IF(VLOOKUP($B887,Q,2,FALSE)=0,"",(VLOOKUP($B887,Q,2,FALSE)))</f>
        <v/>
      </c>
      <c r="D887" s="2" t="str">
        <f>IF(VLOOKUP($B887,Q,3,FALSE)=0,"",(VLOOKUP($B887,Q,3,FALSE)))</f>
        <v/>
      </c>
      <c r="E887" s="2" t="str">
        <f>IF(VLOOKUP($B887,Q,8,FALSE)=0,"",(VLOOKUP($B887,Q,8,FALSE)))</f>
        <v/>
      </c>
      <c r="F887" s="19" t="str">
        <f>IF(VLOOKUP($B887,Q,9,FALSE)=0,"",(VLOOKUP($B887,Q,9,FALSE)))</f>
        <v/>
      </c>
      <c r="G887" s="2" t="str">
        <f>IF(VLOOKUP($B887,Q,10,FALSE)=0,"",(VLOOKUP($B887,Q,10,FALSE)))</f>
        <v/>
      </c>
      <c r="H887" s="2" t="str">
        <f>IF(VLOOKUP($B887,Q,14,FALSE)=0,"",(VLOOKUP($B887,Q,14,FALSE)))</f>
        <v/>
      </c>
      <c r="I887" s="2" t="str">
        <f>IF(VLOOKUP($B887,Q,14,FALSE)=0,"",(VLOOKUP($B887,Q,15,FALSE)))</f>
        <v/>
      </c>
      <c r="J887" s="2" t="str">
        <f>IF(VLOOKUP($B887,Q,14,FALSE)=0,"",(VLOOKUP($B887,Q,16,FALSE)))</f>
        <v/>
      </c>
      <c r="K887" s="2" t="str">
        <f>IF(VLOOKUP($B887,Q,14,FALSE)=0,"",(VLOOKUP($B887,Q,17,FALSE)))</f>
        <v/>
      </c>
    </row>
    <row r="888" spans="2:11" x14ac:dyDescent="0.6">
      <c r="B888" s="1">
        <v>891</v>
      </c>
      <c r="C888" s="2" t="str">
        <f>IF(VLOOKUP($B888,Q,2,FALSE)=0,"",(VLOOKUP($B888,Q,2,FALSE)))</f>
        <v/>
      </c>
      <c r="D888" s="2" t="str">
        <f>IF(VLOOKUP($B888,Q,3,FALSE)=0,"",(VLOOKUP($B888,Q,3,FALSE)))</f>
        <v/>
      </c>
      <c r="E888" s="2" t="str">
        <f>IF(VLOOKUP($B888,Q,8,FALSE)=0,"",(VLOOKUP($B888,Q,8,FALSE)))</f>
        <v/>
      </c>
      <c r="F888" s="19" t="str">
        <f>IF(VLOOKUP($B888,Q,9,FALSE)=0,"",(VLOOKUP($B888,Q,9,FALSE)))</f>
        <v/>
      </c>
      <c r="G888" s="2" t="str">
        <f>IF(VLOOKUP($B888,Q,10,FALSE)=0,"",(VLOOKUP($B888,Q,10,FALSE)))</f>
        <v/>
      </c>
      <c r="H888" s="2" t="str">
        <f>IF(VLOOKUP($B888,Q,14,FALSE)=0,"",(VLOOKUP($B888,Q,14,FALSE)))</f>
        <v/>
      </c>
      <c r="I888" s="2" t="str">
        <f>IF(VLOOKUP($B888,Q,14,FALSE)=0,"",(VLOOKUP($B888,Q,15,FALSE)))</f>
        <v/>
      </c>
      <c r="J888" s="2" t="str">
        <f>IF(VLOOKUP($B888,Q,14,FALSE)=0,"",(VLOOKUP($B888,Q,16,FALSE)))</f>
        <v/>
      </c>
      <c r="K888" s="2" t="str">
        <f>IF(VLOOKUP($B888,Q,14,FALSE)=0,"",(VLOOKUP($B888,Q,17,FALSE)))</f>
        <v/>
      </c>
    </row>
    <row r="889" spans="2:11" x14ac:dyDescent="0.6">
      <c r="B889" s="1">
        <v>892</v>
      </c>
      <c r="C889" s="2" t="str">
        <f>IF(VLOOKUP($B889,Q,2,FALSE)=0,"",(VLOOKUP($B889,Q,2,FALSE)))</f>
        <v/>
      </c>
      <c r="D889" s="2" t="str">
        <f>IF(VLOOKUP($B889,Q,3,FALSE)=0,"",(VLOOKUP($B889,Q,3,FALSE)))</f>
        <v/>
      </c>
      <c r="E889" s="2" t="str">
        <f>IF(VLOOKUP($B889,Q,8,FALSE)=0,"",(VLOOKUP($B889,Q,8,FALSE)))</f>
        <v/>
      </c>
      <c r="F889" s="19" t="str">
        <f>IF(VLOOKUP($B889,Q,9,FALSE)=0,"",(VLOOKUP($B889,Q,9,FALSE)))</f>
        <v/>
      </c>
      <c r="G889" s="2" t="str">
        <f>IF(VLOOKUP($B889,Q,10,FALSE)=0,"",(VLOOKUP($B889,Q,10,FALSE)))</f>
        <v/>
      </c>
      <c r="H889" s="2" t="str">
        <f>IF(VLOOKUP($B889,Q,14,FALSE)=0,"",(VLOOKUP($B889,Q,14,FALSE)))</f>
        <v/>
      </c>
      <c r="I889" s="2" t="str">
        <f>IF(VLOOKUP($B889,Q,14,FALSE)=0,"",(VLOOKUP($B889,Q,15,FALSE)))</f>
        <v/>
      </c>
      <c r="J889" s="2" t="str">
        <f>IF(VLOOKUP($B889,Q,14,FALSE)=0,"",(VLOOKUP($B889,Q,16,FALSE)))</f>
        <v/>
      </c>
      <c r="K889" s="2" t="str">
        <f>IF(VLOOKUP($B889,Q,14,FALSE)=0,"",(VLOOKUP($B889,Q,17,FALSE)))</f>
        <v/>
      </c>
    </row>
    <row r="890" spans="2:11" x14ac:dyDescent="0.6">
      <c r="B890" s="1">
        <v>893</v>
      </c>
      <c r="C890" s="2" t="str">
        <f>IF(VLOOKUP($B890,Q,2,FALSE)=0,"",(VLOOKUP($B890,Q,2,FALSE)))</f>
        <v/>
      </c>
      <c r="D890" s="2" t="str">
        <f>IF(VLOOKUP($B890,Q,3,FALSE)=0,"",(VLOOKUP($B890,Q,3,FALSE)))</f>
        <v/>
      </c>
      <c r="E890" s="2" t="str">
        <f>IF(VLOOKUP($B890,Q,8,FALSE)=0,"",(VLOOKUP($B890,Q,8,FALSE)))</f>
        <v/>
      </c>
      <c r="F890" s="19" t="str">
        <f>IF(VLOOKUP($B890,Q,9,FALSE)=0,"",(VLOOKUP($B890,Q,9,FALSE)))</f>
        <v/>
      </c>
      <c r="G890" s="2" t="str">
        <f>IF(VLOOKUP($B890,Q,10,FALSE)=0,"",(VLOOKUP($B890,Q,10,FALSE)))</f>
        <v/>
      </c>
      <c r="H890" s="2" t="str">
        <f>IF(VLOOKUP($B890,Q,14,FALSE)=0,"",(VLOOKUP($B890,Q,14,FALSE)))</f>
        <v/>
      </c>
      <c r="I890" s="2" t="str">
        <f>IF(VLOOKUP($B890,Q,14,FALSE)=0,"",(VLOOKUP($B890,Q,15,FALSE)))</f>
        <v/>
      </c>
      <c r="J890" s="2" t="str">
        <f>IF(VLOOKUP($B890,Q,14,FALSE)=0,"",(VLOOKUP($B890,Q,16,FALSE)))</f>
        <v/>
      </c>
      <c r="K890" s="2" t="str">
        <f>IF(VLOOKUP($B890,Q,14,FALSE)=0,"",(VLOOKUP($B890,Q,17,FALSE)))</f>
        <v/>
      </c>
    </row>
    <row r="891" spans="2:11" x14ac:dyDescent="0.6">
      <c r="B891" s="1">
        <v>894</v>
      </c>
      <c r="C891" s="2" t="str">
        <f>IF(VLOOKUP($B891,Q,2,FALSE)=0,"",(VLOOKUP($B891,Q,2,FALSE)))</f>
        <v/>
      </c>
      <c r="D891" s="2" t="str">
        <f>IF(VLOOKUP($B891,Q,3,FALSE)=0,"",(VLOOKUP($B891,Q,3,FALSE)))</f>
        <v/>
      </c>
      <c r="E891" s="2" t="str">
        <f>IF(VLOOKUP($B891,Q,8,FALSE)=0,"",(VLOOKUP($B891,Q,8,FALSE)))</f>
        <v/>
      </c>
      <c r="F891" s="19" t="str">
        <f>IF(VLOOKUP($B891,Q,9,FALSE)=0,"",(VLOOKUP($B891,Q,9,FALSE)))</f>
        <v/>
      </c>
      <c r="G891" s="2" t="str">
        <f>IF(VLOOKUP($B891,Q,10,FALSE)=0,"",(VLOOKUP($B891,Q,10,FALSE)))</f>
        <v/>
      </c>
      <c r="H891" s="2" t="str">
        <f>IF(VLOOKUP($B891,Q,14,FALSE)=0,"",(VLOOKUP($B891,Q,14,FALSE)))</f>
        <v/>
      </c>
      <c r="I891" s="2" t="str">
        <f>IF(VLOOKUP($B891,Q,14,FALSE)=0,"",(VLOOKUP($B891,Q,15,FALSE)))</f>
        <v/>
      </c>
      <c r="J891" s="2" t="str">
        <f>IF(VLOOKUP($B891,Q,14,FALSE)=0,"",(VLOOKUP($B891,Q,16,FALSE)))</f>
        <v/>
      </c>
      <c r="K891" s="2" t="str">
        <f>IF(VLOOKUP($B891,Q,14,FALSE)=0,"",(VLOOKUP($B891,Q,17,FALSE)))</f>
        <v/>
      </c>
    </row>
    <row r="892" spans="2:11" x14ac:dyDescent="0.6">
      <c r="B892" s="1">
        <v>895</v>
      </c>
      <c r="C892" s="2" t="str">
        <f>IF(VLOOKUP($B892,Q,2,FALSE)=0,"",(VLOOKUP($B892,Q,2,FALSE)))</f>
        <v/>
      </c>
      <c r="D892" s="2" t="str">
        <f>IF(VLOOKUP($B892,Q,3,FALSE)=0,"",(VLOOKUP($B892,Q,3,FALSE)))</f>
        <v/>
      </c>
      <c r="E892" s="2" t="str">
        <f>IF(VLOOKUP($B892,Q,8,FALSE)=0,"",(VLOOKUP($B892,Q,8,FALSE)))</f>
        <v/>
      </c>
      <c r="F892" s="19" t="str">
        <f>IF(VLOOKUP($B892,Q,9,FALSE)=0,"",(VLOOKUP($B892,Q,9,FALSE)))</f>
        <v/>
      </c>
      <c r="G892" s="2" t="str">
        <f>IF(VLOOKUP($B892,Q,10,FALSE)=0,"",(VLOOKUP($B892,Q,10,FALSE)))</f>
        <v/>
      </c>
      <c r="H892" s="2" t="str">
        <f>IF(VLOOKUP($B892,Q,14,FALSE)=0,"",(VLOOKUP($B892,Q,14,FALSE)))</f>
        <v/>
      </c>
      <c r="I892" s="2" t="str">
        <f>IF(VLOOKUP($B892,Q,14,FALSE)=0,"",(VLOOKUP($B892,Q,15,FALSE)))</f>
        <v/>
      </c>
      <c r="J892" s="2" t="str">
        <f>IF(VLOOKUP($B892,Q,14,FALSE)=0,"",(VLOOKUP($B892,Q,16,FALSE)))</f>
        <v/>
      </c>
      <c r="K892" s="2" t="str">
        <f>IF(VLOOKUP($B892,Q,14,FALSE)=0,"",(VLOOKUP($B892,Q,17,FALSE)))</f>
        <v/>
      </c>
    </row>
    <row r="893" spans="2:11" x14ac:dyDescent="0.6">
      <c r="B893" s="1">
        <v>896</v>
      </c>
      <c r="C893" s="2" t="str">
        <f>IF(VLOOKUP($B893,Q,2,FALSE)=0,"",(VLOOKUP($B893,Q,2,FALSE)))</f>
        <v/>
      </c>
      <c r="D893" s="2" t="str">
        <f>IF(VLOOKUP($B893,Q,3,FALSE)=0,"",(VLOOKUP($B893,Q,3,FALSE)))</f>
        <v/>
      </c>
      <c r="E893" s="2" t="str">
        <f>IF(VLOOKUP($B893,Q,8,FALSE)=0,"",(VLOOKUP($B893,Q,8,FALSE)))</f>
        <v/>
      </c>
      <c r="F893" s="19" t="str">
        <f>IF(VLOOKUP($B893,Q,9,FALSE)=0,"",(VLOOKUP($B893,Q,9,FALSE)))</f>
        <v/>
      </c>
      <c r="G893" s="2" t="str">
        <f>IF(VLOOKUP($B893,Q,10,FALSE)=0,"",(VLOOKUP($B893,Q,10,FALSE)))</f>
        <v/>
      </c>
      <c r="H893" s="2" t="str">
        <f>IF(VLOOKUP($B893,Q,14,FALSE)=0,"",(VLOOKUP($B893,Q,14,FALSE)))</f>
        <v/>
      </c>
      <c r="I893" s="2" t="str">
        <f>IF(VLOOKUP($B893,Q,14,FALSE)=0,"",(VLOOKUP($B893,Q,15,FALSE)))</f>
        <v/>
      </c>
      <c r="J893" s="2" t="str">
        <f>IF(VLOOKUP($B893,Q,14,FALSE)=0,"",(VLOOKUP($B893,Q,16,FALSE)))</f>
        <v/>
      </c>
      <c r="K893" s="2" t="str">
        <f>IF(VLOOKUP($B893,Q,14,FALSE)=0,"",(VLOOKUP($B893,Q,17,FALSE)))</f>
        <v/>
      </c>
    </row>
    <row r="894" spans="2:11" x14ac:dyDescent="0.6">
      <c r="B894" s="1">
        <v>897</v>
      </c>
      <c r="C894" s="2" t="str">
        <f>IF(VLOOKUP($B894,Q,2,FALSE)=0,"",(VLOOKUP($B894,Q,2,FALSE)))</f>
        <v/>
      </c>
      <c r="D894" s="2" t="str">
        <f>IF(VLOOKUP($B894,Q,3,FALSE)=0,"",(VLOOKUP($B894,Q,3,FALSE)))</f>
        <v/>
      </c>
      <c r="E894" s="2" t="str">
        <f>IF(VLOOKUP($B894,Q,8,FALSE)=0,"",(VLOOKUP($B894,Q,8,FALSE)))</f>
        <v/>
      </c>
      <c r="F894" s="19" t="str">
        <f>IF(VLOOKUP($B894,Q,9,FALSE)=0,"",(VLOOKUP($B894,Q,9,FALSE)))</f>
        <v/>
      </c>
      <c r="G894" s="2" t="str">
        <f>IF(VLOOKUP($B894,Q,10,FALSE)=0,"",(VLOOKUP($B894,Q,10,FALSE)))</f>
        <v/>
      </c>
      <c r="H894" s="2" t="str">
        <f>IF(VLOOKUP($B894,Q,14,FALSE)=0,"",(VLOOKUP($B894,Q,14,FALSE)))</f>
        <v/>
      </c>
      <c r="I894" s="2" t="str">
        <f>IF(VLOOKUP($B894,Q,14,FALSE)=0,"",(VLOOKUP($B894,Q,15,FALSE)))</f>
        <v/>
      </c>
      <c r="J894" s="2" t="str">
        <f>IF(VLOOKUP($B894,Q,14,FALSE)=0,"",(VLOOKUP($B894,Q,16,FALSE)))</f>
        <v/>
      </c>
      <c r="K894" s="2" t="str">
        <f>IF(VLOOKUP($B894,Q,14,FALSE)=0,"",(VLOOKUP($B894,Q,17,FALSE)))</f>
        <v/>
      </c>
    </row>
    <row r="895" spans="2:11" x14ac:dyDescent="0.6">
      <c r="B895" s="1">
        <v>898</v>
      </c>
      <c r="C895" s="2" t="str">
        <f>IF(VLOOKUP($B895,Q,2,FALSE)=0,"",(VLOOKUP($B895,Q,2,FALSE)))</f>
        <v/>
      </c>
      <c r="D895" s="2" t="str">
        <f>IF(VLOOKUP($B895,Q,3,FALSE)=0,"",(VLOOKUP($B895,Q,3,FALSE)))</f>
        <v/>
      </c>
      <c r="E895" s="2" t="str">
        <f>IF(VLOOKUP($B895,Q,8,FALSE)=0,"",(VLOOKUP($B895,Q,8,FALSE)))</f>
        <v/>
      </c>
      <c r="F895" s="19" t="str">
        <f>IF(VLOOKUP($B895,Q,9,FALSE)=0,"",(VLOOKUP($B895,Q,9,FALSE)))</f>
        <v/>
      </c>
      <c r="G895" s="2" t="str">
        <f>IF(VLOOKUP($B895,Q,10,FALSE)=0,"",(VLOOKUP($B895,Q,10,FALSE)))</f>
        <v/>
      </c>
      <c r="H895" s="2" t="str">
        <f>IF(VLOOKUP($B895,Q,14,FALSE)=0,"",(VLOOKUP($B895,Q,14,FALSE)))</f>
        <v/>
      </c>
      <c r="I895" s="2" t="str">
        <f>IF(VLOOKUP($B895,Q,14,FALSE)=0,"",(VLOOKUP($B895,Q,15,FALSE)))</f>
        <v/>
      </c>
      <c r="J895" s="2" t="str">
        <f>IF(VLOOKUP($B895,Q,14,FALSE)=0,"",(VLOOKUP($B895,Q,16,FALSE)))</f>
        <v/>
      </c>
      <c r="K895" s="2" t="str">
        <f>IF(VLOOKUP($B895,Q,14,FALSE)=0,"",(VLOOKUP($B895,Q,17,FALSE)))</f>
        <v/>
      </c>
    </row>
    <row r="896" spans="2:11" x14ac:dyDescent="0.6">
      <c r="B896" s="1">
        <v>899</v>
      </c>
      <c r="C896" s="2" t="str">
        <f>IF(VLOOKUP($B896,Q,2,FALSE)=0,"",(VLOOKUP($B896,Q,2,FALSE)))</f>
        <v/>
      </c>
      <c r="D896" s="2" t="str">
        <f>IF(VLOOKUP($B896,Q,3,FALSE)=0,"",(VLOOKUP($B896,Q,3,FALSE)))</f>
        <v/>
      </c>
      <c r="E896" s="2" t="str">
        <f>IF(VLOOKUP($B896,Q,8,FALSE)=0,"",(VLOOKUP($B896,Q,8,FALSE)))</f>
        <v/>
      </c>
      <c r="F896" s="19" t="str">
        <f>IF(VLOOKUP($B896,Q,9,FALSE)=0,"",(VLOOKUP($B896,Q,9,FALSE)))</f>
        <v/>
      </c>
      <c r="G896" s="2" t="str">
        <f>IF(VLOOKUP($B896,Q,10,FALSE)=0,"",(VLOOKUP($B896,Q,10,FALSE)))</f>
        <v/>
      </c>
      <c r="H896" s="2" t="str">
        <f>IF(VLOOKUP($B896,Q,14,FALSE)=0,"",(VLOOKUP($B896,Q,14,FALSE)))</f>
        <v/>
      </c>
      <c r="I896" s="2" t="str">
        <f>IF(VLOOKUP($B896,Q,14,FALSE)=0,"",(VLOOKUP($B896,Q,15,FALSE)))</f>
        <v/>
      </c>
      <c r="J896" s="2" t="str">
        <f>IF(VLOOKUP($B896,Q,14,FALSE)=0,"",(VLOOKUP($B896,Q,16,FALSE)))</f>
        <v/>
      </c>
      <c r="K896" s="2" t="str">
        <f>IF(VLOOKUP($B896,Q,14,FALSE)=0,"",(VLOOKUP($B896,Q,17,FALSE)))</f>
        <v/>
      </c>
    </row>
    <row r="897" spans="2:11" x14ac:dyDescent="0.6">
      <c r="B897" s="1">
        <v>900</v>
      </c>
      <c r="C897" s="2" t="str">
        <f>IF(VLOOKUP($B897,Q,2,FALSE)=0,"",(VLOOKUP($B897,Q,2,FALSE)))</f>
        <v/>
      </c>
      <c r="D897" s="2" t="str">
        <f>IF(VLOOKUP($B897,Q,3,FALSE)=0,"",(VLOOKUP($B897,Q,3,FALSE)))</f>
        <v/>
      </c>
      <c r="E897" s="2" t="str">
        <f>IF(VLOOKUP($B897,Q,8,FALSE)=0,"",(VLOOKUP($B897,Q,8,FALSE)))</f>
        <v/>
      </c>
      <c r="F897" s="19" t="str">
        <f>IF(VLOOKUP($B897,Q,9,FALSE)=0,"",(VLOOKUP($B897,Q,9,FALSE)))</f>
        <v/>
      </c>
      <c r="G897" s="2" t="str">
        <f>IF(VLOOKUP($B897,Q,10,FALSE)=0,"",(VLOOKUP($B897,Q,10,FALSE)))</f>
        <v/>
      </c>
      <c r="H897" s="2" t="str">
        <f>IF(VLOOKUP($B897,Q,14,FALSE)=0,"",(VLOOKUP($B897,Q,14,FALSE)))</f>
        <v/>
      </c>
      <c r="I897" s="2" t="str">
        <f>IF(VLOOKUP($B897,Q,14,FALSE)=0,"",(VLOOKUP($B897,Q,15,FALSE)))</f>
        <v/>
      </c>
      <c r="J897" s="2" t="str">
        <f>IF(VLOOKUP($B897,Q,14,FALSE)=0,"",(VLOOKUP($B897,Q,16,FALSE)))</f>
        <v/>
      </c>
      <c r="K897" s="2" t="str">
        <f>IF(VLOOKUP($B897,Q,14,FALSE)=0,"",(VLOOKUP($B897,Q,17,FALSE)))</f>
        <v/>
      </c>
    </row>
    <row r="898" spans="2:11" x14ac:dyDescent="0.6">
      <c r="B898" s="1">
        <v>901</v>
      </c>
      <c r="C898" s="2" t="str">
        <f>IF(VLOOKUP($B898,Q,2,FALSE)=0,"",(VLOOKUP($B898,Q,2,FALSE)))</f>
        <v/>
      </c>
      <c r="D898" s="2" t="str">
        <f>IF(VLOOKUP($B898,Q,3,FALSE)=0,"",(VLOOKUP($B898,Q,3,FALSE)))</f>
        <v/>
      </c>
      <c r="E898" s="2" t="str">
        <f>IF(VLOOKUP($B898,Q,8,FALSE)=0,"",(VLOOKUP($B898,Q,8,FALSE)))</f>
        <v/>
      </c>
      <c r="F898" s="19" t="str">
        <f>IF(VLOOKUP($B898,Q,9,FALSE)=0,"",(VLOOKUP($B898,Q,9,FALSE)))</f>
        <v/>
      </c>
      <c r="G898" s="2" t="str">
        <f>IF(VLOOKUP($B898,Q,10,FALSE)=0,"",(VLOOKUP($B898,Q,10,FALSE)))</f>
        <v/>
      </c>
      <c r="H898" s="2" t="str">
        <f>IF(VLOOKUP($B898,Q,14,FALSE)=0,"",(VLOOKUP($B898,Q,14,FALSE)))</f>
        <v/>
      </c>
      <c r="I898" s="2" t="str">
        <f>IF(VLOOKUP($B898,Q,14,FALSE)=0,"",(VLOOKUP($B898,Q,15,FALSE)))</f>
        <v/>
      </c>
      <c r="J898" s="2" t="str">
        <f>IF(VLOOKUP($B898,Q,14,FALSE)=0,"",(VLOOKUP($B898,Q,16,FALSE)))</f>
        <v/>
      </c>
      <c r="K898" s="2" t="str">
        <f>IF(VLOOKUP($B898,Q,14,FALSE)=0,"",(VLOOKUP($B898,Q,17,FALSE)))</f>
        <v/>
      </c>
    </row>
    <row r="899" spans="2:11" x14ac:dyDescent="0.6">
      <c r="B899" s="1">
        <v>902</v>
      </c>
      <c r="C899" s="2" t="str">
        <f>IF(VLOOKUP($B899,Q,2,FALSE)=0,"",(VLOOKUP($B899,Q,2,FALSE)))</f>
        <v/>
      </c>
      <c r="D899" s="2" t="str">
        <f>IF(VLOOKUP($B899,Q,3,FALSE)=0,"",(VLOOKUP($B899,Q,3,FALSE)))</f>
        <v/>
      </c>
      <c r="E899" s="2" t="str">
        <f>IF(VLOOKUP($B899,Q,8,FALSE)=0,"",(VLOOKUP($B899,Q,8,FALSE)))</f>
        <v/>
      </c>
      <c r="F899" s="19" t="str">
        <f>IF(VLOOKUP($B899,Q,9,FALSE)=0,"",(VLOOKUP($B899,Q,9,FALSE)))</f>
        <v/>
      </c>
      <c r="G899" s="2" t="str">
        <f>IF(VLOOKUP($B899,Q,10,FALSE)=0,"",(VLOOKUP($B899,Q,10,FALSE)))</f>
        <v/>
      </c>
      <c r="H899" s="2" t="str">
        <f>IF(VLOOKUP($B899,Q,14,FALSE)=0,"",(VLOOKUP($B899,Q,14,FALSE)))</f>
        <v/>
      </c>
      <c r="I899" s="2" t="str">
        <f>IF(VLOOKUP($B899,Q,14,FALSE)=0,"",(VLOOKUP($B899,Q,15,FALSE)))</f>
        <v/>
      </c>
      <c r="J899" s="2" t="str">
        <f>IF(VLOOKUP($B899,Q,14,FALSE)=0,"",(VLOOKUP($B899,Q,16,FALSE)))</f>
        <v/>
      </c>
      <c r="K899" s="2" t="str">
        <f>IF(VLOOKUP($B899,Q,14,FALSE)=0,"",(VLOOKUP($B899,Q,17,FALSE)))</f>
        <v/>
      </c>
    </row>
    <row r="900" spans="2:11" x14ac:dyDescent="0.6">
      <c r="B900" s="1">
        <v>903</v>
      </c>
      <c r="C900" s="2" t="str">
        <f>IF(VLOOKUP($B900,Q,2,FALSE)=0,"",(VLOOKUP($B900,Q,2,FALSE)))</f>
        <v/>
      </c>
      <c r="D900" s="2" t="str">
        <f>IF(VLOOKUP($B900,Q,3,FALSE)=0,"",(VLOOKUP($B900,Q,3,FALSE)))</f>
        <v/>
      </c>
      <c r="E900" s="2" t="str">
        <f>IF(VLOOKUP($B900,Q,8,FALSE)=0,"",(VLOOKUP($B900,Q,8,FALSE)))</f>
        <v/>
      </c>
      <c r="F900" s="19" t="str">
        <f>IF(VLOOKUP($B900,Q,9,FALSE)=0,"",(VLOOKUP($B900,Q,9,FALSE)))</f>
        <v/>
      </c>
      <c r="G900" s="2" t="str">
        <f>IF(VLOOKUP($B900,Q,10,FALSE)=0,"",(VLOOKUP($B900,Q,10,FALSE)))</f>
        <v/>
      </c>
      <c r="H900" s="2" t="str">
        <f>IF(VLOOKUP($B900,Q,14,FALSE)=0,"",(VLOOKUP($B900,Q,14,FALSE)))</f>
        <v/>
      </c>
      <c r="I900" s="2" t="str">
        <f>IF(VLOOKUP($B900,Q,14,FALSE)=0,"",(VLOOKUP($B900,Q,15,FALSE)))</f>
        <v/>
      </c>
      <c r="J900" s="2" t="str">
        <f>IF(VLOOKUP($B900,Q,14,FALSE)=0,"",(VLOOKUP($B900,Q,16,FALSE)))</f>
        <v/>
      </c>
      <c r="K900" s="2" t="str">
        <f>IF(VLOOKUP($B900,Q,14,FALSE)=0,"",(VLOOKUP($B900,Q,17,FALSE)))</f>
        <v/>
      </c>
    </row>
    <row r="901" spans="2:11" x14ac:dyDescent="0.6">
      <c r="B901" s="1">
        <v>904</v>
      </c>
      <c r="C901" s="2" t="str">
        <f>IF(VLOOKUP($B901,Q,2,FALSE)=0,"",(VLOOKUP($B901,Q,2,FALSE)))</f>
        <v/>
      </c>
      <c r="D901" s="2" t="str">
        <f>IF(VLOOKUP($B901,Q,3,FALSE)=0,"",(VLOOKUP($B901,Q,3,FALSE)))</f>
        <v/>
      </c>
      <c r="E901" s="2" t="str">
        <f>IF(VLOOKUP($B901,Q,8,FALSE)=0,"",(VLOOKUP($B901,Q,8,FALSE)))</f>
        <v/>
      </c>
      <c r="F901" s="19" t="str">
        <f>IF(VLOOKUP($B901,Q,9,FALSE)=0,"",(VLOOKUP($B901,Q,9,FALSE)))</f>
        <v/>
      </c>
      <c r="G901" s="2" t="str">
        <f>IF(VLOOKUP($B901,Q,10,FALSE)=0,"",(VLOOKUP($B901,Q,10,FALSE)))</f>
        <v/>
      </c>
      <c r="H901" s="2" t="str">
        <f>IF(VLOOKUP($B901,Q,14,FALSE)=0,"",(VLOOKUP($B901,Q,14,FALSE)))</f>
        <v/>
      </c>
      <c r="I901" s="2" t="str">
        <f>IF(VLOOKUP($B901,Q,14,FALSE)=0,"",(VLOOKUP($B901,Q,15,FALSE)))</f>
        <v/>
      </c>
      <c r="J901" s="2" t="str">
        <f>IF(VLOOKUP($B901,Q,14,FALSE)=0,"",(VLOOKUP($B901,Q,16,FALSE)))</f>
        <v/>
      </c>
      <c r="K901" s="2" t="str">
        <f>IF(VLOOKUP($B901,Q,14,FALSE)=0,"",(VLOOKUP($B901,Q,17,FALSE)))</f>
        <v/>
      </c>
    </row>
    <row r="902" spans="2:11" x14ac:dyDescent="0.6">
      <c r="B902" s="1">
        <v>905</v>
      </c>
      <c r="C902" s="2" t="str">
        <f>IF(VLOOKUP($B902,Q,2,FALSE)=0,"",(VLOOKUP($B902,Q,2,FALSE)))</f>
        <v/>
      </c>
      <c r="D902" s="2" t="str">
        <f>IF(VLOOKUP($B902,Q,3,FALSE)=0,"",(VLOOKUP($B902,Q,3,FALSE)))</f>
        <v/>
      </c>
      <c r="E902" s="2" t="str">
        <f>IF(VLOOKUP($B902,Q,8,FALSE)=0,"",(VLOOKUP($B902,Q,8,FALSE)))</f>
        <v/>
      </c>
      <c r="F902" s="19" t="str">
        <f>IF(VLOOKUP($B902,Q,9,FALSE)=0,"",(VLOOKUP($B902,Q,9,FALSE)))</f>
        <v/>
      </c>
      <c r="G902" s="2" t="str">
        <f>IF(VLOOKUP($B902,Q,10,FALSE)=0,"",(VLOOKUP($B902,Q,10,FALSE)))</f>
        <v/>
      </c>
      <c r="H902" s="2" t="str">
        <f>IF(VLOOKUP($B902,Q,14,FALSE)=0,"",(VLOOKUP($B902,Q,14,FALSE)))</f>
        <v/>
      </c>
      <c r="I902" s="2" t="str">
        <f>IF(VLOOKUP($B902,Q,14,FALSE)=0,"",(VLOOKUP($B902,Q,15,FALSE)))</f>
        <v/>
      </c>
      <c r="J902" s="2" t="str">
        <f>IF(VLOOKUP($B902,Q,14,FALSE)=0,"",(VLOOKUP($B902,Q,16,FALSE)))</f>
        <v/>
      </c>
      <c r="K902" s="2" t="str">
        <f>IF(VLOOKUP($B902,Q,14,FALSE)=0,"",(VLOOKUP($B902,Q,17,FALSE)))</f>
        <v/>
      </c>
    </row>
    <row r="903" spans="2:11" x14ac:dyDescent="0.6">
      <c r="B903" s="1">
        <v>906</v>
      </c>
      <c r="C903" s="2" t="str">
        <f>IF(VLOOKUP($B903,Q,2,FALSE)=0,"",(VLOOKUP($B903,Q,2,FALSE)))</f>
        <v/>
      </c>
      <c r="D903" s="2" t="str">
        <f>IF(VLOOKUP($B903,Q,3,FALSE)=0,"",(VLOOKUP($B903,Q,3,FALSE)))</f>
        <v/>
      </c>
      <c r="E903" s="2" t="str">
        <f>IF(VLOOKUP($B903,Q,8,FALSE)=0,"",(VLOOKUP($B903,Q,8,FALSE)))</f>
        <v/>
      </c>
      <c r="F903" s="19" t="str">
        <f>IF(VLOOKUP($B903,Q,9,FALSE)=0,"",(VLOOKUP($B903,Q,9,FALSE)))</f>
        <v/>
      </c>
      <c r="G903" s="2" t="str">
        <f>IF(VLOOKUP($B903,Q,10,FALSE)=0,"",(VLOOKUP($B903,Q,10,FALSE)))</f>
        <v/>
      </c>
      <c r="H903" s="2" t="str">
        <f>IF(VLOOKUP($B903,Q,14,FALSE)=0,"",(VLOOKUP($B903,Q,14,FALSE)))</f>
        <v/>
      </c>
      <c r="I903" s="2" t="str">
        <f>IF(VLOOKUP($B903,Q,14,FALSE)=0,"",(VLOOKUP($B903,Q,15,FALSE)))</f>
        <v/>
      </c>
      <c r="J903" s="2" t="str">
        <f>IF(VLOOKUP($B903,Q,14,FALSE)=0,"",(VLOOKUP($B903,Q,16,FALSE)))</f>
        <v/>
      </c>
      <c r="K903" s="2" t="str">
        <f>IF(VLOOKUP($B903,Q,14,FALSE)=0,"",(VLOOKUP($B903,Q,17,FALSE)))</f>
        <v/>
      </c>
    </row>
    <row r="904" spans="2:11" x14ac:dyDescent="0.6">
      <c r="B904" s="1">
        <v>907</v>
      </c>
      <c r="C904" s="2" t="str">
        <f>IF(VLOOKUP($B904,Q,2,FALSE)=0,"",(VLOOKUP($B904,Q,2,FALSE)))</f>
        <v/>
      </c>
      <c r="D904" s="2" t="str">
        <f>IF(VLOOKUP($B904,Q,3,FALSE)=0,"",(VLOOKUP($B904,Q,3,FALSE)))</f>
        <v/>
      </c>
      <c r="E904" s="2" t="str">
        <f>IF(VLOOKUP($B904,Q,8,FALSE)=0,"",(VLOOKUP($B904,Q,8,FALSE)))</f>
        <v/>
      </c>
      <c r="F904" s="19" t="str">
        <f>IF(VLOOKUP($B904,Q,9,FALSE)=0,"",(VLOOKUP($B904,Q,9,FALSE)))</f>
        <v/>
      </c>
      <c r="G904" s="2" t="str">
        <f>IF(VLOOKUP($B904,Q,10,FALSE)=0,"",(VLOOKUP($B904,Q,10,FALSE)))</f>
        <v/>
      </c>
      <c r="H904" s="2" t="str">
        <f>IF(VLOOKUP($B904,Q,14,FALSE)=0,"",(VLOOKUP($B904,Q,14,FALSE)))</f>
        <v/>
      </c>
      <c r="I904" s="2" t="str">
        <f>IF(VLOOKUP($B904,Q,14,FALSE)=0,"",(VLOOKUP($B904,Q,15,FALSE)))</f>
        <v/>
      </c>
      <c r="J904" s="2" t="str">
        <f>IF(VLOOKUP($B904,Q,14,FALSE)=0,"",(VLOOKUP($B904,Q,16,FALSE)))</f>
        <v/>
      </c>
      <c r="K904" s="2" t="str">
        <f>IF(VLOOKUP($B904,Q,14,FALSE)=0,"",(VLOOKUP($B904,Q,17,FALSE)))</f>
        <v/>
      </c>
    </row>
    <row r="905" spans="2:11" x14ac:dyDescent="0.6">
      <c r="B905" s="1">
        <v>908</v>
      </c>
      <c r="C905" s="2" t="str">
        <f>IF(VLOOKUP($B905,Q,2,FALSE)=0,"",(VLOOKUP($B905,Q,2,FALSE)))</f>
        <v/>
      </c>
      <c r="D905" s="2" t="str">
        <f>IF(VLOOKUP($B905,Q,3,FALSE)=0,"",(VLOOKUP($B905,Q,3,FALSE)))</f>
        <v/>
      </c>
      <c r="E905" s="2" t="str">
        <f>IF(VLOOKUP($B905,Q,8,FALSE)=0,"",(VLOOKUP($B905,Q,8,FALSE)))</f>
        <v/>
      </c>
      <c r="F905" s="19" t="str">
        <f>IF(VLOOKUP($B905,Q,9,FALSE)=0,"",(VLOOKUP($B905,Q,9,FALSE)))</f>
        <v/>
      </c>
      <c r="G905" s="2" t="str">
        <f>IF(VLOOKUP($B905,Q,10,FALSE)=0,"",(VLOOKUP($B905,Q,10,FALSE)))</f>
        <v/>
      </c>
      <c r="H905" s="2" t="str">
        <f>IF(VLOOKUP($B905,Q,14,FALSE)=0,"",(VLOOKUP($B905,Q,14,FALSE)))</f>
        <v/>
      </c>
      <c r="I905" s="2" t="str">
        <f>IF(VLOOKUP($B905,Q,14,FALSE)=0,"",(VLOOKUP($B905,Q,15,FALSE)))</f>
        <v/>
      </c>
      <c r="J905" s="2" t="str">
        <f>IF(VLOOKUP($B905,Q,14,FALSE)=0,"",(VLOOKUP($B905,Q,16,FALSE)))</f>
        <v/>
      </c>
      <c r="K905" s="2" t="str">
        <f>IF(VLOOKUP($B905,Q,14,FALSE)=0,"",(VLOOKUP($B905,Q,17,FALSE)))</f>
        <v/>
      </c>
    </row>
    <row r="906" spans="2:11" x14ac:dyDescent="0.6">
      <c r="B906" s="1">
        <v>909</v>
      </c>
      <c r="C906" s="2" t="str">
        <f>IF(VLOOKUP($B906,Q,2,FALSE)=0,"",(VLOOKUP($B906,Q,2,FALSE)))</f>
        <v/>
      </c>
      <c r="D906" s="2" t="str">
        <f>IF(VLOOKUP($B906,Q,3,FALSE)=0,"",(VLOOKUP($B906,Q,3,FALSE)))</f>
        <v/>
      </c>
      <c r="E906" s="2" t="str">
        <f>IF(VLOOKUP($B906,Q,8,FALSE)=0,"",(VLOOKUP($B906,Q,8,FALSE)))</f>
        <v/>
      </c>
      <c r="F906" s="19" t="str">
        <f>IF(VLOOKUP($B906,Q,9,FALSE)=0,"",(VLOOKUP($B906,Q,9,FALSE)))</f>
        <v/>
      </c>
      <c r="G906" s="2" t="str">
        <f>IF(VLOOKUP($B906,Q,10,FALSE)=0,"",(VLOOKUP($B906,Q,10,FALSE)))</f>
        <v/>
      </c>
      <c r="H906" s="2" t="str">
        <f>IF(VLOOKUP($B906,Q,14,FALSE)=0,"",(VLOOKUP($B906,Q,14,FALSE)))</f>
        <v/>
      </c>
      <c r="I906" s="2" t="str">
        <f>IF(VLOOKUP($B906,Q,14,FALSE)=0,"",(VLOOKUP($B906,Q,15,FALSE)))</f>
        <v/>
      </c>
      <c r="J906" s="2" t="str">
        <f>IF(VLOOKUP($B906,Q,14,FALSE)=0,"",(VLOOKUP($B906,Q,16,FALSE)))</f>
        <v/>
      </c>
      <c r="K906" s="2" t="str">
        <f>IF(VLOOKUP($B906,Q,14,FALSE)=0,"",(VLOOKUP($B906,Q,17,FALSE)))</f>
        <v/>
      </c>
    </row>
    <row r="907" spans="2:11" x14ac:dyDescent="0.6">
      <c r="B907" s="1">
        <v>910</v>
      </c>
      <c r="C907" s="2" t="str">
        <f>IF(VLOOKUP($B907,Q,2,FALSE)=0,"",(VLOOKUP($B907,Q,2,FALSE)))</f>
        <v/>
      </c>
      <c r="D907" s="2" t="str">
        <f>IF(VLOOKUP($B907,Q,3,FALSE)=0,"",(VLOOKUP($B907,Q,3,FALSE)))</f>
        <v/>
      </c>
      <c r="E907" s="2" t="str">
        <f>IF(VLOOKUP($B907,Q,8,FALSE)=0,"",(VLOOKUP($B907,Q,8,FALSE)))</f>
        <v/>
      </c>
      <c r="F907" s="19" t="str">
        <f>IF(VLOOKUP($B907,Q,9,FALSE)=0,"",(VLOOKUP($B907,Q,9,FALSE)))</f>
        <v/>
      </c>
      <c r="G907" s="2" t="str">
        <f>IF(VLOOKUP($B907,Q,10,FALSE)=0,"",(VLOOKUP($B907,Q,10,FALSE)))</f>
        <v/>
      </c>
      <c r="H907" s="2" t="str">
        <f>IF(VLOOKUP($B907,Q,14,FALSE)=0,"",(VLOOKUP($B907,Q,14,FALSE)))</f>
        <v/>
      </c>
      <c r="I907" s="2" t="str">
        <f>IF(VLOOKUP($B907,Q,14,FALSE)=0,"",(VLOOKUP($B907,Q,15,FALSE)))</f>
        <v/>
      </c>
      <c r="J907" s="2" t="str">
        <f>IF(VLOOKUP($B907,Q,14,FALSE)=0,"",(VLOOKUP($B907,Q,16,FALSE)))</f>
        <v/>
      </c>
      <c r="K907" s="2" t="str">
        <f>IF(VLOOKUP($B907,Q,14,FALSE)=0,"",(VLOOKUP($B907,Q,17,FALSE)))</f>
        <v/>
      </c>
    </row>
    <row r="908" spans="2:11" x14ac:dyDescent="0.6">
      <c r="B908" s="1">
        <v>911</v>
      </c>
      <c r="C908" s="2" t="str">
        <f>IF(VLOOKUP($B908,Q,2,FALSE)=0,"",(VLOOKUP($B908,Q,2,FALSE)))</f>
        <v/>
      </c>
      <c r="D908" s="2" t="str">
        <f>IF(VLOOKUP($B908,Q,3,FALSE)=0,"",(VLOOKUP($B908,Q,3,FALSE)))</f>
        <v/>
      </c>
      <c r="E908" s="2" t="str">
        <f>IF(VLOOKUP($B908,Q,8,FALSE)=0,"",(VLOOKUP($B908,Q,8,FALSE)))</f>
        <v/>
      </c>
      <c r="F908" s="19" t="str">
        <f>IF(VLOOKUP($B908,Q,9,FALSE)=0,"",(VLOOKUP($B908,Q,9,FALSE)))</f>
        <v/>
      </c>
      <c r="G908" s="2" t="str">
        <f>IF(VLOOKUP($B908,Q,10,FALSE)=0,"",(VLOOKUP($B908,Q,10,FALSE)))</f>
        <v/>
      </c>
      <c r="H908" s="2" t="str">
        <f>IF(VLOOKUP($B908,Q,14,FALSE)=0,"",(VLOOKUP($B908,Q,14,FALSE)))</f>
        <v/>
      </c>
      <c r="I908" s="2" t="str">
        <f>IF(VLOOKUP($B908,Q,14,FALSE)=0,"",(VLOOKUP($B908,Q,15,FALSE)))</f>
        <v/>
      </c>
      <c r="J908" s="2" t="str">
        <f>IF(VLOOKUP($B908,Q,14,FALSE)=0,"",(VLOOKUP($B908,Q,16,FALSE)))</f>
        <v/>
      </c>
      <c r="K908" s="2" t="str">
        <f>IF(VLOOKUP($B908,Q,14,FALSE)=0,"",(VLOOKUP($B908,Q,17,FALSE)))</f>
        <v/>
      </c>
    </row>
    <row r="909" spans="2:11" x14ac:dyDescent="0.6">
      <c r="B909" s="1">
        <v>912</v>
      </c>
      <c r="C909" s="2" t="str">
        <f>IF(VLOOKUP($B909,Q,2,FALSE)=0,"",(VLOOKUP($B909,Q,2,FALSE)))</f>
        <v/>
      </c>
      <c r="D909" s="2" t="str">
        <f>IF(VLOOKUP($B909,Q,3,FALSE)=0,"",(VLOOKUP($B909,Q,3,FALSE)))</f>
        <v/>
      </c>
      <c r="E909" s="2" t="str">
        <f>IF(VLOOKUP($B909,Q,8,FALSE)=0,"",(VLOOKUP($B909,Q,8,FALSE)))</f>
        <v/>
      </c>
      <c r="F909" s="19" t="str">
        <f>IF(VLOOKUP($B909,Q,9,FALSE)=0,"",(VLOOKUP($B909,Q,9,FALSE)))</f>
        <v/>
      </c>
      <c r="G909" s="2" t="str">
        <f>IF(VLOOKUP($B909,Q,10,FALSE)=0,"",(VLOOKUP($B909,Q,10,FALSE)))</f>
        <v/>
      </c>
      <c r="H909" s="2" t="str">
        <f>IF(VLOOKUP($B909,Q,14,FALSE)=0,"",(VLOOKUP($B909,Q,14,FALSE)))</f>
        <v/>
      </c>
      <c r="I909" s="2" t="str">
        <f>IF(VLOOKUP($B909,Q,14,FALSE)=0,"",(VLOOKUP($B909,Q,15,FALSE)))</f>
        <v/>
      </c>
      <c r="J909" s="2" t="str">
        <f>IF(VLOOKUP($B909,Q,14,FALSE)=0,"",(VLOOKUP($B909,Q,16,FALSE)))</f>
        <v/>
      </c>
      <c r="K909" s="2" t="str">
        <f>IF(VLOOKUP($B909,Q,14,FALSE)=0,"",(VLOOKUP($B909,Q,17,FALSE)))</f>
        <v/>
      </c>
    </row>
    <row r="910" spans="2:11" x14ac:dyDescent="0.6">
      <c r="B910" s="1">
        <v>913</v>
      </c>
      <c r="C910" s="2" t="str">
        <f>IF(VLOOKUP($B910,Q,2,FALSE)=0,"",(VLOOKUP($B910,Q,2,FALSE)))</f>
        <v/>
      </c>
      <c r="D910" s="2" t="str">
        <f>IF(VLOOKUP($B910,Q,3,FALSE)=0,"",(VLOOKUP($B910,Q,3,FALSE)))</f>
        <v/>
      </c>
      <c r="E910" s="2" t="str">
        <f>IF(VLOOKUP($B910,Q,8,FALSE)=0,"",(VLOOKUP($B910,Q,8,FALSE)))</f>
        <v/>
      </c>
      <c r="F910" s="19" t="str">
        <f>IF(VLOOKUP($B910,Q,9,FALSE)=0,"",(VLOOKUP($B910,Q,9,FALSE)))</f>
        <v/>
      </c>
      <c r="G910" s="2" t="str">
        <f>IF(VLOOKUP($B910,Q,10,FALSE)=0,"",(VLOOKUP($B910,Q,10,FALSE)))</f>
        <v/>
      </c>
      <c r="H910" s="2" t="str">
        <f>IF(VLOOKUP($B910,Q,14,FALSE)=0,"",(VLOOKUP($B910,Q,14,FALSE)))</f>
        <v/>
      </c>
      <c r="I910" s="2" t="str">
        <f>IF(VLOOKUP($B910,Q,14,FALSE)=0,"",(VLOOKUP($B910,Q,15,FALSE)))</f>
        <v/>
      </c>
      <c r="J910" s="2" t="str">
        <f>IF(VLOOKUP($B910,Q,14,FALSE)=0,"",(VLOOKUP($B910,Q,16,FALSE)))</f>
        <v/>
      </c>
      <c r="K910" s="2" t="str">
        <f>IF(VLOOKUP($B910,Q,14,FALSE)=0,"",(VLOOKUP($B910,Q,17,FALSE)))</f>
        <v/>
      </c>
    </row>
    <row r="911" spans="2:11" x14ac:dyDescent="0.6">
      <c r="B911" s="1">
        <v>914</v>
      </c>
      <c r="C911" s="2" t="str">
        <f>IF(VLOOKUP($B911,Q,2,FALSE)=0,"",(VLOOKUP($B911,Q,2,FALSE)))</f>
        <v/>
      </c>
      <c r="D911" s="2" t="str">
        <f>IF(VLOOKUP($B911,Q,3,FALSE)=0,"",(VLOOKUP($B911,Q,3,FALSE)))</f>
        <v/>
      </c>
      <c r="E911" s="2" t="str">
        <f>IF(VLOOKUP($B911,Q,8,FALSE)=0,"",(VLOOKUP($B911,Q,8,FALSE)))</f>
        <v/>
      </c>
      <c r="F911" s="19" t="str">
        <f>IF(VLOOKUP($B911,Q,9,FALSE)=0,"",(VLOOKUP($B911,Q,9,FALSE)))</f>
        <v/>
      </c>
      <c r="G911" s="2" t="str">
        <f>IF(VLOOKUP($B911,Q,10,FALSE)=0,"",(VLOOKUP($B911,Q,10,FALSE)))</f>
        <v/>
      </c>
      <c r="H911" s="2" t="str">
        <f>IF(VLOOKUP($B911,Q,14,FALSE)=0,"",(VLOOKUP($B911,Q,14,FALSE)))</f>
        <v/>
      </c>
      <c r="I911" s="2" t="str">
        <f>IF(VLOOKUP($B911,Q,14,FALSE)=0,"",(VLOOKUP($B911,Q,15,FALSE)))</f>
        <v/>
      </c>
      <c r="J911" s="2" t="str">
        <f>IF(VLOOKUP($B911,Q,14,FALSE)=0,"",(VLOOKUP($B911,Q,16,FALSE)))</f>
        <v/>
      </c>
      <c r="K911" s="2" t="str">
        <f>IF(VLOOKUP($B911,Q,14,FALSE)=0,"",(VLOOKUP($B911,Q,17,FALSE)))</f>
        <v/>
      </c>
    </row>
    <row r="912" spans="2:11" x14ac:dyDescent="0.6">
      <c r="B912" s="1">
        <v>915</v>
      </c>
      <c r="C912" s="2" t="str">
        <f>IF(VLOOKUP($B912,Q,2,FALSE)=0,"",(VLOOKUP($B912,Q,2,FALSE)))</f>
        <v/>
      </c>
      <c r="D912" s="2" t="str">
        <f>IF(VLOOKUP($B912,Q,3,FALSE)=0,"",(VLOOKUP($B912,Q,3,FALSE)))</f>
        <v/>
      </c>
      <c r="E912" s="2" t="str">
        <f>IF(VLOOKUP($B912,Q,8,FALSE)=0,"",(VLOOKUP($B912,Q,8,FALSE)))</f>
        <v/>
      </c>
      <c r="F912" s="19" t="str">
        <f>IF(VLOOKUP($B912,Q,9,FALSE)=0,"",(VLOOKUP($B912,Q,9,FALSE)))</f>
        <v/>
      </c>
      <c r="G912" s="2" t="str">
        <f>IF(VLOOKUP($B912,Q,10,FALSE)=0,"",(VLOOKUP($B912,Q,10,FALSE)))</f>
        <v/>
      </c>
      <c r="H912" s="2" t="str">
        <f>IF(VLOOKUP($B912,Q,14,FALSE)=0,"",(VLOOKUP($B912,Q,14,FALSE)))</f>
        <v/>
      </c>
      <c r="I912" s="2" t="str">
        <f>IF(VLOOKUP($B912,Q,14,FALSE)=0,"",(VLOOKUP($B912,Q,15,FALSE)))</f>
        <v/>
      </c>
      <c r="J912" s="2" t="str">
        <f>IF(VLOOKUP($B912,Q,14,FALSE)=0,"",(VLOOKUP($B912,Q,16,FALSE)))</f>
        <v/>
      </c>
      <c r="K912" s="2" t="str">
        <f>IF(VLOOKUP($B912,Q,14,FALSE)=0,"",(VLOOKUP($B912,Q,17,FALSE)))</f>
        <v/>
      </c>
    </row>
    <row r="913" spans="2:11" x14ac:dyDescent="0.6">
      <c r="B913" s="1">
        <v>916</v>
      </c>
      <c r="C913" s="2" t="str">
        <f>IF(VLOOKUP($B913,Q,2,FALSE)=0,"",(VLOOKUP($B913,Q,2,FALSE)))</f>
        <v/>
      </c>
      <c r="D913" s="2" t="str">
        <f>IF(VLOOKUP($B913,Q,3,FALSE)=0,"",(VLOOKUP($B913,Q,3,FALSE)))</f>
        <v/>
      </c>
      <c r="E913" s="2" t="str">
        <f>IF(VLOOKUP($B913,Q,8,FALSE)=0,"",(VLOOKUP($B913,Q,8,FALSE)))</f>
        <v/>
      </c>
      <c r="F913" s="19" t="str">
        <f>IF(VLOOKUP($B913,Q,9,FALSE)=0,"",(VLOOKUP($B913,Q,9,FALSE)))</f>
        <v/>
      </c>
      <c r="G913" s="2" t="str">
        <f>IF(VLOOKUP($B913,Q,10,FALSE)=0,"",(VLOOKUP($B913,Q,10,FALSE)))</f>
        <v/>
      </c>
      <c r="H913" s="2" t="str">
        <f>IF(VLOOKUP($B913,Q,14,FALSE)=0,"",(VLOOKUP($B913,Q,14,FALSE)))</f>
        <v/>
      </c>
      <c r="I913" s="2" t="str">
        <f>IF(VLOOKUP($B913,Q,14,FALSE)=0,"",(VLOOKUP($B913,Q,15,FALSE)))</f>
        <v/>
      </c>
      <c r="J913" s="2" t="str">
        <f>IF(VLOOKUP($B913,Q,14,FALSE)=0,"",(VLOOKUP($B913,Q,16,FALSE)))</f>
        <v/>
      </c>
      <c r="K913" s="2" t="str">
        <f>IF(VLOOKUP($B913,Q,14,FALSE)=0,"",(VLOOKUP($B913,Q,17,FALSE)))</f>
        <v/>
      </c>
    </row>
    <row r="914" spans="2:11" x14ac:dyDescent="0.6">
      <c r="B914" s="1">
        <v>917</v>
      </c>
      <c r="C914" s="2" t="str">
        <f>IF(VLOOKUP($B914,Q,2,FALSE)=0,"",(VLOOKUP($B914,Q,2,FALSE)))</f>
        <v/>
      </c>
      <c r="D914" s="2" t="str">
        <f>IF(VLOOKUP($B914,Q,3,FALSE)=0,"",(VLOOKUP($B914,Q,3,FALSE)))</f>
        <v/>
      </c>
      <c r="E914" s="2" t="str">
        <f>IF(VLOOKUP($B914,Q,8,FALSE)=0,"",(VLOOKUP($B914,Q,8,FALSE)))</f>
        <v/>
      </c>
      <c r="F914" s="19" t="str">
        <f>IF(VLOOKUP($B914,Q,9,FALSE)=0,"",(VLOOKUP($B914,Q,9,FALSE)))</f>
        <v/>
      </c>
      <c r="G914" s="2" t="str">
        <f>IF(VLOOKUP($B914,Q,10,FALSE)=0,"",(VLOOKUP($B914,Q,10,FALSE)))</f>
        <v/>
      </c>
      <c r="H914" s="2" t="str">
        <f>IF(VLOOKUP($B914,Q,14,FALSE)=0,"",(VLOOKUP($B914,Q,14,FALSE)))</f>
        <v/>
      </c>
      <c r="I914" s="2" t="str">
        <f>IF(VLOOKUP($B914,Q,14,FALSE)=0,"",(VLOOKUP($B914,Q,15,FALSE)))</f>
        <v/>
      </c>
      <c r="J914" s="2" t="str">
        <f>IF(VLOOKUP($B914,Q,14,FALSE)=0,"",(VLOOKUP($B914,Q,16,FALSE)))</f>
        <v/>
      </c>
      <c r="K914" s="2" t="str">
        <f>IF(VLOOKUP($B914,Q,14,FALSE)=0,"",(VLOOKUP($B914,Q,17,FALSE)))</f>
        <v/>
      </c>
    </row>
    <row r="915" spans="2:11" x14ac:dyDescent="0.6">
      <c r="B915" s="1">
        <v>918</v>
      </c>
      <c r="C915" s="2" t="str">
        <f>IF(VLOOKUP($B915,Q,2,FALSE)=0,"",(VLOOKUP($B915,Q,2,FALSE)))</f>
        <v/>
      </c>
      <c r="D915" s="2" t="str">
        <f>IF(VLOOKUP($B915,Q,3,FALSE)=0,"",(VLOOKUP($B915,Q,3,FALSE)))</f>
        <v/>
      </c>
      <c r="E915" s="2" t="str">
        <f>IF(VLOOKUP($B915,Q,8,FALSE)=0,"",(VLOOKUP($B915,Q,8,FALSE)))</f>
        <v/>
      </c>
      <c r="F915" s="19" t="str">
        <f>IF(VLOOKUP($B915,Q,9,FALSE)=0,"",(VLOOKUP($B915,Q,9,FALSE)))</f>
        <v/>
      </c>
      <c r="G915" s="2" t="str">
        <f>IF(VLOOKUP($B915,Q,10,FALSE)=0,"",(VLOOKUP($B915,Q,10,FALSE)))</f>
        <v/>
      </c>
      <c r="H915" s="2" t="str">
        <f>IF(VLOOKUP($B915,Q,14,FALSE)=0,"",(VLOOKUP($B915,Q,14,FALSE)))</f>
        <v/>
      </c>
      <c r="I915" s="2" t="str">
        <f>IF(VLOOKUP($B915,Q,14,FALSE)=0,"",(VLOOKUP($B915,Q,15,FALSE)))</f>
        <v/>
      </c>
      <c r="J915" s="2" t="str">
        <f>IF(VLOOKUP($B915,Q,14,FALSE)=0,"",(VLOOKUP($B915,Q,16,FALSE)))</f>
        <v/>
      </c>
      <c r="K915" s="2" t="str">
        <f>IF(VLOOKUP($B915,Q,14,FALSE)=0,"",(VLOOKUP($B915,Q,17,FALSE)))</f>
        <v/>
      </c>
    </row>
    <row r="916" spans="2:11" x14ac:dyDescent="0.6">
      <c r="B916" s="1">
        <v>919</v>
      </c>
      <c r="C916" s="2" t="str">
        <f>IF(VLOOKUP($B916,Q,2,FALSE)=0,"",(VLOOKUP($B916,Q,2,FALSE)))</f>
        <v/>
      </c>
      <c r="D916" s="2" t="str">
        <f>IF(VLOOKUP($B916,Q,3,FALSE)=0,"",(VLOOKUP($B916,Q,3,FALSE)))</f>
        <v/>
      </c>
      <c r="E916" s="2" t="str">
        <f>IF(VLOOKUP($B916,Q,8,FALSE)=0,"",(VLOOKUP($B916,Q,8,FALSE)))</f>
        <v/>
      </c>
      <c r="F916" s="19" t="str">
        <f>IF(VLOOKUP($B916,Q,9,FALSE)=0,"",(VLOOKUP($B916,Q,9,FALSE)))</f>
        <v/>
      </c>
      <c r="G916" s="2" t="str">
        <f>IF(VLOOKUP($B916,Q,10,FALSE)=0,"",(VLOOKUP($B916,Q,10,FALSE)))</f>
        <v/>
      </c>
      <c r="H916" s="2" t="str">
        <f>IF(VLOOKUP($B916,Q,14,FALSE)=0,"",(VLOOKUP($B916,Q,14,FALSE)))</f>
        <v/>
      </c>
      <c r="I916" s="2" t="str">
        <f>IF(VLOOKUP($B916,Q,14,FALSE)=0,"",(VLOOKUP($B916,Q,15,FALSE)))</f>
        <v/>
      </c>
      <c r="J916" s="2" t="str">
        <f>IF(VLOOKUP($B916,Q,14,FALSE)=0,"",(VLOOKUP($B916,Q,16,FALSE)))</f>
        <v/>
      </c>
      <c r="K916" s="2" t="str">
        <f>IF(VLOOKUP($B916,Q,14,FALSE)=0,"",(VLOOKUP($B916,Q,17,FALSE)))</f>
        <v/>
      </c>
    </row>
    <row r="917" spans="2:11" x14ac:dyDescent="0.6">
      <c r="B917" s="1">
        <v>920</v>
      </c>
      <c r="C917" s="2" t="str">
        <f>IF(VLOOKUP($B917,Q,2,FALSE)=0,"",(VLOOKUP($B917,Q,2,FALSE)))</f>
        <v/>
      </c>
      <c r="D917" s="2" t="str">
        <f>IF(VLOOKUP($B917,Q,3,FALSE)=0,"",(VLOOKUP($B917,Q,3,FALSE)))</f>
        <v/>
      </c>
      <c r="E917" s="2" t="str">
        <f>IF(VLOOKUP($B917,Q,8,FALSE)=0,"",(VLOOKUP($B917,Q,8,FALSE)))</f>
        <v/>
      </c>
      <c r="F917" s="19" t="str">
        <f>IF(VLOOKUP($B917,Q,9,FALSE)=0,"",(VLOOKUP($B917,Q,9,FALSE)))</f>
        <v/>
      </c>
      <c r="G917" s="2" t="str">
        <f>IF(VLOOKUP($B917,Q,10,FALSE)=0,"",(VLOOKUP($B917,Q,10,FALSE)))</f>
        <v/>
      </c>
      <c r="H917" s="2" t="str">
        <f>IF(VLOOKUP($B917,Q,14,FALSE)=0,"",(VLOOKUP($B917,Q,14,FALSE)))</f>
        <v/>
      </c>
      <c r="I917" s="2" t="str">
        <f>IF(VLOOKUP($B917,Q,14,FALSE)=0,"",(VLOOKUP($B917,Q,15,FALSE)))</f>
        <v/>
      </c>
      <c r="J917" s="2" t="str">
        <f>IF(VLOOKUP($B917,Q,14,FALSE)=0,"",(VLOOKUP($B917,Q,16,FALSE)))</f>
        <v/>
      </c>
      <c r="K917" s="2" t="str">
        <f>IF(VLOOKUP($B917,Q,14,FALSE)=0,"",(VLOOKUP($B917,Q,17,FALSE)))</f>
        <v/>
      </c>
    </row>
    <row r="918" spans="2:11" x14ac:dyDescent="0.6">
      <c r="B918" s="1">
        <v>921</v>
      </c>
      <c r="C918" s="2" t="str">
        <f>IF(VLOOKUP($B918,Q,2,FALSE)=0,"",(VLOOKUP($B918,Q,2,FALSE)))</f>
        <v/>
      </c>
      <c r="D918" s="2" t="str">
        <f>IF(VLOOKUP($B918,Q,3,FALSE)=0,"",(VLOOKUP($B918,Q,3,FALSE)))</f>
        <v/>
      </c>
      <c r="E918" s="2" t="str">
        <f>IF(VLOOKUP($B918,Q,8,FALSE)=0,"",(VLOOKUP($B918,Q,8,FALSE)))</f>
        <v/>
      </c>
      <c r="F918" s="19" t="str">
        <f>IF(VLOOKUP($B918,Q,9,FALSE)=0,"",(VLOOKUP($B918,Q,9,FALSE)))</f>
        <v/>
      </c>
      <c r="G918" s="2" t="str">
        <f>IF(VLOOKUP($B918,Q,10,FALSE)=0,"",(VLOOKUP($B918,Q,10,FALSE)))</f>
        <v/>
      </c>
      <c r="H918" s="2" t="str">
        <f>IF(VLOOKUP($B918,Q,14,FALSE)=0,"",(VLOOKUP($B918,Q,14,FALSE)))</f>
        <v/>
      </c>
      <c r="I918" s="2" t="str">
        <f>IF(VLOOKUP($B918,Q,14,FALSE)=0,"",(VLOOKUP($B918,Q,15,FALSE)))</f>
        <v/>
      </c>
      <c r="J918" s="2" t="str">
        <f>IF(VLOOKUP($B918,Q,14,FALSE)=0,"",(VLOOKUP($B918,Q,16,FALSE)))</f>
        <v/>
      </c>
      <c r="K918" s="2" t="str">
        <f>IF(VLOOKUP($B918,Q,14,FALSE)=0,"",(VLOOKUP($B918,Q,17,FALSE)))</f>
        <v/>
      </c>
    </row>
    <row r="919" spans="2:11" x14ac:dyDescent="0.6">
      <c r="B919" s="1">
        <v>922</v>
      </c>
      <c r="C919" s="2" t="str">
        <f>IF(VLOOKUP($B919,Q,2,FALSE)=0,"",(VLOOKUP($B919,Q,2,FALSE)))</f>
        <v/>
      </c>
      <c r="D919" s="2" t="str">
        <f>IF(VLOOKUP($B919,Q,3,FALSE)=0,"",(VLOOKUP($B919,Q,3,FALSE)))</f>
        <v/>
      </c>
      <c r="E919" s="2" t="str">
        <f>IF(VLOOKUP($B919,Q,8,FALSE)=0,"",(VLOOKUP($B919,Q,8,FALSE)))</f>
        <v/>
      </c>
      <c r="F919" s="19" t="str">
        <f>IF(VLOOKUP($B919,Q,9,FALSE)=0,"",(VLOOKUP($B919,Q,9,FALSE)))</f>
        <v/>
      </c>
      <c r="G919" s="2" t="str">
        <f>IF(VLOOKUP($B919,Q,10,FALSE)=0,"",(VLOOKUP($B919,Q,10,FALSE)))</f>
        <v/>
      </c>
      <c r="H919" s="2" t="str">
        <f>IF(VLOOKUP($B919,Q,14,FALSE)=0,"",(VLOOKUP($B919,Q,14,FALSE)))</f>
        <v/>
      </c>
      <c r="I919" s="2" t="str">
        <f>IF(VLOOKUP($B919,Q,14,FALSE)=0,"",(VLOOKUP($B919,Q,15,FALSE)))</f>
        <v/>
      </c>
      <c r="J919" s="2" t="str">
        <f>IF(VLOOKUP($B919,Q,14,FALSE)=0,"",(VLOOKUP($B919,Q,16,FALSE)))</f>
        <v/>
      </c>
      <c r="K919" s="2" t="str">
        <f>IF(VLOOKUP($B919,Q,14,FALSE)=0,"",(VLOOKUP($B919,Q,17,FALSE)))</f>
        <v/>
      </c>
    </row>
    <row r="920" spans="2:11" x14ac:dyDescent="0.6">
      <c r="B920" s="1">
        <v>923</v>
      </c>
      <c r="C920" s="2" t="str">
        <f>IF(VLOOKUP($B920,Q,2,FALSE)=0,"",(VLOOKUP($B920,Q,2,FALSE)))</f>
        <v/>
      </c>
      <c r="D920" s="2" t="str">
        <f>IF(VLOOKUP($B920,Q,3,FALSE)=0,"",(VLOOKUP($B920,Q,3,FALSE)))</f>
        <v/>
      </c>
      <c r="E920" s="2" t="str">
        <f>IF(VLOOKUP($B920,Q,8,FALSE)=0,"",(VLOOKUP($B920,Q,8,FALSE)))</f>
        <v/>
      </c>
      <c r="F920" s="19" t="str">
        <f>IF(VLOOKUP($B920,Q,9,FALSE)=0,"",(VLOOKUP($B920,Q,9,FALSE)))</f>
        <v/>
      </c>
      <c r="G920" s="2" t="str">
        <f>IF(VLOOKUP($B920,Q,10,FALSE)=0,"",(VLOOKUP($B920,Q,10,FALSE)))</f>
        <v/>
      </c>
      <c r="H920" s="2" t="str">
        <f>IF(VLOOKUP($B920,Q,14,FALSE)=0,"",(VLOOKUP($B920,Q,14,FALSE)))</f>
        <v/>
      </c>
      <c r="I920" s="2" t="str">
        <f>IF(VLOOKUP($B920,Q,14,FALSE)=0,"",(VLOOKUP($B920,Q,15,FALSE)))</f>
        <v/>
      </c>
      <c r="J920" s="2" t="str">
        <f>IF(VLOOKUP($B920,Q,14,FALSE)=0,"",(VLOOKUP($B920,Q,16,FALSE)))</f>
        <v/>
      </c>
      <c r="K920" s="2" t="str">
        <f>IF(VLOOKUP($B920,Q,14,FALSE)=0,"",(VLOOKUP($B920,Q,17,FALSE)))</f>
        <v/>
      </c>
    </row>
    <row r="921" spans="2:11" x14ac:dyDescent="0.6">
      <c r="B921" s="1">
        <v>924</v>
      </c>
      <c r="C921" s="2" t="str">
        <f>IF(VLOOKUP($B921,Q,2,FALSE)=0,"",(VLOOKUP($B921,Q,2,FALSE)))</f>
        <v/>
      </c>
      <c r="D921" s="2" t="str">
        <f>IF(VLOOKUP($B921,Q,3,FALSE)=0,"",(VLOOKUP($B921,Q,3,FALSE)))</f>
        <v/>
      </c>
      <c r="E921" s="2" t="str">
        <f>IF(VLOOKUP($B921,Q,8,FALSE)=0,"",(VLOOKUP($B921,Q,8,FALSE)))</f>
        <v/>
      </c>
      <c r="F921" s="19" t="str">
        <f>IF(VLOOKUP($B921,Q,9,FALSE)=0,"",(VLOOKUP($B921,Q,9,FALSE)))</f>
        <v/>
      </c>
      <c r="G921" s="2" t="str">
        <f>IF(VLOOKUP($B921,Q,10,FALSE)=0,"",(VLOOKUP($B921,Q,10,FALSE)))</f>
        <v/>
      </c>
      <c r="H921" s="2" t="str">
        <f>IF(VLOOKUP($B921,Q,14,FALSE)=0,"",(VLOOKUP($B921,Q,14,FALSE)))</f>
        <v/>
      </c>
      <c r="I921" s="2" t="str">
        <f>IF(VLOOKUP($B921,Q,14,FALSE)=0,"",(VLOOKUP($B921,Q,15,FALSE)))</f>
        <v/>
      </c>
      <c r="J921" s="2" t="str">
        <f>IF(VLOOKUP($B921,Q,14,FALSE)=0,"",(VLOOKUP($B921,Q,16,FALSE)))</f>
        <v/>
      </c>
      <c r="K921" s="2" t="str">
        <f>IF(VLOOKUP($B921,Q,14,FALSE)=0,"",(VLOOKUP($B921,Q,17,FALSE)))</f>
        <v/>
      </c>
    </row>
    <row r="922" spans="2:11" x14ac:dyDescent="0.6">
      <c r="B922" s="1">
        <v>925</v>
      </c>
      <c r="C922" s="2" t="str">
        <f>IF(VLOOKUP($B922,Q,2,FALSE)=0,"",(VLOOKUP($B922,Q,2,FALSE)))</f>
        <v/>
      </c>
      <c r="D922" s="2" t="str">
        <f>IF(VLOOKUP($B922,Q,3,FALSE)=0,"",(VLOOKUP($B922,Q,3,FALSE)))</f>
        <v/>
      </c>
      <c r="E922" s="2" t="str">
        <f>IF(VLOOKUP($B922,Q,8,FALSE)=0,"",(VLOOKUP($B922,Q,8,FALSE)))</f>
        <v/>
      </c>
      <c r="F922" s="19" t="str">
        <f>IF(VLOOKUP($B922,Q,9,FALSE)=0,"",(VLOOKUP($B922,Q,9,FALSE)))</f>
        <v/>
      </c>
      <c r="G922" s="2" t="str">
        <f>IF(VLOOKUP($B922,Q,10,FALSE)=0,"",(VLOOKUP($B922,Q,10,FALSE)))</f>
        <v/>
      </c>
      <c r="H922" s="2" t="str">
        <f>IF(VLOOKUP($B922,Q,14,FALSE)=0,"",(VLOOKUP($B922,Q,14,FALSE)))</f>
        <v/>
      </c>
      <c r="I922" s="2" t="str">
        <f>IF(VLOOKUP($B922,Q,14,FALSE)=0,"",(VLOOKUP($B922,Q,15,FALSE)))</f>
        <v/>
      </c>
      <c r="J922" s="2" t="str">
        <f>IF(VLOOKUP($B922,Q,14,FALSE)=0,"",(VLOOKUP($B922,Q,16,FALSE)))</f>
        <v/>
      </c>
      <c r="K922" s="2" t="str">
        <f>IF(VLOOKUP($B922,Q,14,FALSE)=0,"",(VLOOKUP($B922,Q,17,FALSE)))</f>
        <v/>
      </c>
    </row>
    <row r="923" spans="2:11" x14ac:dyDescent="0.6">
      <c r="B923" s="1">
        <v>926</v>
      </c>
      <c r="C923" s="2" t="str">
        <f>IF(VLOOKUP($B923,Q,2,FALSE)=0,"",(VLOOKUP($B923,Q,2,FALSE)))</f>
        <v/>
      </c>
      <c r="D923" s="2" t="str">
        <f>IF(VLOOKUP($B923,Q,3,FALSE)=0,"",(VLOOKUP($B923,Q,3,FALSE)))</f>
        <v/>
      </c>
      <c r="E923" s="2" t="str">
        <f>IF(VLOOKUP($B923,Q,8,FALSE)=0,"",(VLOOKUP($B923,Q,8,FALSE)))</f>
        <v/>
      </c>
      <c r="F923" s="19" t="str">
        <f>IF(VLOOKUP($B923,Q,9,FALSE)=0,"",(VLOOKUP($B923,Q,9,FALSE)))</f>
        <v/>
      </c>
      <c r="G923" s="2" t="str">
        <f>IF(VLOOKUP($B923,Q,10,FALSE)=0,"",(VLOOKUP($B923,Q,10,FALSE)))</f>
        <v/>
      </c>
      <c r="H923" s="2" t="str">
        <f>IF(VLOOKUP($B923,Q,14,FALSE)=0,"",(VLOOKUP($B923,Q,14,FALSE)))</f>
        <v/>
      </c>
      <c r="I923" s="2" t="str">
        <f>IF(VLOOKUP($B923,Q,14,FALSE)=0,"",(VLOOKUP($B923,Q,15,FALSE)))</f>
        <v/>
      </c>
      <c r="J923" s="2" t="str">
        <f>IF(VLOOKUP($B923,Q,14,FALSE)=0,"",(VLOOKUP($B923,Q,16,FALSE)))</f>
        <v/>
      </c>
      <c r="K923" s="2" t="str">
        <f>IF(VLOOKUP($B923,Q,14,FALSE)=0,"",(VLOOKUP($B923,Q,17,FALSE)))</f>
        <v/>
      </c>
    </row>
    <row r="924" spans="2:11" x14ac:dyDescent="0.6">
      <c r="B924" s="1">
        <v>927</v>
      </c>
      <c r="C924" s="2" t="str">
        <f>IF(VLOOKUP($B924,Q,2,FALSE)=0,"",(VLOOKUP($B924,Q,2,FALSE)))</f>
        <v/>
      </c>
      <c r="D924" s="2" t="str">
        <f>IF(VLOOKUP($B924,Q,3,FALSE)=0,"",(VLOOKUP($B924,Q,3,FALSE)))</f>
        <v/>
      </c>
      <c r="E924" s="2" t="str">
        <f>IF(VLOOKUP($B924,Q,8,FALSE)=0,"",(VLOOKUP($B924,Q,8,FALSE)))</f>
        <v/>
      </c>
      <c r="F924" s="19" t="str">
        <f>IF(VLOOKUP($B924,Q,9,FALSE)=0,"",(VLOOKUP($B924,Q,9,FALSE)))</f>
        <v/>
      </c>
      <c r="G924" s="2" t="str">
        <f>IF(VLOOKUP($B924,Q,10,FALSE)=0,"",(VLOOKUP($B924,Q,10,FALSE)))</f>
        <v/>
      </c>
      <c r="H924" s="2" t="str">
        <f>IF(VLOOKUP($B924,Q,14,FALSE)=0,"",(VLOOKUP($B924,Q,14,FALSE)))</f>
        <v/>
      </c>
      <c r="I924" s="2" t="str">
        <f>IF(VLOOKUP($B924,Q,14,FALSE)=0,"",(VLOOKUP($B924,Q,15,FALSE)))</f>
        <v/>
      </c>
      <c r="J924" s="2" t="str">
        <f>IF(VLOOKUP($B924,Q,14,FALSE)=0,"",(VLOOKUP($B924,Q,16,FALSE)))</f>
        <v/>
      </c>
      <c r="K924" s="2" t="str">
        <f>IF(VLOOKUP($B924,Q,14,FALSE)=0,"",(VLOOKUP($B924,Q,17,FALSE)))</f>
        <v/>
      </c>
    </row>
    <row r="925" spans="2:11" x14ac:dyDescent="0.6">
      <c r="B925" s="1">
        <v>928</v>
      </c>
      <c r="C925" s="2" t="str">
        <f>IF(VLOOKUP($B925,Q,2,FALSE)=0,"",(VLOOKUP($B925,Q,2,FALSE)))</f>
        <v/>
      </c>
      <c r="D925" s="2" t="str">
        <f>IF(VLOOKUP($B925,Q,3,FALSE)=0,"",(VLOOKUP($B925,Q,3,FALSE)))</f>
        <v/>
      </c>
      <c r="E925" s="2" t="str">
        <f>IF(VLOOKUP($B925,Q,8,FALSE)=0,"",(VLOOKUP($B925,Q,8,FALSE)))</f>
        <v/>
      </c>
      <c r="F925" s="19" t="str">
        <f>IF(VLOOKUP($B925,Q,9,FALSE)=0,"",(VLOOKUP($B925,Q,9,FALSE)))</f>
        <v/>
      </c>
      <c r="G925" s="2" t="str">
        <f>IF(VLOOKUP($B925,Q,10,FALSE)=0,"",(VLOOKUP($B925,Q,10,FALSE)))</f>
        <v/>
      </c>
      <c r="H925" s="2" t="str">
        <f>IF(VLOOKUP($B925,Q,14,FALSE)=0,"",(VLOOKUP($B925,Q,14,FALSE)))</f>
        <v/>
      </c>
      <c r="I925" s="2" t="str">
        <f>IF(VLOOKUP($B925,Q,14,FALSE)=0,"",(VLOOKUP($B925,Q,15,FALSE)))</f>
        <v/>
      </c>
      <c r="J925" s="2" t="str">
        <f>IF(VLOOKUP($B925,Q,14,FALSE)=0,"",(VLOOKUP($B925,Q,16,FALSE)))</f>
        <v/>
      </c>
      <c r="K925" s="2" t="str">
        <f>IF(VLOOKUP($B925,Q,14,FALSE)=0,"",(VLOOKUP($B925,Q,17,FALSE)))</f>
        <v/>
      </c>
    </row>
    <row r="926" spans="2:11" x14ac:dyDescent="0.6">
      <c r="B926" s="1">
        <v>929</v>
      </c>
      <c r="C926" s="2" t="str">
        <f>IF(VLOOKUP($B926,Q,2,FALSE)=0,"",(VLOOKUP($B926,Q,2,FALSE)))</f>
        <v/>
      </c>
      <c r="D926" s="2" t="str">
        <f>IF(VLOOKUP($B926,Q,3,FALSE)=0,"",(VLOOKUP($B926,Q,3,FALSE)))</f>
        <v/>
      </c>
      <c r="E926" s="2" t="str">
        <f>IF(VLOOKUP($B926,Q,8,FALSE)=0,"",(VLOOKUP($B926,Q,8,FALSE)))</f>
        <v/>
      </c>
      <c r="F926" s="19" t="str">
        <f>IF(VLOOKUP($B926,Q,9,FALSE)=0,"",(VLOOKUP($B926,Q,9,FALSE)))</f>
        <v/>
      </c>
      <c r="G926" s="2" t="str">
        <f>IF(VLOOKUP($B926,Q,10,FALSE)=0,"",(VLOOKUP($B926,Q,10,FALSE)))</f>
        <v/>
      </c>
      <c r="H926" s="2" t="str">
        <f>IF(VLOOKUP($B926,Q,14,FALSE)=0,"",(VLOOKUP($B926,Q,14,FALSE)))</f>
        <v/>
      </c>
      <c r="I926" s="2" t="str">
        <f>IF(VLOOKUP($B926,Q,14,FALSE)=0,"",(VLOOKUP($B926,Q,15,FALSE)))</f>
        <v/>
      </c>
      <c r="J926" s="2" t="str">
        <f>IF(VLOOKUP($B926,Q,14,FALSE)=0,"",(VLOOKUP($B926,Q,16,FALSE)))</f>
        <v/>
      </c>
      <c r="K926" s="2" t="str">
        <f>IF(VLOOKUP($B926,Q,14,FALSE)=0,"",(VLOOKUP($B926,Q,17,FALSE)))</f>
        <v/>
      </c>
    </row>
    <row r="927" spans="2:11" x14ac:dyDescent="0.6">
      <c r="B927" s="1">
        <v>930</v>
      </c>
      <c r="C927" s="2" t="str">
        <f>IF(VLOOKUP($B927,Q,2,FALSE)=0,"",(VLOOKUP($B927,Q,2,FALSE)))</f>
        <v/>
      </c>
      <c r="D927" s="2" t="str">
        <f>IF(VLOOKUP($B927,Q,3,FALSE)=0,"",(VLOOKUP($B927,Q,3,FALSE)))</f>
        <v/>
      </c>
      <c r="E927" s="2" t="str">
        <f>IF(VLOOKUP($B927,Q,8,FALSE)=0,"",(VLOOKUP($B927,Q,8,FALSE)))</f>
        <v/>
      </c>
      <c r="F927" s="19" t="str">
        <f>IF(VLOOKUP($B927,Q,9,FALSE)=0,"",(VLOOKUP($B927,Q,9,FALSE)))</f>
        <v/>
      </c>
      <c r="G927" s="2" t="str">
        <f>IF(VLOOKUP($B927,Q,10,FALSE)=0,"",(VLOOKUP($B927,Q,10,FALSE)))</f>
        <v/>
      </c>
      <c r="H927" s="2" t="str">
        <f>IF(VLOOKUP($B927,Q,14,FALSE)=0,"",(VLOOKUP($B927,Q,14,FALSE)))</f>
        <v/>
      </c>
      <c r="I927" s="2" t="str">
        <f>IF(VLOOKUP($B927,Q,14,FALSE)=0,"",(VLOOKUP($B927,Q,15,FALSE)))</f>
        <v/>
      </c>
      <c r="J927" s="2" t="str">
        <f>IF(VLOOKUP($B927,Q,14,FALSE)=0,"",(VLOOKUP($B927,Q,16,FALSE)))</f>
        <v/>
      </c>
      <c r="K927" s="2" t="str">
        <f>IF(VLOOKUP($B927,Q,14,FALSE)=0,"",(VLOOKUP($B927,Q,17,FALSE)))</f>
        <v/>
      </c>
    </row>
    <row r="928" spans="2:11" x14ac:dyDescent="0.6">
      <c r="B928" s="1">
        <v>931</v>
      </c>
      <c r="C928" s="2" t="str">
        <f>IF(VLOOKUP($B928,Q,2,FALSE)=0,"",(VLOOKUP($B928,Q,2,FALSE)))</f>
        <v/>
      </c>
      <c r="D928" s="2" t="str">
        <f>IF(VLOOKUP($B928,Q,3,FALSE)=0,"",(VLOOKUP($B928,Q,3,FALSE)))</f>
        <v/>
      </c>
      <c r="E928" s="2" t="str">
        <f>IF(VLOOKUP($B928,Q,8,FALSE)=0,"",(VLOOKUP($B928,Q,8,FALSE)))</f>
        <v/>
      </c>
      <c r="F928" s="19" t="str">
        <f>IF(VLOOKUP($B928,Q,9,FALSE)=0,"",(VLOOKUP($B928,Q,9,FALSE)))</f>
        <v/>
      </c>
      <c r="G928" s="2" t="str">
        <f>IF(VLOOKUP($B928,Q,10,FALSE)=0,"",(VLOOKUP($B928,Q,10,FALSE)))</f>
        <v/>
      </c>
      <c r="H928" s="2" t="str">
        <f>IF(VLOOKUP($B928,Q,14,FALSE)=0,"",(VLOOKUP($B928,Q,14,FALSE)))</f>
        <v/>
      </c>
      <c r="I928" s="2" t="str">
        <f>IF(VLOOKUP($B928,Q,14,FALSE)=0,"",(VLOOKUP($B928,Q,15,FALSE)))</f>
        <v/>
      </c>
      <c r="J928" s="2" t="str">
        <f>IF(VLOOKUP($B928,Q,14,FALSE)=0,"",(VLOOKUP($B928,Q,16,FALSE)))</f>
        <v/>
      </c>
      <c r="K928" s="2" t="str">
        <f>IF(VLOOKUP($B928,Q,14,FALSE)=0,"",(VLOOKUP($B928,Q,17,FALSE)))</f>
        <v/>
      </c>
    </row>
    <row r="929" spans="2:11" x14ac:dyDescent="0.6">
      <c r="B929" s="1">
        <v>932</v>
      </c>
      <c r="C929" s="2" t="str">
        <f>IF(VLOOKUP($B929,Q,2,FALSE)=0,"",(VLOOKUP($B929,Q,2,FALSE)))</f>
        <v/>
      </c>
      <c r="D929" s="2" t="str">
        <f>IF(VLOOKUP($B929,Q,3,FALSE)=0,"",(VLOOKUP($B929,Q,3,FALSE)))</f>
        <v/>
      </c>
      <c r="E929" s="2" t="str">
        <f>IF(VLOOKUP($B929,Q,8,FALSE)=0,"",(VLOOKUP($B929,Q,8,FALSE)))</f>
        <v/>
      </c>
      <c r="F929" s="19" t="str">
        <f>IF(VLOOKUP($B929,Q,9,FALSE)=0,"",(VLOOKUP($B929,Q,9,FALSE)))</f>
        <v/>
      </c>
      <c r="G929" s="2" t="str">
        <f>IF(VLOOKUP($B929,Q,10,FALSE)=0,"",(VLOOKUP($B929,Q,10,FALSE)))</f>
        <v/>
      </c>
      <c r="H929" s="2" t="str">
        <f>IF(VLOOKUP($B929,Q,14,FALSE)=0,"",(VLOOKUP($B929,Q,14,FALSE)))</f>
        <v/>
      </c>
      <c r="I929" s="2" t="str">
        <f>IF(VLOOKUP($B929,Q,14,FALSE)=0,"",(VLOOKUP($B929,Q,15,FALSE)))</f>
        <v/>
      </c>
      <c r="J929" s="2" t="str">
        <f>IF(VLOOKUP($B929,Q,14,FALSE)=0,"",(VLOOKUP($B929,Q,16,FALSE)))</f>
        <v/>
      </c>
      <c r="K929" s="2" t="str">
        <f>IF(VLOOKUP($B929,Q,14,FALSE)=0,"",(VLOOKUP($B929,Q,17,FALSE)))</f>
        <v/>
      </c>
    </row>
    <row r="930" spans="2:11" x14ac:dyDescent="0.6">
      <c r="B930" s="1">
        <v>933</v>
      </c>
      <c r="C930" s="2" t="str">
        <f>IF(VLOOKUP($B930,Q,2,FALSE)=0,"",(VLOOKUP($B930,Q,2,FALSE)))</f>
        <v/>
      </c>
      <c r="D930" s="2" t="str">
        <f>IF(VLOOKUP($B930,Q,3,FALSE)=0,"",(VLOOKUP($B930,Q,3,FALSE)))</f>
        <v/>
      </c>
      <c r="E930" s="2" t="str">
        <f>IF(VLOOKUP($B930,Q,8,FALSE)=0,"",(VLOOKUP($B930,Q,8,FALSE)))</f>
        <v/>
      </c>
      <c r="F930" s="19" t="str">
        <f>IF(VLOOKUP($B930,Q,9,FALSE)=0,"",(VLOOKUP($B930,Q,9,FALSE)))</f>
        <v/>
      </c>
      <c r="G930" s="2" t="str">
        <f>IF(VLOOKUP($B930,Q,10,FALSE)=0,"",(VLOOKUP($B930,Q,10,FALSE)))</f>
        <v/>
      </c>
      <c r="H930" s="2" t="str">
        <f>IF(VLOOKUP($B930,Q,14,FALSE)=0,"",(VLOOKUP($B930,Q,14,FALSE)))</f>
        <v/>
      </c>
      <c r="I930" s="2" t="str">
        <f>IF(VLOOKUP($B930,Q,14,FALSE)=0,"",(VLOOKUP($B930,Q,15,FALSE)))</f>
        <v/>
      </c>
      <c r="J930" s="2" t="str">
        <f>IF(VLOOKUP($B930,Q,14,FALSE)=0,"",(VLOOKUP($B930,Q,16,FALSE)))</f>
        <v/>
      </c>
      <c r="K930" s="2" t="str">
        <f>IF(VLOOKUP($B930,Q,14,FALSE)=0,"",(VLOOKUP($B930,Q,17,FALSE)))</f>
        <v/>
      </c>
    </row>
    <row r="931" spans="2:11" x14ac:dyDescent="0.6">
      <c r="B931" s="1">
        <v>934</v>
      </c>
      <c r="C931" s="2" t="str">
        <f>IF(VLOOKUP($B931,Q,2,FALSE)=0,"",(VLOOKUP($B931,Q,2,FALSE)))</f>
        <v/>
      </c>
      <c r="D931" s="2" t="str">
        <f>IF(VLOOKUP($B931,Q,3,FALSE)=0,"",(VLOOKUP($B931,Q,3,FALSE)))</f>
        <v/>
      </c>
      <c r="E931" s="2" t="str">
        <f>IF(VLOOKUP($B931,Q,8,FALSE)=0,"",(VLOOKUP($B931,Q,8,FALSE)))</f>
        <v/>
      </c>
      <c r="F931" s="19" t="str">
        <f>IF(VLOOKUP($B931,Q,9,FALSE)=0,"",(VLOOKUP($B931,Q,9,FALSE)))</f>
        <v/>
      </c>
      <c r="G931" s="2" t="str">
        <f>IF(VLOOKUP($B931,Q,10,FALSE)=0,"",(VLOOKUP($B931,Q,10,FALSE)))</f>
        <v/>
      </c>
      <c r="H931" s="2" t="str">
        <f>IF(VLOOKUP($B931,Q,14,FALSE)=0,"",(VLOOKUP($B931,Q,14,FALSE)))</f>
        <v/>
      </c>
      <c r="I931" s="2" t="str">
        <f>IF(VLOOKUP($B931,Q,14,FALSE)=0,"",(VLOOKUP($B931,Q,15,FALSE)))</f>
        <v/>
      </c>
      <c r="J931" s="2" t="str">
        <f>IF(VLOOKUP($B931,Q,14,FALSE)=0,"",(VLOOKUP($B931,Q,16,FALSE)))</f>
        <v/>
      </c>
      <c r="K931" s="2" t="str">
        <f>IF(VLOOKUP($B931,Q,14,FALSE)=0,"",(VLOOKUP($B931,Q,17,FALSE)))</f>
        <v/>
      </c>
    </row>
    <row r="932" spans="2:11" x14ac:dyDescent="0.6">
      <c r="B932" s="1">
        <v>935</v>
      </c>
      <c r="C932" s="2" t="str">
        <f>IF(VLOOKUP($B932,Q,2,FALSE)=0,"",(VLOOKUP($B932,Q,2,FALSE)))</f>
        <v/>
      </c>
      <c r="D932" s="2" t="str">
        <f>IF(VLOOKUP($B932,Q,3,FALSE)=0,"",(VLOOKUP($B932,Q,3,FALSE)))</f>
        <v/>
      </c>
      <c r="E932" s="2" t="str">
        <f>IF(VLOOKUP($B932,Q,8,FALSE)=0,"",(VLOOKUP($B932,Q,8,FALSE)))</f>
        <v/>
      </c>
      <c r="F932" s="19" t="str">
        <f>IF(VLOOKUP($B932,Q,9,FALSE)=0,"",(VLOOKUP($B932,Q,9,FALSE)))</f>
        <v/>
      </c>
      <c r="G932" s="2" t="str">
        <f>IF(VLOOKUP($B932,Q,10,FALSE)=0,"",(VLOOKUP($B932,Q,10,FALSE)))</f>
        <v/>
      </c>
      <c r="H932" s="2" t="str">
        <f>IF(VLOOKUP($B932,Q,14,FALSE)=0,"",(VLOOKUP($B932,Q,14,FALSE)))</f>
        <v/>
      </c>
      <c r="I932" s="2" t="str">
        <f>IF(VLOOKUP($B932,Q,14,FALSE)=0,"",(VLOOKUP($B932,Q,15,FALSE)))</f>
        <v/>
      </c>
      <c r="J932" s="2" t="str">
        <f>IF(VLOOKUP($B932,Q,14,FALSE)=0,"",(VLOOKUP($B932,Q,16,FALSE)))</f>
        <v/>
      </c>
      <c r="K932" s="2" t="str">
        <f>IF(VLOOKUP($B932,Q,14,FALSE)=0,"",(VLOOKUP($B932,Q,17,FALSE)))</f>
        <v/>
      </c>
    </row>
    <row r="933" spans="2:11" x14ac:dyDescent="0.6">
      <c r="B933" s="1">
        <v>936</v>
      </c>
      <c r="C933" s="2" t="str">
        <f>IF(VLOOKUP($B933,Q,2,FALSE)=0,"",(VLOOKUP($B933,Q,2,FALSE)))</f>
        <v/>
      </c>
      <c r="D933" s="2" t="str">
        <f>IF(VLOOKUP($B933,Q,3,FALSE)=0,"",(VLOOKUP($B933,Q,3,FALSE)))</f>
        <v/>
      </c>
      <c r="E933" s="2" t="str">
        <f>IF(VLOOKUP($B933,Q,8,FALSE)=0,"",(VLOOKUP($B933,Q,8,FALSE)))</f>
        <v/>
      </c>
      <c r="F933" s="19" t="str">
        <f>IF(VLOOKUP($B933,Q,9,FALSE)=0,"",(VLOOKUP($B933,Q,9,FALSE)))</f>
        <v/>
      </c>
      <c r="G933" s="2" t="str">
        <f>IF(VLOOKUP($B933,Q,10,FALSE)=0,"",(VLOOKUP($B933,Q,10,FALSE)))</f>
        <v/>
      </c>
      <c r="H933" s="2" t="str">
        <f>IF(VLOOKUP($B933,Q,14,FALSE)=0,"",(VLOOKUP($B933,Q,14,FALSE)))</f>
        <v/>
      </c>
      <c r="I933" s="2" t="str">
        <f>IF(VLOOKUP($B933,Q,14,FALSE)=0,"",(VLOOKUP($B933,Q,15,FALSE)))</f>
        <v/>
      </c>
      <c r="J933" s="2" t="str">
        <f>IF(VLOOKUP($B933,Q,14,FALSE)=0,"",(VLOOKUP($B933,Q,16,FALSE)))</f>
        <v/>
      </c>
      <c r="K933" s="2" t="str">
        <f>IF(VLOOKUP($B933,Q,14,FALSE)=0,"",(VLOOKUP($B933,Q,17,FALSE)))</f>
        <v/>
      </c>
    </row>
    <row r="934" spans="2:11" x14ac:dyDescent="0.6">
      <c r="B934" s="1">
        <v>937</v>
      </c>
      <c r="C934" s="2" t="str">
        <f>IF(VLOOKUP($B934,Q,2,FALSE)=0,"",(VLOOKUP($B934,Q,2,FALSE)))</f>
        <v/>
      </c>
      <c r="D934" s="2" t="str">
        <f>IF(VLOOKUP($B934,Q,3,FALSE)=0,"",(VLOOKUP($B934,Q,3,FALSE)))</f>
        <v/>
      </c>
      <c r="E934" s="2" t="str">
        <f>IF(VLOOKUP($B934,Q,8,FALSE)=0,"",(VLOOKUP($B934,Q,8,FALSE)))</f>
        <v/>
      </c>
      <c r="F934" s="19" t="str">
        <f>IF(VLOOKUP($B934,Q,9,FALSE)=0,"",(VLOOKUP($B934,Q,9,FALSE)))</f>
        <v/>
      </c>
      <c r="G934" s="2" t="str">
        <f>IF(VLOOKUP($B934,Q,10,FALSE)=0,"",(VLOOKUP($B934,Q,10,FALSE)))</f>
        <v/>
      </c>
      <c r="H934" s="2" t="str">
        <f>IF(VLOOKUP($B934,Q,14,FALSE)=0,"",(VLOOKUP($B934,Q,14,FALSE)))</f>
        <v/>
      </c>
      <c r="I934" s="2" t="str">
        <f>IF(VLOOKUP($B934,Q,14,FALSE)=0,"",(VLOOKUP($B934,Q,15,FALSE)))</f>
        <v/>
      </c>
      <c r="J934" s="2" t="str">
        <f>IF(VLOOKUP($B934,Q,14,FALSE)=0,"",(VLOOKUP($B934,Q,16,FALSE)))</f>
        <v/>
      </c>
      <c r="K934" s="2" t="str">
        <f>IF(VLOOKUP($B934,Q,14,FALSE)=0,"",(VLOOKUP($B934,Q,17,FALSE)))</f>
        <v/>
      </c>
    </row>
    <row r="935" spans="2:11" x14ac:dyDescent="0.6">
      <c r="B935" s="1">
        <v>938</v>
      </c>
      <c r="C935" s="2" t="str">
        <f>IF(VLOOKUP($B935,Q,2,FALSE)=0,"",(VLOOKUP($B935,Q,2,FALSE)))</f>
        <v/>
      </c>
      <c r="D935" s="2" t="str">
        <f>IF(VLOOKUP($B935,Q,3,FALSE)=0,"",(VLOOKUP($B935,Q,3,FALSE)))</f>
        <v/>
      </c>
      <c r="E935" s="2" t="str">
        <f>IF(VLOOKUP($B935,Q,8,FALSE)=0,"",(VLOOKUP($B935,Q,8,FALSE)))</f>
        <v/>
      </c>
      <c r="F935" s="19" t="str">
        <f>IF(VLOOKUP($B935,Q,9,FALSE)=0,"",(VLOOKUP($B935,Q,9,FALSE)))</f>
        <v/>
      </c>
      <c r="G935" s="2" t="str">
        <f>IF(VLOOKUP($B935,Q,10,FALSE)=0,"",(VLOOKUP($B935,Q,10,FALSE)))</f>
        <v/>
      </c>
      <c r="H935" s="2" t="str">
        <f>IF(VLOOKUP($B935,Q,14,FALSE)=0,"",(VLOOKUP($B935,Q,14,FALSE)))</f>
        <v/>
      </c>
      <c r="I935" s="2" t="str">
        <f>IF(VLOOKUP($B935,Q,14,FALSE)=0,"",(VLOOKUP($B935,Q,15,FALSE)))</f>
        <v/>
      </c>
      <c r="J935" s="2" t="str">
        <f>IF(VLOOKUP($B935,Q,14,FALSE)=0,"",(VLOOKUP($B935,Q,16,FALSE)))</f>
        <v/>
      </c>
      <c r="K935" s="2" t="str">
        <f>IF(VLOOKUP($B935,Q,14,FALSE)=0,"",(VLOOKUP($B935,Q,17,FALSE)))</f>
        <v/>
      </c>
    </row>
    <row r="936" spans="2:11" x14ac:dyDescent="0.6">
      <c r="B936" s="1">
        <v>939</v>
      </c>
      <c r="C936" s="2" t="str">
        <f>IF(VLOOKUP($B936,Q,2,FALSE)=0,"",(VLOOKUP($B936,Q,2,FALSE)))</f>
        <v/>
      </c>
      <c r="D936" s="2" t="str">
        <f>IF(VLOOKUP($B936,Q,3,FALSE)=0,"",(VLOOKUP($B936,Q,3,FALSE)))</f>
        <v/>
      </c>
      <c r="E936" s="2" t="str">
        <f>IF(VLOOKUP($B936,Q,8,FALSE)=0,"",(VLOOKUP($B936,Q,8,FALSE)))</f>
        <v/>
      </c>
      <c r="F936" s="19" t="str">
        <f>IF(VLOOKUP($B936,Q,9,FALSE)=0,"",(VLOOKUP($B936,Q,9,FALSE)))</f>
        <v/>
      </c>
      <c r="G936" s="2" t="str">
        <f>IF(VLOOKUP($B936,Q,10,FALSE)=0,"",(VLOOKUP($B936,Q,10,FALSE)))</f>
        <v/>
      </c>
      <c r="H936" s="2" t="str">
        <f>IF(VLOOKUP($B936,Q,14,FALSE)=0,"",(VLOOKUP($B936,Q,14,FALSE)))</f>
        <v/>
      </c>
      <c r="I936" s="2" t="str">
        <f>IF(VLOOKUP($B936,Q,14,FALSE)=0,"",(VLOOKUP($B936,Q,15,FALSE)))</f>
        <v/>
      </c>
      <c r="J936" s="2" t="str">
        <f>IF(VLOOKUP($B936,Q,14,FALSE)=0,"",(VLOOKUP($B936,Q,16,FALSE)))</f>
        <v/>
      </c>
      <c r="K936" s="2" t="str">
        <f>IF(VLOOKUP($B936,Q,14,FALSE)=0,"",(VLOOKUP($B936,Q,17,FALSE)))</f>
        <v/>
      </c>
    </row>
    <row r="937" spans="2:11" x14ac:dyDescent="0.6">
      <c r="B937" s="1">
        <v>940</v>
      </c>
      <c r="C937" s="2" t="str">
        <f>IF(VLOOKUP($B937,Q,2,FALSE)=0,"",(VLOOKUP($B937,Q,2,FALSE)))</f>
        <v/>
      </c>
      <c r="D937" s="2" t="str">
        <f>IF(VLOOKUP($B937,Q,3,FALSE)=0,"",(VLOOKUP($B937,Q,3,FALSE)))</f>
        <v/>
      </c>
      <c r="E937" s="2" t="str">
        <f>IF(VLOOKUP($B937,Q,8,FALSE)=0,"",(VLOOKUP($B937,Q,8,FALSE)))</f>
        <v/>
      </c>
      <c r="F937" s="19" t="str">
        <f>IF(VLOOKUP($B937,Q,9,FALSE)=0,"",(VLOOKUP($B937,Q,9,FALSE)))</f>
        <v/>
      </c>
      <c r="G937" s="2" t="str">
        <f>IF(VLOOKUP($B937,Q,10,FALSE)=0,"",(VLOOKUP($B937,Q,10,FALSE)))</f>
        <v/>
      </c>
      <c r="H937" s="2" t="str">
        <f>IF(VLOOKUP($B937,Q,14,FALSE)=0,"",(VLOOKUP($B937,Q,14,FALSE)))</f>
        <v/>
      </c>
      <c r="I937" s="2" t="str">
        <f>IF(VLOOKUP($B937,Q,14,FALSE)=0,"",(VLOOKUP($B937,Q,15,FALSE)))</f>
        <v/>
      </c>
      <c r="J937" s="2" t="str">
        <f>IF(VLOOKUP($B937,Q,14,FALSE)=0,"",(VLOOKUP($B937,Q,16,FALSE)))</f>
        <v/>
      </c>
      <c r="K937" s="2" t="str">
        <f>IF(VLOOKUP($B937,Q,14,FALSE)=0,"",(VLOOKUP($B937,Q,17,FALSE)))</f>
        <v/>
      </c>
    </row>
    <row r="938" spans="2:11" x14ac:dyDescent="0.6">
      <c r="B938" s="1">
        <v>941</v>
      </c>
      <c r="C938" s="2" t="str">
        <f>IF(VLOOKUP($B938,Q,2,FALSE)=0,"",(VLOOKUP($B938,Q,2,FALSE)))</f>
        <v/>
      </c>
      <c r="D938" s="2" t="str">
        <f>IF(VLOOKUP($B938,Q,3,FALSE)=0,"",(VLOOKUP($B938,Q,3,FALSE)))</f>
        <v/>
      </c>
      <c r="E938" s="2" t="str">
        <f>IF(VLOOKUP($B938,Q,8,FALSE)=0,"",(VLOOKUP($B938,Q,8,FALSE)))</f>
        <v/>
      </c>
      <c r="F938" s="19" t="str">
        <f>IF(VLOOKUP($B938,Q,9,FALSE)=0,"",(VLOOKUP($B938,Q,9,FALSE)))</f>
        <v/>
      </c>
      <c r="G938" s="2" t="str">
        <f>IF(VLOOKUP($B938,Q,10,FALSE)=0,"",(VLOOKUP($B938,Q,10,FALSE)))</f>
        <v/>
      </c>
      <c r="H938" s="2" t="str">
        <f>IF(VLOOKUP($B938,Q,14,FALSE)=0,"",(VLOOKUP($B938,Q,14,FALSE)))</f>
        <v/>
      </c>
      <c r="I938" s="2" t="str">
        <f>IF(VLOOKUP($B938,Q,14,FALSE)=0,"",(VLOOKUP($B938,Q,15,FALSE)))</f>
        <v/>
      </c>
      <c r="J938" s="2" t="str">
        <f>IF(VLOOKUP($B938,Q,14,FALSE)=0,"",(VLOOKUP($B938,Q,16,FALSE)))</f>
        <v/>
      </c>
      <c r="K938" s="2" t="str">
        <f>IF(VLOOKUP($B938,Q,14,FALSE)=0,"",(VLOOKUP($B938,Q,17,FALSE)))</f>
        <v/>
      </c>
    </row>
    <row r="939" spans="2:11" x14ac:dyDescent="0.6">
      <c r="B939" s="1">
        <v>942</v>
      </c>
      <c r="C939" s="2" t="str">
        <f>IF(VLOOKUP($B939,Q,2,FALSE)=0,"",(VLOOKUP($B939,Q,2,FALSE)))</f>
        <v/>
      </c>
      <c r="D939" s="2" t="str">
        <f>IF(VLOOKUP($B939,Q,3,FALSE)=0,"",(VLOOKUP($B939,Q,3,FALSE)))</f>
        <v/>
      </c>
      <c r="E939" s="2" t="str">
        <f>IF(VLOOKUP($B939,Q,8,FALSE)=0,"",(VLOOKUP($B939,Q,8,FALSE)))</f>
        <v/>
      </c>
      <c r="F939" s="19" t="str">
        <f>IF(VLOOKUP($B939,Q,9,FALSE)=0,"",(VLOOKUP($B939,Q,9,FALSE)))</f>
        <v/>
      </c>
      <c r="G939" s="2" t="str">
        <f>IF(VLOOKUP($B939,Q,10,FALSE)=0,"",(VLOOKUP($B939,Q,10,FALSE)))</f>
        <v/>
      </c>
      <c r="H939" s="2" t="str">
        <f>IF(VLOOKUP($B939,Q,14,FALSE)=0,"",(VLOOKUP($B939,Q,14,FALSE)))</f>
        <v/>
      </c>
      <c r="I939" s="2" t="str">
        <f>IF(VLOOKUP($B939,Q,14,FALSE)=0,"",(VLOOKUP($B939,Q,15,FALSE)))</f>
        <v/>
      </c>
      <c r="J939" s="2" t="str">
        <f>IF(VLOOKUP($B939,Q,14,FALSE)=0,"",(VLOOKUP($B939,Q,16,FALSE)))</f>
        <v/>
      </c>
      <c r="K939" s="2" t="str">
        <f>IF(VLOOKUP($B939,Q,14,FALSE)=0,"",(VLOOKUP($B939,Q,17,FALSE)))</f>
        <v/>
      </c>
    </row>
    <row r="940" spans="2:11" x14ac:dyDescent="0.6">
      <c r="B940" s="1">
        <v>943</v>
      </c>
      <c r="C940" s="2" t="str">
        <f>IF(VLOOKUP($B940,Q,2,FALSE)=0,"",(VLOOKUP($B940,Q,2,FALSE)))</f>
        <v/>
      </c>
      <c r="D940" s="2" t="str">
        <f>IF(VLOOKUP($B940,Q,3,FALSE)=0,"",(VLOOKUP($B940,Q,3,FALSE)))</f>
        <v/>
      </c>
      <c r="E940" s="2" t="str">
        <f>IF(VLOOKUP($B940,Q,8,FALSE)=0,"",(VLOOKUP($B940,Q,8,FALSE)))</f>
        <v/>
      </c>
      <c r="F940" s="19" t="str">
        <f>IF(VLOOKUP($B940,Q,9,FALSE)=0,"",(VLOOKUP($B940,Q,9,FALSE)))</f>
        <v/>
      </c>
      <c r="G940" s="2" t="str">
        <f>IF(VLOOKUP($B940,Q,10,FALSE)=0,"",(VLOOKUP($B940,Q,10,FALSE)))</f>
        <v/>
      </c>
      <c r="H940" s="2" t="str">
        <f>IF(VLOOKUP($B940,Q,14,FALSE)=0,"",(VLOOKUP($B940,Q,14,FALSE)))</f>
        <v/>
      </c>
      <c r="I940" s="2" t="str">
        <f>IF(VLOOKUP($B940,Q,14,FALSE)=0,"",(VLOOKUP($B940,Q,15,FALSE)))</f>
        <v/>
      </c>
      <c r="J940" s="2" t="str">
        <f>IF(VLOOKUP($B940,Q,14,FALSE)=0,"",(VLOOKUP($B940,Q,16,FALSE)))</f>
        <v/>
      </c>
      <c r="K940" s="2" t="str">
        <f>IF(VLOOKUP($B940,Q,14,FALSE)=0,"",(VLOOKUP($B940,Q,17,FALSE)))</f>
        <v/>
      </c>
    </row>
    <row r="941" spans="2:11" x14ac:dyDescent="0.6">
      <c r="B941" s="1">
        <v>944</v>
      </c>
      <c r="C941" s="2" t="str">
        <f>IF(VLOOKUP($B941,Q,2,FALSE)=0,"",(VLOOKUP($B941,Q,2,FALSE)))</f>
        <v/>
      </c>
      <c r="D941" s="2" t="str">
        <f>IF(VLOOKUP($B941,Q,3,FALSE)=0,"",(VLOOKUP($B941,Q,3,FALSE)))</f>
        <v/>
      </c>
      <c r="E941" s="2" t="str">
        <f>IF(VLOOKUP($B941,Q,8,FALSE)=0,"",(VLOOKUP($B941,Q,8,FALSE)))</f>
        <v/>
      </c>
      <c r="F941" s="19" t="str">
        <f>IF(VLOOKUP($B941,Q,9,FALSE)=0,"",(VLOOKUP($B941,Q,9,FALSE)))</f>
        <v/>
      </c>
      <c r="G941" s="2" t="str">
        <f>IF(VLOOKUP($B941,Q,10,FALSE)=0,"",(VLOOKUP($B941,Q,10,FALSE)))</f>
        <v/>
      </c>
      <c r="H941" s="2" t="str">
        <f>IF(VLOOKUP($B941,Q,14,FALSE)=0,"",(VLOOKUP($B941,Q,14,FALSE)))</f>
        <v/>
      </c>
      <c r="I941" s="2" t="str">
        <f>IF(VLOOKUP($B941,Q,14,FALSE)=0,"",(VLOOKUP($B941,Q,15,FALSE)))</f>
        <v/>
      </c>
      <c r="J941" s="2" t="str">
        <f>IF(VLOOKUP($B941,Q,14,FALSE)=0,"",(VLOOKUP($B941,Q,16,FALSE)))</f>
        <v/>
      </c>
      <c r="K941" s="2" t="str">
        <f>IF(VLOOKUP($B941,Q,14,FALSE)=0,"",(VLOOKUP($B941,Q,17,FALSE)))</f>
        <v/>
      </c>
    </row>
    <row r="942" spans="2:11" x14ac:dyDescent="0.6">
      <c r="B942" s="1">
        <v>945</v>
      </c>
      <c r="C942" s="2" t="str">
        <f>IF(VLOOKUP($B942,Q,2,FALSE)=0,"",(VLOOKUP($B942,Q,2,FALSE)))</f>
        <v/>
      </c>
      <c r="D942" s="2" t="str">
        <f>IF(VLOOKUP($B942,Q,3,FALSE)=0,"",(VLOOKUP($B942,Q,3,FALSE)))</f>
        <v/>
      </c>
      <c r="E942" s="2" t="str">
        <f>IF(VLOOKUP($B942,Q,8,FALSE)=0,"",(VLOOKUP($B942,Q,8,FALSE)))</f>
        <v/>
      </c>
      <c r="F942" s="19" t="str">
        <f>IF(VLOOKUP($B942,Q,9,FALSE)=0,"",(VLOOKUP($B942,Q,9,FALSE)))</f>
        <v/>
      </c>
      <c r="G942" s="2" t="str">
        <f>IF(VLOOKUP($B942,Q,10,FALSE)=0,"",(VLOOKUP($B942,Q,10,FALSE)))</f>
        <v/>
      </c>
      <c r="H942" s="2" t="str">
        <f>IF(VLOOKUP($B942,Q,14,FALSE)=0,"",(VLOOKUP($B942,Q,14,FALSE)))</f>
        <v/>
      </c>
      <c r="I942" s="2" t="str">
        <f>IF(VLOOKUP($B942,Q,14,FALSE)=0,"",(VLOOKUP($B942,Q,15,FALSE)))</f>
        <v/>
      </c>
      <c r="J942" s="2" t="str">
        <f>IF(VLOOKUP($B942,Q,14,FALSE)=0,"",(VLOOKUP($B942,Q,16,FALSE)))</f>
        <v/>
      </c>
      <c r="K942" s="2" t="str">
        <f>IF(VLOOKUP($B942,Q,14,FALSE)=0,"",(VLOOKUP($B942,Q,17,FALSE)))</f>
        <v/>
      </c>
    </row>
    <row r="943" spans="2:11" x14ac:dyDescent="0.6">
      <c r="B943" s="1">
        <v>946</v>
      </c>
      <c r="C943" s="2" t="str">
        <f>IF(VLOOKUP($B943,Q,2,FALSE)=0,"",(VLOOKUP($B943,Q,2,FALSE)))</f>
        <v/>
      </c>
      <c r="D943" s="2" t="str">
        <f>IF(VLOOKUP($B943,Q,3,FALSE)=0,"",(VLOOKUP($B943,Q,3,FALSE)))</f>
        <v/>
      </c>
      <c r="E943" s="2" t="str">
        <f>IF(VLOOKUP($B943,Q,8,FALSE)=0,"",(VLOOKUP($B943,Q,8,FALSE)))</f>
        <v/>
      </c>
      <c r="F943" s="19" t="str">
        <f>IF(VLOOKUP($B943,Q,9,FALSE)=0,"",(VLOOKUP($B943,Q,9,FALSE)))</f>
        <v/>
      </c>
      <c r="G943" s="2" t="str">
        <f>IF(VLOOKUP($B943,Q,10,FALSE)=0,"",(VLOOKUP($B943,Q,10,FALSE)))</f>
        <v/>
      </c>
      <c r="H943" s="2" t="str">
        <f>IF(VLOOKUP($B943,Q,14,FALSE)=0,"",(VLOOKUP($B943,Q,14,FALSE)))</f>
        <v/>
      </c>
      <c r="I943" s="2" t="str">
        <f>IF(VLOOKUP($B943,Q,14,FALSE)=0,"",(VLOOKUP($B943,Q,15,FALSE)))</f>
        <v/>
      </c>
      <c r="J943" s="2" t="str">
        <f>IF(VLOOKUP($B943,Q,14,FALSE)=0,"",(VLOOKUP($B943,Q,16,FALSE)))</f>
        <v/>
      </c>
      <c r="K943" s="2" t="str">
        <f>IF(VLOOKUP($B943,Q,14,FALSE)=0,"",(VLOOKUP($B943,Q,17,FALSE)))</f>
        <v/>
      </c>
    </row>
    <row r="944" spans="2:11" x14ac:dyDescent="0.6">
      <c r="B944" s="1">
        <v>947</v>
      </c>
      <c r="C944" s="2" t="str">
        <f>IF(VLOOKUP($B944,Q,2,FALSE)=0,"",(VLOOKUP($B944,Q,2,FALSE)))</f>
        <v/>
      </c>
      <c r="D944" s="2" t="str">
        <f>IF(VLOOKUP($B944,Q,3,FALSE)=0,"",(VLOOKUP($B944,Q,3,FALSE)))</f>
        <v/>
      </c>
      <c r="E944" s="2" t="str">
        <f>IF(VLOOKUP($B944,Q,8,FALSE)=0,"",(VLOOKUP($B944,Q,8,FALSE)))</f>
        <v/>
      </c>
      <c r="F944" s="19" t="str">
        <f>IF(VLOOKUP($B944,Q,9,FALSE)=0,"",(VLOOKUP($B944,Q,9,FALSE)))</f>
        <v/>
      </c>
      <c r="G944" s="2" t="str">
        <f>IF(VLOOKUP($B944,Q,10,FALSE)=0,"",(VLOOKUP($B944,Q,10,FALSE)))</f>
        <v/>
      </c>
      <c r="H944" s="2" t="str">
        <f>IF(VLOOKUP($B944,Q,14,FALSE)=0,"",(VLOOKUP($B944,Q,14,FALSE)))</f>
        <v/>
      </c>
      <c r="I944" s="2" t="str">
        <f>IF(VLOOKUP($B944,Q,14,FALSE)=0,"",(VLOOKUP($B944,Q,15,FALSE)))</f>
        <v/>
      </c>
      <c r="J944" s="2" t="str">
        <f>IF(VLOOKUP($B944,Q,14,FALSE)=0,"",(VLOOKUP($B944,Q,16,FALSE)))</f>
        <v/>
      </c>
      <c r="K944" s="2" t="str">
        <f>IF(VLOOKUP($B944,Q,14,FALSE)=0,"",(VLOOKUP($B944,Q,17,FALSE)))</f>
        <v/>
      </c>
    </row>
    <row r="945" spans="2:11" x14ac:dyDescent="0.6">
      <c r="B945" s="1">
        <v>948</v>
      </c>
      <c r="C945" s="2" t="str">
        <f>IF(VLOOKUP($B945,Q,2,FALSE)=0,"",(VLOOKUP($B945,Q,2,FALSE)))</f>
        <v/>
      </c>
      <c r="D945" s="2" t="str">
        <f>IF(VLOOKUP($B945,Q,3,FALSE)=0,"",(VLOOKUP($B945,Q,3,FALSE)))</f>
        <v/>
      </c>
      <c r="E945" s="2" t="str">
        <f>IF(VLOOKUP($B945,Q,8,FALSE)=0,"",(VLOOKUP($B945,Q,8,FALSE)))</f>
        <v/>
      </c>
      <c r="F945" s="19" t="str">
        <f>IF(VLOOKUP($B945,Q,9,FALSE)=0,"",(VLOOKUP($B945,Q,9,FALSE)))</f>
        <v/>
      </c>
      <c r="G945" s="2" t="str">
        <f>IF(VLOOKUP($B945,Q,10,FALSE)=0,"",(VLOOKUP($B945,Q,10,FALSE)))</f>
        <v/>
      </c>
      <c r="H945" s="2" t="str">
        <f>IF(VLOOKUP($B945,Q,14,FALSE)=0,"",(VLOOKUP($B945,Q,14,FALSE)))</f>
        <v/>
      </c>
      <c r="I945" s="2" t="str">
        <f>IF(VLOOKUP($B945,Q,14,FALSE)=0,"",(VLOOKUP($B945,Q,15,FALSE)))</f>
        <v/>
      </c>
      <c r="J945" s="2" t="str">
        <f>IF(VLOOKUP($B945,Q,14,FALSE)=0,"",(VLOOKUP($B945,Q,16,FALSE)))</f>
        <v/>
      </c>
      <c r="K945" s="2" t="str">
        <f>IF(VLOOKUP($B945,Q,14,FALSE)=0,"",(VLOOKUP($B945,Q,17,FALSE)))</f>
        <v/>
      </c>
    </row>
    <row r="946" spans="2:11" x14ac:dyDescent="0.6">
      <c r="B946" s="1">
        <v>949</v>
      </c>
      <c r="C946" s="2" t="str">
        <f>IF(VLOOKUP($B946,Q,2,FALSE)=0,"",(VLOOKUP($B946,Q,2,FALSE)))</f>
        <v/>
      </c>
      <c r="D946" s="2" t="str">
        <f>IF(VLOOKUP($B946,Q,3,FALSE)=0,"",(VLOOKUP($B946,Q,3,FALSE)))</f>
        <v/>
      </c>
      <c r="E946" s="2" t="str">
        <f>IF(VLOOKUP($B946,Q,8,FALSE)=0,"",(VLOOKUP($B946,Q,8,FALSE)))</f>
        <v/>
      </c>
      <c r="F946" s="19" t="str">
        <f>IF(VLOOKUP($B946,Q,9,FALSE)=0,"",(VLOOKUP($B946,Q,9,FALSE)))</f>
        <v/>
      </c>
      <c r="G946" s="2" t="str">
        <f>IF(VLOOKUP($B946,Q,10,FALSE)=0,"",(VLOOKUP($B946,Q,10,FALSE)))</f>
        <v/>
      </c>
      <c r="H946" s="2" t="str">
        <f>IF(VLOOKUP($B946,Q,14,FALSE)=0,"",(VLOOKUP($B946,Q,14,FALSE)))</f>
        <v/>
      </c>
      <c r="I946" s="2" t="str">
        <f>IF(VLOOKUP($B946,Q,14,FALSE)=0,"",(VLOOKUP($B946,Q,15,FALSE)))</f>
        <v/>
      </c>
      <c r="J946" s="2" t="str">
        <f>IF(VLOOKUP($B946,Q,14,FALSE)=0,"",(VLOOKUP($B946,Q,16,FALSE)))</f>
        <v/>
      </c>
      <c r="K946" s="2" t="str">
        <f>IF(VLOOKUP($B946,Q,14,FALSE)=0,"",(VLOOKUP($B946,Q,17,FALSE)))</f>
        <v/>
      </c>
    </row>
    <row r="947" spans="2:11" x14ac:dyDescent="0.6">
      <c r="B947" s="1">
        <v>950</v>
      </c>
      <c r="C947" s="2" t="str">
        <f>IF(VLOOKUP($B947,Q,2,FALSE)=0,"",(VLOOKUP($B947,Q,2,FALSE)))</f>
        <v/>
      </c>
      <c r="D947" s="2" t="str">
        <f>IF(VLOOKUP($B947,Q,3,FALSE)=0,"",(VLOOKUP($B947,Q,3,FALSE)))</f>
        <v/>
      </c>
      <c r="E947" s="2" t="str">
        <f>IF(VLOOKUP($B947,Q,8,FALSE)=0,"",(VLOOKUP($B947,Q,8,FALSE)))</f>
        <v/>
      </c>
      <c r="F947" s="19" t="str">
        <f>IF(VLOOKUP($B947,Q,9,FALSE)=0,"",(VLOOKUP($B947,Q,9,FALSE)))</f>
        <v/>
      </c>
      <c r="G947" s="2" t="str">
        <f>IF(VLOOKUP($B947,Q,10,FALSE)=0,"",(VLOOKUP($B947,Q,10,FALSE)))</f>
        <v/>
      </c>
      <c r="H947" s="2" t="str">
        <f>IF(VLOOKUP($B947,Q,14,FALSE)=0,"",(VLOOKUP($B947,Q,14,FALSE)))</f>
        <v/>
      </c>
      <c r="I947" s="2" t="str">
        <f>IF(VLOOKUP($B947,Q,14,FALSE)=0,"",(VLOOKUP($B947,Q,15,FALSE)))</f>
        <v/>
      </c>
      <c r="J947" s="2" t="str">
        <f>IF(VLOOKUP($B947,Q,14,FALSE)=0,"",(VLOOKUP($B947,Q,16,FALSE)))</f>
        <v/>
      </c>
      <c r="K947" s="2" t="str">
        <f>IF(VLOOKUP($B947,Q,14,FALSE)=0,"",(VLOOKUP($B947,Q,17,FALSE)))</f>
        <v/>
      </c>
    </row>
    <row r="948" spans="2:11" x14ac:dyDescent="0.6">
      <c r="B948" s="1">
        <v>951</v>
      </c>
      <c r="C948" s="2" t="str">
        <f>IF(VLOOKUP($B948,Q,2,FALSE)=0,"",(VLOOKUP($B948,Q,2,FALSE)))</f>
        <v/>
      </c>
      <c r="D948" s="2" t="str">
        <f>IF(VLOOKUP($B948,Q,3,FALSE)=0,"",(VLOOKUP($B948,Q,3,FALSE)))</f>
        <v/>
      </c>
      <c r="E948" s="2" t="str">
        <f>IF(VLOOKUP($B948,Q,8,FALSE)=0,"",(VLOOKUP($B948,Q,8,FALSE)))</f>
        <v/>
      </c>
      <c r="F948" s="19" t="str">
        <f>IF(VLOOKUP($B948,Q,9,FALSE)=0,"",(VLOOKUP($B948,Q,9,FALSE)))</f>
        <v/>
      </c>
      <c r="G948" s="2" t="str">
        <f>IF(VLOOKUP($B948,Q,10,FALSE)=0,"",(VLOOKUP($B948,Q,10,FALSE)))</f>
        <v/>
      </c>
      <c r="H948" s="2" t="str">
        <f>IF(VLOOKUP($B948,Q,14,FALSE)=0,"",(VLOOKUP($B948,Q,14,FALSE)))</f>
        <v/>
      </c>
      <c r="I948" s="2" t="str">
        <f>IF(VLOOKUP($B948,Q,14,FALSE)=0,"",(VLOOKUP($B948,Q,15,FALSE)))</f>
        <v/>
      </c>
      <c r="J948" s="2" t="str">
        <f>IF(VLOOKUP($B948,Q,14,FALSE)=0,"",(VLOOKUP($B948,Q,16,FALSE)))</f>
        <v/>
      </c>
      <c r="K948" s="2" t="str">
        <f>IF(VLOOKUP($B948,Q,14,FALSE)=0,"",(VLOOKUP($B948,Q,17,FALSE)))</f>
        <v/>
      </c>
    </row>
    <row r="949" spans="2:11" x14ac:dyDescent="0.6">
      <c r="B949" s="1">
        <v>952</v>
      </c>
      <c r="C949" s="2" t="str">
        <f>IF(VLOOKUP($B949,Q,2,FALSE)=0,"",(VLOOKUP($B949,Q,2,FALSE)))</f>
        <v/>
      </c>
      <c r="D949" s="2" t="str">
        <f>IF(VLOOKUP($B949,Q,3,FALSE)=0,"",(VLOOKUP($B949,Q,3,FALSE)))</f>
        <v/>
      </c>
      <c r="E949" s="2" t="str">
        <f>IF(VLOOKUP($B949,Q,8,FALSE)=0,"",(VLOOKUP($B949,Q,8,FALSE)))</f>
        <v/>
      </c>
      <c r="F949" s="19" t="str">
        <f>IF(VLOOKUP($B949,Q,9,FALSE)=0,"",(VLOOKUP($B949,Q,9,FALSE)))</f>
        <v/>
      </c>
      <c r="G949" s="2" t="str">
        <f>IF(VLOOKUP($B949,Q,10,FALSE)=0,"",(VLOOKUP($B949,Q,10,FALSE)))</f>
        <v/>
      </c>
      <c r="H949" s="2" t="str">
        <f>IF(VLOOKUP($B949,Q,14,FALSE)=0,"",(VLOOKUP($B949,Q,14,FALSE)))</f>
        <v/>
      </c>
      <c r="I949" s="2" t="str">
        <f>IF(VLOOKUP($B949,Q,14,FALSE)=0,"",(VLOOKUP($B949,Q,15,FALSE)))</f>
        <v/>
      </c>
      <c r="J949" s="2" t="str">
        <f>IF(VLOOKUP($B949,Q,14,FALSE)=0,"",(VLOOKUP($B949,Q,16,FALSE)))</f>
        <v/>
      </c>
      <c r="K949" s="2" t="str">
        <f>IF(VLOOKUP($B949,Q,14,FALSE)=0,"",(VLOOKUP($B949,Q,17,FALSE)))</f>
        <v/>
      </c>
    </row>
    <row r="950" spans="2:11" x14ac:dyDescent="0.6">
      <c r="B950" s="1">
        <v>953</v>
      </c>
      <c r="C950" s="2" t="str">
        <f>IF(VLOOKUP($B950,Q,2,FALSE)=0,"",(VLOOKUP($B950,Q,2,FALSE)))</f>
        <v/>
      </c>
      <c r="D950" s="2" t="str">
        <f>IF(VLOOKUP($B950,Q,3,FALSE)=0,"",(VLOOKUP($B950,Q,3,FALSE)))</f>
        <v/>
      </c>
      <c r="E950" s="2" t="str">
        <f>IF(VLOOKUP($B950,Q,8,FALSE)=0,"",(VLOOKUP($B950,Q,8,FALSE)))</f>
        <v/>
      </c>
      <c r="F950" s="19" t="str">
        <f>IF(VLOOKUP($B950,Q,9,FALSE)=0,"",(VLOOKUP($B950,Q,9,FALSE)))</f>
        <v/>
      </c>
      <c r="G950" s="2" t="str">
        <f>IF(VLOOKUP($B950,Q,10,FALSE)=0,"",(VLOOKUP($B950,Q,10,FALSE)))</f>
        <v/>
      </c>
      <c r="H950" s="2" t="str">
        <f>IF(VLOOKUP($B950,Q,14,FALSE)=0,"",(VLOOKUP($B950,Q,14,FALSE)))</f>
        <v/>
      </c>
      <c r="I950" s="2" t="str">
        <f>IF(VLOOKUP($B950,Q,14,FALSE)=0,"",(VLOOKUP($B950,Q,15,FALSE)))</f>
        <v/>
      </c>
      <c r="J950" s="2" t="str">
        <f>IF(VLOOKUP($B950,Q,14,FALSE)=0,"",(VLOOKUP($B950,Q,16,FALSE)))</f>
        <v/>
      </c>
      <c r="K950" s="2" t="str">
        <f>IF(VLOOKUP($B950,Q,14,FALSE)=0,"",(VLOOKUP($B950,Q,17,FALSE)))</f>
        <v/>
      </c>
    </row>
    <row r="951" spans="2:11" x14ac:dyDescent="0.6">
      <c r="B951" s="1">
        <v>954</v>
      </c>
      <c r="C951" s="2" t="str">
        <f>IF(VLOOKUP($B951,Q,2,FALSE)=0,"",(VLOOKUP($B951,Q,2,FALSE)))</f>
        <v/>
      </c>
      <c r="D951" s="2" t="str">
        <f>IF(VLOOKUP($B951,Q,3,FALSE)=0,"",(VLOOKUP($B951,Q,3,FALSE)))</f>
        <v/>
      </c>
      <c r="E951" s="2" t="str">
        <f>IF(VLOOKUP($B951,Q,8,FALSE)=0,"",(VLOOKUP($B951,Q,8,FALSE)))</f>
        <v/>
      </c>
      <c r="F951" s="19" t="str">
        <f>IF(VLOOKUP($B951,Q,9,FALSE)=0,"",(VLOOKUP($B951,Q,9,FALSE)))</f>
        <v/>
      </c>
      <c r="G951" s="2" t="str">
        <f>IF(VLOOKUP($B951,Q,10,FALSE)=0,"",(VLOOKUP($B951,Q,10,FALSE)))</f>
        <v/>
      </c>
      <c r="H951" s="2" t="str">
        <f>IF(VLOOKUP($B951,Q,14,FALSE)=0,"",(VLOOKUP($B951,Q,14,FALSE)))</f>
        <v/>
      </c>
      <c r="I951" s="2" t="str">
        <f>IF(VLOOKUP($B951,Q,14,FALSE)=0,"",(VLOOKUP($B951,Q,15,FALSE)))</f>
        <v/>
      </c>
      <c r="J951" s="2" t="str">
        <f>IF(VLOOKUP($B951,Q,14,FALSE)=0,"",(VLOOKUP($B951,Q,16,FALSE)))</f>
        <v/>
      </c>
      <c r="K951" s="2" t="str">
        <f>IF(VLOOKUP($B951,Q,14,FALSE)=0,"",(VLOOKUP($B951,Q,17,FALSE)))</f>
        <v/>
      </c>
    </row>
    <row r="952" spans="2:11" x14ac:dyDescent="0.6">
      <c r="B952" s="1">
        <v>955</v>
      </c>
      <c r="C952" s="2" t="str">
        <f>IF(VLOOKUP($B952,Q,2,FALSE)=0,"",(VLOOKUP($B952,Q,2,FALSE)))</f>
        <v/>
      </c>
      <c r="D952" s="2" t="str">
        <f>IF(VLOOKUP($B952,Q,3,FALSE)=0,"",(VLOOKUP($B952,Q,3,FALSE)))</f>
        <v/>
      </c>
      <c r="E952" s="2" t="str">
        <f>IF(VLOOKUP($B952,Q,8,FALSE)=0,"",(VLOOKUP($B952,Q,8,FALSE)))</f>
        <v/>
      </c>
      <c r="F952" s="19" t="str">
        <f>IF(VLOOKUP($B952,Q,9,FALSE)=0,"",(VLOOKUP($B952,Q,9,FALSE)))</f>
        <v/>
      </c>
      <c r="G952" s="2" t="str">
        <f>IF(VLOOKUP($B952,Q,10,FALSE)=0,"",(VLOOKUP($B952,Q,10,FALSE)))</f>
        <v/>
      </c>
      <c r="H952" s="2" t="str">
        <f>IF(VLOOKUP($B952,Q,14,FALSE)=0,"",(VLOOKUP($B952,Q,14,FALSE)))</f>
        <v/>
      </c>
      <c r="I952" s="2" t="str">
        <f>IF(VLOOKUP($B952,Q,14,FALSE)=0,"",(VLOOKUP($B952,Q,15,FALSE)))</f>
        <v/>
      </c>
      <c r="J952" s="2" t="str">
        <f>IF(VLOOKUP($B952,Q,14,FALSE)=0,"",(VLOOKUP($B952,Q,16,FALSE)))</f>
        <v/>
      </c>
      <c r="K952" s="2" t="str">
        <f>IF(VLOOKUP($B952,Q,14,FALSE)=0,"",(VLOOKUP($B952,Q,17,FALSE)))</f>
        <v/>
      </c>
    </row>
    <row r="953" spans="2:11" x14ac:dyDescent="0.6">
      <c r="B953" s="1">
        <v>956</v>
      </c>
      <c r="C953" s="2" t="str">
        <f>IF(VLOOKUP($B953,Q,2,FALSE)=0,"",(VLOOKUP($B953,Q,2,FALSE)))</f>
        <v/>
      </c>
      <c r="D953" s="2" t="str">
        <f>IF(VLOOKUP($B953,Q,3,FALSE)=0,"",(VLOOKUP($B953,Q,3,FALSE)))</f>
        <v/>
      </c>
      <c r="E953" s="2" t="str">
        <f>IF(VLOOKUP($B953,Q,8,FALSE)=0,"",(VLOOKUP($B953,Q,8,FALSE)))</f>
        <v/>
      </c>
      <c r="F953" s="19" t="str">
        <f>IF(VLOOKUP($B953,Q,9,FALSE)=0,"",(VLOOKUP($B953,Q,9,FALSE)))</f>
        <v/>
      </c>
      <c r="G953" s="2" t="str">
        <f>IF(VLOOKUP($B953,Q,10,FALSE)=0,"",(VLOOKUP($B953,Q,10,FALSE)))</f>
        <v/>
      </c>
      <c r="H953" s="2" t="str">
        <f>IF(VLOOKUP($B953,Q,14,FALSE)=0,"",(VLOOKUP($B953,Q,14,FALSE)))</f>
        <v/>
      </c>
      <c r="I953" s="2" t="str">
        <f>IF(VLOOKUP($B953,Q,14,FALSE)=0,"",(VLOOKUP($B953,Q,15,FALSE)))</f>
        <v/>
      </c>
      <c r="J953" s="2" t="str">
        <f>IF(VLOOKUP($B953,Q,14,FALSE)=0,"",(VLOOKUP($B953,Q,16,FALSE)))</f>
        <v/>
      </c>
      <c r="K953" s="2" t="str">
        <f>IF(VLOOKUP($B953,Q,14,FALSE)=0,"",(VLOOKUP($B953,Q,17,FALSE)))</f>
        <v/>
      </c>
    </row>
    <row r="954" spans="2:11" x14ac:dyDescent="0.6">
      <c r="B954" s="1">
        <v>957</v>
      </c>
      <c r="C954" s="2" t="str">
        <f>IF(VLOOKUP($B954,Q,2,FALSE)=0,"",(VLOOKUP($B954,Q,2,FALSE)))</f>
        <v/>
      </c>
      <c r="D954" s="2" t="str">
        <f>IF(VLOOKUP($B954,Q,3,FALSE)=0,"",(VLOOKUP($B954,Q,3,FALSE)))</f>
        <v/>
      </c>
      <c r="E954" s="2" t="str">
        <f>IF(VLOOKUP($B954,Q,8,FALSE)=0,"",(VLOOKUP($B954,Q,8,FALSE)))</f>
        <v/>
      </c>
      <c r="F954" s="19" t="str">
        <f>IF(VLOOKUP($B954,Q,9,FALSE)=0,"",(VLOOKUP($B954,Q,9,FALSE)))</f>
        <v/>
      </c>
      <c r="G954" s="2" t="str">
        <f>IF(VLOOKUP($B954,Q,10,FALSE)=0,"",(VLOOKUP($B954,Q,10,FALSE)))</f>
        <v/>
      </c>
      <c r="H954" s="2" t="str">
        <f>IF(VLOOKUP($B954,Q,14,FALSE)=0,"",(VLOOKUP($B954,Q,14,FALSE)))</f>
        <v/>
      </c>
      <c r="I954" s="2" t="str">
        <f>IF(VLOOKUP($B954,Q,14,FALSE)=0,"",(VLOOKUP($B954,Q,15,FALSE)))</f>
        <v/>
      </c>
      <c r="J954" s="2" t="str">
        <f>IF(VLOOKUP($B954,Q,14,FALSE)=0,"",(VLOOKUP($B954,Q,16,FALSE)))</f>
        <v/>
      </c>
      <c r="K954" s="2" t="str">
        <f>IF(VLOOKUP($B954,Q,14,FALSE)=0,"",(VLOOKUP($B954,Q,17,FALSE)))</f>
        <v/>
      </c>
    </row>
    <row r="955" spans="2:11" x14ac:dyDescent="0.6">
      <c r="B955" s="1">
        <v>958</v>
      </c>
      <c r="C955" s="2" t="str">
        <f>IF(VLOOKUP($B955,Q,2,FALSE)=0,"",(VLOOKUP($B955,Q,2,FALSE)))</f>
        <v/>
      </c>
      <c r="D955" s="2" t="str">
        <f>IF(VLOOKUP($B955,Q,3,FALSE)=0,"",(VLOOKUP($B955,Q,3,FALSE)))</f>
        <v/>
      </c>
      <c r="E955" s="2" t="str">
        <f>IF(VLOOKUP($B955,Q,8,FALSE)=0,"",(VLOOKUP($B955,Q,8,FALSE)))</f>
        <v/>
      </c>
      <c r="F955" s="19" t="str">
        <f>IF(VLOOKUP($B955,Q,9,FALSE)=0,"",(VLOOKUP($B955,Q,9,FALSE)))</f>
        <v/>
      </c>
      <c r="G955" s="2" t="str">
        <f>IF(VLOOKUP($B955,Q,10,FALSE)=0,"",(VLOOKUP($B955,Q,10,FALSE)))</f>
        <v/>
      </c>
      <c r="H955" s="2" t="str">
        <f>IF(VLOOKUP($B955,Q,14,FALSE)=0,"",(VLOOKUP($B955,Q,14,FALSE)))</f>
        <v/>
      </c>
      <c r="I955" s="2" t="str">
        <f>IF(VLOOKUP($B955,Q,14,FALSE)=0,"",(VLOOKUP($B955,Q,15,FALSE)))</f>
        <v/>
      </c>
      <c r="J955" s="2" t="str">
        <f>IF(VLOOKUP($B955,Q,14,FALSE)=0,"",(VLOOKUP($B955,Q,16,FALSE)))</f>
        <v/>
      </c>
      <c r="K955" s="2" t="str">
        <f>IF(VLOOKUP($B955,Q,14,FALSE)=0,"",(VLOOKUP($B955,Q,17,FALSE)))</f>
        <v/>
      </c>
    </row>
    <row r="956" spans="2:11" x14ac:dyDescent="0.6">
      <c r="B956" s="1">
        <v>959</v>
      </c>
      <c r="C956" s="2" t="str">
        <f>IF(VLOOKUP($B956,Q,2,FALSE)=0,"",(VLOOKUP($B956,Q,2,FALSE)))</f>
        <v/>
      </c>
      <c r="D956" s="2" t="str">
        <f>IF(VLOOKUP($B956,Q,3,FALSE)=0,"",(VLOOKUP($B956,Q,3,FALSE)))</f>
        <v/>
      </c>
      <c r="E956" s="2" t="str">
        <f>IF(VLOOKUP($B956,Q,8,FALSE)=0,"",(VLOOKUP($B956,Q,8,FALSE)))</f>
        <v/>
      </c>
      <c r="F956" s="19" t="str">
        <f>IF(VLOOKUP($B956,Q,9,FALSE)=0,"",(VLOOKUP($B956,Q,9,FALSE)))</f>
        <v/>
      </c>
      <c r="G956" s="2" t="str">
        <f>IF(VLOOKUP($B956,Q,10,FALSE)=0,"",(VLOOKUP($B956,Q,10,FALSE)))</f>
        <v/>
      </c>
      <c r="H956" s="2" t="str">
        <f>IF(VLOOKUP($B956,Q,14,FALSE)=0,"",(VLOOKUP($B956,Q,14,FALSE)))</f>
        <v/>
      </c>
      <c r="I956" s="2" t="str">
        <f>IF(VLOOKUP($B956,Q,14,FALSE)=0,"",(VLOOKUP($B956,Q,15,FALSE)))</f>
        <v/>
      </c>
      <c r="J956" s="2" t="str">
        <f>IF(VLOOKUP($B956,Q,14,FALSE)=0,"",(VLOOKUP($B956,Q,16,FALSE)))</f>
        <v/>
      </c>
      <c r="K956" s="2" t="str">
        <f>IF(VLOOKUP($B956,Q,14,FALSE)=0,"",(VLOOKUP($B956,Q,17,FALSE)))</f>
        <v/>
      </c>
    </row>
    <row r="957" spans="2:11" x14ac:dyDescent="0.6">
      <c r="B957" s="1">
        <v>960</v>
      </c>
      <c r="C957" s="2" t="str">
        <f>IF(VLOOKUP($B957,Q,2,FALSE)=0,"",(VLOOKUP($B957,Q,2,FALSE)))</f>
        <v/>
      </c>
      <c r="D957" s="2" t="str">
        <f>IF(VLOOKUP($B957,Q,3,FALSE)=0,"",(VLOOKUP($B957,Q,3,FALSE)))</f>
        <v/>
      </c>
      <c r="E957" s="2" t="str">
        <f>IF(VLOOKUP($B957,Q,8,FALSE)=0,"",(VLOOKUP($B957,Q,8,FALSE)))</f>
        <v/>
      </c>
      <c r="F957" s="19" t="str">
        <f>IF(VLOOKUP($B957,Q,9,FALSE)=0,"",(VLOOKUP($B957,Q,9,FALSE)))</f>
        <v/>
      </c>
      <c r="G957" s="2" t="str">
        <f>IF(VLOOKUP($B957,Q,10,FALSE)=0,"",(VLOOKUP($B957,Q,10,FALSE)))</f>
        <v/>
      </c>
      <c r="H957" s="2" t="str">
        <f>IF(VLOOKUP($B957,Q,14,FALSE)=0,"",(VLOOKUP($B957,Q,14,FALSE)))</f>
        <v/>
      </c>
      <c r="I957" s="2" t="str">
        <f>IF(VLOOKUP($B957,Q,14,FALSE)=0,"",(VLOOKUP($B957,Q,15,FALSE)))</f>
        <v/>
      </c>
      <c r="J957" s="2" t="str">
        <f>IF(VLOOKUP($B957,Q,14,FALSE)=0,"",(VLOOKUP($B957,Q,16,FALSE)))</f>
        <v/>
      </c>
      <c r="K957" s="2" t="str">
        <f>IF(VLOOKUP($B957,Q,14,FALSE)=0,"",(VLOOKUP($B957,Q,17,FALSE)))</f>
        <v/>
      </c>
    </row>
    <row r="958" spans="2:11" x14ac:dyDescent="0.6">
      <c r="B958" s="1">
        <v>961</v>
      </c>
      <c r="C958" s="2" t="str">
        <f>IF(VLOOKUP($B958,Q,2,FALSE)=0,"",(VLOOKUP($B958,Q,2,FALSE)))</f>
        <v/>
      </c>
      <c r="D958" s="2" t="str">
        <f>IF(VLOOKUP($B958,Q,3,FALSE)=0,"",(VLOOKUP($B958,Q,3,FALSE)))</f>
        <v/>
      </c>
      <c r="E958" s="2" t="str">
        <f>IF(VLOOKUP($B958,Q,8,FALSE)=0,"",(VLOOKUP($B958,Q,8,FALSE)))</f>
        <v/>
      </c>
      <c r="F958" s="19" t="str">
        <f>IF(VLOOKUP($B958,Q,9,FALSE)=0,"",(VLOOKUP($B958,Q,9,FALSE)))</f>
        <v/>
      </c>
      <c r="G958" s="2" t="str">
        <f>IF(VLOOKUP($B958,Q,10,FALSE)=0,"",(VLOOKUP($B958,Q,10,FALSE)))</f>
        <v/>
      </c>
      <c r="H958" s="2" t="str">
        <f>IF(VLOOKUP($B958,Q,14,FALSE)=0,"",(VLOOKUP($B958,Q,14,FALSE)))</f>
        <v/>
      </c>
      <c r="I958" s="2" t="str">
        <f>IF(VLOOKUP($B958,Q,14,FALSE)=0,"",(VLOOKUP($B958,Q,15,FALSE)))</f>
        <v/>
      </c>
      <c r="J958" s="2" t="str">
        <f>IF(VLOOKUP($B958,Q,14,FALSE)=0,"",(VLOOKUP($B958,Q,16,FALSE)))</f>
        <v/>
      </c>
      <c r="K958" s="2" t="str">
        <f>IF(VLOOKUP($B958,Q,14,FALSE)=0,"",(VLOOKUP($B958,Q,17,FALSE)))</f>
        <v/>
      </c>
    </row>
    <row r="959" spans="2:11" x14ac:dyDescent="0.6">
      <c r="B959" s="1">
        <v>962</v>
      </c>
      <c r="C959" s="2" t="str">
        <f>IF(VLOOKUP($B959,Q,2,FALSE)=0,"",(VLOOKUP($B959,Q,2,FALSE)))</f>
        <v/>
      </c>
      <c r="D959" s="2" t="str">
        <f>IF(VLOOKUP($B959,Q,3,FALSE)=0,"",(VLOOKUP($B959,Q,3,FALSE)))</f>
        <v/>
      </c>
      <c r="E959" s="2" t="str">
        <f>IF(VLOOKUP($B959,Q,8,FALSE)=0,"",(VLOOKUP($B959,Q,8,FALSE)))</f>
        <v/>
      </c>
      <c r="F959" s="19" t="str">
        <f>IF(VLOOKUP($B959,Q,9,FALSE)=0,"",(VLOOKUP($B959,Q,9,FALSE)))</f>
        <v/>
      </c>
      <c r="G959" s="2" t="str">
        <f>IF(VLOOKUP($B959,Q,10,FALSE)=0,"",(VLOOKUP($B959,Q,10,FALSE)))</f>
        <v/>
      </c>
      <c r="H959" s="2" t="str">
        <f>IF(VLOOKUP($B959,Q,14,FALSE)=0,"",(VLOOKUP($B959,Q,14,FALSE)))</f>
        <v/>
      </c>
      <c r="I959" s="2" t="str">
        <f>IF(VLOOKUP($B959,Q,14,FALSE)=0,"",(VLOOKUP($B959,Q,15,FALSE)))</f>
        <v/>
      </c>
      <c r="J959" s="2" t="str">
        <f>IF(VLOOKUP($B959,Q,14,FALSE)=0,"",(VLOOKUP($B959,Q,16,FALSE)))</f>
        <v/>
      </c>
      <c r="K959" s="2" t="str">
        <f>IF(VLOOKUP($B959,Q,14,FALSE)=0,"",(VLOOKUP($B959,Q,17,FALSE)))</f>
        <v/>
      </c>
    </row>
    <row r="960" spans="2:11" x14ac:dyDescent="0.6">
      <c r="B960" s="1">
        <v>963</v>
      </c>
      <c r="C960" s="2" t="str">
        <f>IF(VLOOKUP($B960,Q,2,FALSE)=0,"",(VLOOKUP($B960,Q,2,FALSE)))</f>
        <v/>
      </c>
      <c r="D960" s="2" t="str">
        <f>IF(VLOOKUP($B960,Q,3,FALSE)=0,"",(VLOOKUP($B960,Q,3,FALSE)))</f>
        <v/>
      </c>
      <c r="E960" s="2" t="str">
        <f>IF(VLOOKUP($B960,Q,8,FALSE)=0,"",(VLOOKUP($B960,Q,8,FALSE)))</f>
        <v/>
      </c>
      <c r="F960" s="19" t="str">
        <f>IF(VLOOKUP($B960,Q,9,FALSE)=0,"",(VLOOKUP($B960,Q,9,FALSE)))</f>
        <v/>
      </c>
      <c r="G960" s="2" t="str">
        <f>IF(VLOOKUP($B960,Q,10,FALSE)=0,"",(VLOOKUP($B960,Q,10,FALSE)))</f>
        <v/>
      </c>
      <c r="H960" s="2" t="str">
        <f>IF(VLOOKUP($B960,Q,14,FALSE)=0,"",(VLOOKUP($B960,Q,14,FALSE)))</f>
        <v/>
      </c>
      <c r="I960" s="2" t="str">
        <f>IF(VLOOKUP($B960,Q,14,FALSE)=0,"",(VLOOKUP($B960,Q,15,FALSE)))</f>
        <v/>
      </c>
      <c r="J960" s="2" t="str">
        <f>IF(VLOOKUP($B960,Q,14,FALSE)=0,"",(VLOOKUP($B960,Q,16,FALSE)))</f>
        <v/>
      </c>
      <c r="K960" s="2" t="str">
        <f>IF(VLOOKUP($B960,Q,14,FALSE)=0,"",(VLOOKUP($B960,Q,17,FALSE)))</f>
        <v/>
      </c>
    </row>
    <row r="961" spans="2:11" x14ac:dyDescent="0.6">
      <c r="B961" s="1">
        <v>964</v>
      </c>
      <c r="C961" s="2" t="str">
        <f>IF(VLOOKUP($B961,Q,2,FALSE)=0,"",(VLOOKUP($B961,Q,2,FALSE)))</f>
        <v/>
      </c>
      <c r="D961" s="2" t="str">
        <f>IF(VLOOKUP($B961,Q,3,FALSE)=0,"",(VLOOKUP($B961,Q,3,FALSE)))</f>
        <v/>
      </c>
      <c r="E961" s="2" t="str">
        <f>IF(VLOOKUP($B961,Q,8,FALSE)=0,"",(VLOOKUP($B961,Q,8,FALSE)))</f>
        <v/>
      </c>
      <c r="F961" s="19" t="str">
        <f>IF(VLOOKUP($B961,Q,9,FALSE)=0,"",(VLOOKUP($B961,Q,9,FALSE)))</f>
        <v/>
      </c>
      <c r="G961" s="2" t="str">
        <f>IF(VLOOKUP($B961,Q,10,FALSE)=0,"",(VLOOKUP($B961,Q,10,FALSE)))</f>
        <v/>
      </c>
      <c r="H961" s="2" t="str">
        <f>IF(VLOOKUP($B961,Q,14,FALSE)=0,"",(VLOOKUP($B961,Q,14,FALSE)))</f>
        <v/>
      </c>
      <c r="I961" s="2" t="str">
        <f>IF(VLOOKUP($B961,Q,14,FALSE)=0,"",(VLOOKUP($B961,Q,15,FALSE)))</f>
        <v/>
      </c>
      <c r="J961" s="2" t="str">
        <f>IF(VLOOKUP($B961,Q,14,FALSE)=0,"",(VLOOKUP($B961,Q,16,FALSE)))</f>
        <v/>
      </c>
      <c r="K961" s="2" t="str">
        <f>IF(VLOOKUP($B961,Q,14,FALSE)=0,"",(VLOOKUP($B961,Q,17,FALSE)))</f>
        <v/>
      </c>
    </row>
    <row r="962" spans="2:11" x14ac:dyDescent="0.6">
      <c r="B962" s="1">
        <v>965</v>
      </c>
      <c r="C962" s="2" t="str">
        <f>IF(VLOOKUP($B962,Q,2,FALSE)=0,"",(VLOOKUP($B962,Q,2,FALSE)))</f>
        <v/>
      </c>
      <c r="D962" s="2" t="str">
        <f>IF(VLOOKUP($B962,Q,3,FALSE)=0,"",(VLOOKUP($B962,Q,3,FALSE)))</f>
        <v/>
      </c>
      <c r="E962" s="2" t="str">
        <f>IF(VLOOKUP($B962,Q,8,FALSE)=0,"",(VLOOKUP($B962,Q,8,FALSE)))</f>
        <v/>
      </c>
      <c r="F962" s="19" t="str">
        <f>IF(VLOOKUP($B962,Q,9,FALSE)=0,"",(VLOOKUP($B962,Q,9,FALSE)))</f>
        <v/>
      </c>
      <c r="G962" s="2" t="str">
        <f>IF(VLOOKUP($B962,Q,10,FALSE)=0,"",(VLOOKUP($B962,Q,10,FALSE)))</f>
        <v/>
      </c>
      <c r="H962" s="2" t="str">
        <f>IF(VLOOKUP($B962,Q,14,FALSE)=0,"",(VLOOKUP($B962,Q,14,FALSE)))</f>
        <v/>
      </c>
      <c r="I962" s="2" t="str">
        <f>IF(VLOOKUP($B962,Q,14,FALSE)=0,"",(VLOOKUP($B962,Q,15,FALSE)))</f>
        <v/>
      </c>
      <c r="J962" s="2" t="str">
        <f>IF(VLOOKUP($B962,Q,14,FALSE)=0,"",(VLOOKUP($B962,Q,16,FALSE)))</f>
        <v/>
      </c>
      <c r="K962" s="2" t="str">
        <f>IF(VLOOKUP($B962,Q,14,FALSE)=0,"",(VLOOKUP($B962,Q,17,FALSE)))</f>
        <v/>
      </c>
    </row>
    <row r="963" spans="2:11" x14ac:dyDescent="0.6">
      <c r="B963" s="1">
        <v>966</v>
      </c>
      <c r="C963" s="2" t="str">
        <f>IF(VLOOKUP($B963,Q,2,FALSE)=0,"",(VLOOKUP($B963,Q,2,FALSE)))</f>
        <v/>
      </c>
      <c r="D963" s="2" t="str">
        <f>IF(VLOOKUP($B963,Q,3,FALSE)=0,"",(VLOOKUP($B963,Q,3,FALSE)))</f>
        <v/>
      </c>
      <c r="E963" s="2" t="str">
        <f>IF(VLOOKUP($B963,Q,8,FALSE)=0,"",(VLOOKUP($B963,Q,8,FALSE)))</f>
        <v/>
      </c>
      <c r="F963" s="19" t="str">
        <f>IF(VLOOKUP($B963,Q,9,FALSE)=0,"",(VLOOKUP($B963,Q,9,FALSE)))</f>
        <v/>
      </c>
      <c r="G963" s="2" t="str">
        <f>IF(VLOOKUP($B963,Q,10,FALSE)=0,"",(VLOOKUP($B963,Q,10,FALSE)))</f>
        <v/>
      </c>
      <c r="H963" s="2" t="str">
        <f>IF(VLOOKUP($B963,Q,14,FALSE)=0,"",(VLOOKUP($B963,Q,14,FALSE)))</f>
        <v/>
      </c>
      <c r="I963" s="2" t="str">
        <f>IF(VLOOKUP($B963,Q,14,FALSE)=0,"",(VLOOKUP($B963,Q,15,FALSE)))</f>
        <v/>
      </c>
      <c r="J963" s="2" t="str">
        <f>IF(VLOOKUP($B963,Q,14,FALSE)=0,"",(VLOOKUP($B963,Q,16,FALSE)))</f>
        <v/>
      </c>
      <c r="K963" s="2" t="str">
        <f>IF(VLOOKUP($B963,Q,14,FALSE)=0,"",(VLOOKUP($B963,Q,17,FALSE)))</f>
        <v/>
      </c>
    </row>
    <row r="964" spans="2:11" x14ac:dyDescent="0.6">
      <c r="B964" s="1">
        <v>967</v>
      </c>
      <c r="C964" s="2" t="str">
        <f>IF(VLOOKUP($B964,Q,2,FALSE)=0,"",(VLOOKUP($B964,Q,2,FALSE)))</f>
        <v/>
      </c>
      <c r="D964" s="2" t="str">
        <f>IF(VLOOKUP($B964,Q,3,FALSE)=0,"",(VLOOKUP($B964,Q,3,FALSE)))</f>
        <v/>
      </c>
      <c r="E964" s="2" t="str">
        <f>IF(VLOOKUP($B964,Q,8,FALSE)=0,"",(VLOOKUP($B964,Q,8,FALSE)))</f>
        <v/>
      </c>
      <c r="F964" s="19" t="str">
        <f>IF(VLOOKUP($B964,Q,9,FALSE)=0,"",(VLOOKUP($B964,Q,9,FALSE)))</f>
        <v/>
      </c>
      <c r="G964" s="2" t="str">
        <f>IF(VLOOKUP($B964,Q,10,FALSE)=0,"",(VLOOKUP($B964,Q,10,FALSE)))</f>
        <v/>
      </c>
      <c r="H964" s="2" t="str">
        <f>IF(VLOOKUP($B964,Q,14,FALSE)=0,"",(VLOOKUP($B964,Q,14,FALSE)))</f>
        <v/>
      </c>
      <c r="I964" s="2" t="str">
        <f>IF(VLOOKUP($B964,Q,14,FALSE)=0,"",(VLOOKUP($B964,Q,15,FALSE)))</f>
        <v/>
      </c>
      <c r="J964" s="2" t="str">
        <f>IF(VLOOKUP($B964,Q,14,FALSE)=0,"",(VLOOKUP($B964,Q,16,FALSE)))</f>
        <v/>
      </c>
      <c r="K964" s="2" t="str">
        <f>IF(VLOOKUP($B964,Q,14,FALSE)=0,"",(VLOOKUP($B964,Q,17,FALSE)))</f>
        <v/>
      </c>
    </row>
    <row r="965" spans="2:11" x14ac:dyDescent="0.6">
      <c r="B965" s="1">
        <v>968</v>
      </c>
      <c r="C965" s="2" t="str">
        <f>IF(VLOOKUP($B965,Q,2,FALSE)=0,"",(VLOOKUP($B965,Q,2,FALSE)))</f>
        <v/>
      </c>
      <c r="D965" s="2" t="str">
        <f>IF(VLOOKUP($B965,Q,3,FALSE)=0,"",(VLOOKUP($B965,Q,3,FALSE)))</f>
        <v/>
      </c>
      <c r="E965" s="2" t="str">
        <f>IF(VLOOKUP($B965,Q,8,FALSE)=0,"",(VLOOKUP($B965,Q,8,FALSE)))</f>
        <v/>
      </c>
      <c r="F965" s="19" t="str">
        <f>IF(VLOOKUP($B965,Q,9,FALSE)=0,"",(VLOOKUP($B965,Q,9,FALSE)))</f>
        <v/>
      </c>
      <c r="G965" s="2" t="str">
        <f>IF(VLOOKUP($B965,Q,10,FALSE)=0,"",(VLOOKUP($B965,Q,10,FALSE)))</f>
        <v/>
      </c>
      <c r="H965" s="2" t="str">
        <f>IF(VLOOKUP($B965,Q,14,FALSE)=0,"",(VLOOKUP($B965,Q,14,FALSE)))</f>
        <v/>
      </c>
      <c r="I965" s="2" t="str">
        <f>IF(VLOOKUP($B965,Q,14,FALSE)=0,"",(VLOOKUP($B965,Q,15,FALSE)))</f>
        <v/>
      </c>
      <c r="J965" s="2" t="str">
        <f>IF(VLOOKUP($B965,Q,14,FALSE)=0,"",(VLOOKUP($B965,Q,16,FALSE)))</f>
        <v/>
      </c>
      <c r="K965" s="2" t="str">
        <f>IF(VLOOKUP($B965,Q,14,FALSE)=0,"",(VLOOKUP($B965,Q,17,FALSE)))</f>
        <v/>
      </c>
    </row>
    <row r="966" spans="2:11" x14ac:dyDescent="0.6">
      <c r="B966" s="1">
        <v>969</v>
      </c>
      <c r="C966" s="2" t="str">
        <f>IF(VLOOKUP($B966,Q,2,FALSE)=0,"",(VLOOKUP($B966,Q,2,FALSE)))</f>
        <v/>
      </c>
      <c r="D966" s="2" t="str">
        <f>IF(VLOOKUP($B966,Q,3,FALSE)=0,"",(VLOOKUP($B966,Q,3,FALSE)))</f>
        <v/>
      </c>
      <c r="E966" s="2" t="str">
        <f>IF(VLOOKUP($B966,Q,8,FALSE)=0,"",(VLOOKUP($B966,Q,8,FALSE)))</f>
        <v/>
      </c>
      <c r="F966" s="19" t="str">
        <f>IF(VLOOKUP($B966,Q,9,FALSE)=0,"",(VLOOKUP($B966,Q,9,FALSE)))</f>
        <v/>
      </c>
      <c r="G966" s="2" t="str">
        <f>IF(VLOOKUP($B966,Q,10,FALSE)=0,"",(VLOOKUP($B966,Q,10,FALSE)))</f>
        <v/>
      </c>
      <c r="H966" s="2" t="str">
        <f>IF(VLOOKUP($B966,Q,14,FALSE)=0,"",(VLOOKUP($B966,Q,14,FALSE)))</f>
        <v/>
      </c>
      <c r="I966" s="2" t="str">
        <f>IF(VLOOKUP($B966,Q,14,FALSE)=0,"",(VLOOKUP($B966,Q,15,FALSE)))</f>
        <v/>
      </c>
      <c r="J966" s="2" t="str">
        <f>IF(VLOOKUP($B966,Q,14,FALSE)=0,"",(VLOOKUP($B966,Q,16,FALSE)))</f>
        <v/>
      </c>
      <c r="K966" s="2" t="str">
        <f>IF(VLOOKUP($B966,Q,14,FALSE)=0,"",(VLOOKUP($B966,Q,17,FALSE)))</f>
        <v/>
      </c>
    </row>
    <row r="967" spans="2:11" x14ac:dyDescent="0.6">
      <c r="B967" s="1">
        <v>970</v>
      </c>
      <c r="C967" s="2" t="str">
        <f>IF(VLOOKUP($B967,Q,2,FALSE)=0,"",(VLOOKUP($B967,Q,2,FALSE)))</f>
        <v/>
      </c>
      <c r="D967" s="2" t="str">
        <f>IF(VLOOKUP($B967,Q,3,FALSE)=0,"",(VLOOKUP($B967,Q,3,FALSE)))</f>
        <v/>
      </c>
      <c r="E967" s="2" t="str">
        <f>IF(VLOOKUP($B967,Q,8,FALSE)=0,"",(VLOOKUP($B967,Q,8,FALSE)))</f>
        <v/>
      </c>
      <c r="F967" s="19" t="str">
        <f>IF(VLOOKUP($B967,Q,9,FALSE)=0,"",(VLOOKUP($B967,Q,9,FALSE)))</f>
        <v/>
      </c>
      <c r="G967" s="2" t="str">
        <f>IF(VLOOKUP($B967,Q,10,FALSE)=0,"",(VLOOKUP($B967,Q,10,FALSE)))</f>
        <v/>
      </c>
      <c r="H967" s="2" t="str">
        <f>IF(VLOOKUP($B967,Q,14,FALSE)=0,"",(VLOOKUP($B967,Q,14,FALSE)))</f>
        <v/>
      </c>
      <c r="I967" s="2" t="str">
        <f>IF(VLOOKUP($B967,Q,14,FALSE)=0,"",(VLOOKUP($B967,Q,15,FALSE)))</f>
        <v/>
      </c>
      <c r="J967" s="2" t="str">
        <f>IF(VLOOKUP($B967,Q,14,FALSE)=0,"",(VLOOKUP($B967,Q,16,FALSE)))</f>
        <v/>
      </c>
      <c r="K967" s="2" t="str">
        <f>IF(VLOOKUP($B967,Q,14,FALSE)=0,"",(VLOOKUP($B967,Q,17,FALSE)))</f>
        <v/>
      </c>
    </row>
    <row r="968" spans="2:11" x14ac:dyDescent="0.6">
      <c r="B968" s="1">
        <v>971</v>
      </c>
      <c r="C968" s="2" t="str">
        <f>IF(VLOOKUP($B968,Q,2,FALSE)=0,"",(VLOOKUP($B968,Q,2,FALSE)))</f>
        <v/>
      </c>
      <c r="D968" s="2" t="str">
        <f>IF(VLOOKUP($B968,Q,3,FALSE)=0,"",(VLOOKUP($B968,Q,3,FALSE)))</f>
        <v/>
      </c>
      <c r="E968" s="2" t="str">
        <f>IF(VLOOKUP($B968,Q,8,FALSE)=0,"",(VLOOKUP($B968,Q,8,FALSE)))</f>
        <v/>
      </c>
      <c r="F968" s="19" t="str">
        <f>IF(VLOOKUP($B968,Q,9,FALSE)=0,"",(VLOOKUP($B968,Q,9,FALSE)))</f>
        <v/>
      </c>
      <c r="G968" s="2" t="str">
        <f>IF(VLOOKUP($B968,Q,10,FALSE)=0,"",(VLOOKUP($B968,Q,10,FALSE)))</f>
        <v/>
      </c>
      <c r="H968" s="2" t="str">
        <f>IF(VLOOKUP($B968,Q,14,FALSE)=0,"",(VLOOKUP($B968,Q,14,FALSE)))</f>
        <v/>
      </c>
      <c r="I968" s="2" t="str">
        <f>IF(VLOOKUP($B968,Q,14,FALSE)=0,"",(VLOOKUP($B968,Q,15,FALSE)))</f>
        <v/>
      </c>
      <c r="J968" s="2" t="str">
        <f>IF(VLOOKUP($B968,Q,14,FALSE)=0,"",(VLOOKUP($B968,Q,16,FALSE)))</f>
        <v/>
      </c>
      <c r="K968" s="2" t="str">
        <f>IF(VLOOKUP($B968,Q,14,FALSE)=0,"",(VLOOKUP($B968,Q,17,FALSE)))</f>
        <v/>
      </c>
    </row>
    <row r="969" spans="2:11" x14ac:dyDescent="0.6">
      <c r="B969" s="1">
        <v>972</v>
      </c>
      <c r="C969" s="2" t="str">
        <f>IF(VLOOKUP($B969,Q,2,FALSE)=0,"",(VLOOKUP($B969,Q,2,FALSE)))</f>
        <v/>
      </c>
      <c r="D969" s="2" t="str">
        <f>IF(VLOOKUP($B969,Q,3,FALSE)=0,"",(VLOOKUP($B969,Q,3,FALSE)))</f>
        <v/>
      </c>
      <c r="E969" s="2" t="str">
        <f>IF(VLOOKUP($B969,Q,8,FALSE)=0,"",(VLOOKUP($B969,Q,8,FALSE)))</f>
        <v/>
      </c>
      <c r="F969" s="19" t="str">
        <f>IF(VLOOKUP($B969,Q,9,FALSE)=0,"",(VLOOKUP($B969,Q,9,FALSE)))</f>
        <v/>
      </c>
      <c r="G969" s="2" t="str">
        <f>IF(VLOOKUP($B969,Q,10,FALSE)=0,"",(VLOOKUP($B969,Q,10,FALSE)))</f>
        <v/>
      </c>
      <c r="H969" s="2" t="str">
        <f>IF(VLOOKUP($B969,Q,14,FALSE)=0,"",(VLOOKUP($B969,Q,14,FALSE)))</f>
        <v/>
      </c>
      <c r="I969" s="2" t="str">
        <f>IF(VLOOKUP($B969,Q,14,FALSE)=0,"",(VLOOKUP($B969,Q,15,FALSE)))</f>
        <v/>
      </c>
      <c r="J969" s="2" t="str">
        <f>IF(VLOOKUP($B969,Q,14,FALSE)=0,"",(VLOOKUP($B969,Q,16,FALSE)))</f>
        <v/>
      </c>
      <c r="K969" s="2" t="str">
        <f>IF(VLOOKUP($B969,Q,14,FALSE)=0,"",(VLOOKUP($B969,Q,17,FALSE)))</f>
        <v/>
      </c>
    </row>
    <row r="970" spans="2:11" x14ac:dyDescent="0.6">
      <c r="B970" s="1">
        <v>973</v>
      </c>
      <c r="C970" s="2" t="str">
        <f>IF(VLOOKUP($B970,Q,2,FALSE)=0,"",(VLOOKUP($B970,Q,2,FALSE)))</f>
        <v/>
      </c>
      <c r="D970" s="2" t="str">
        <f>IF(VLOOKUP($B970,Q,3,FALSE)=0,"",(VLOOKUP($B970,Q,3,FALSE)))</f>
        <v/>
      </c>
      <c r="E970" s="2" t="str">
        <f>IF(VLOOKUP($B970,Q,8,FALSE)=0,"",(VLOOKUP($B970,Q,8,FALSE)))</f>
        <v/>
      </c>
      <c r="F970" s="19" t="str">
        <f>IF(VLOOKUP($B970,Q,9,FALSE)=0,"",(VLOOKUP($B970,Q,9,FALSE)))</f>
        <v/>
      </c>
      <c r="G970" s="2" t="str">
        <f>IF(VLOOKUP($B970,Q,10,FALSE)=0,"",(VLOOKUP($B970,Q,10,FALSE)))</f>
        <v/>
      </c>
      <c r="H970" s="2" t="str">
        <f>IF(VLOOKUP($B970,Q,14,FALSE)=0,"",(VLOOKUP($B970,Q,14,FALSE)))</f>
        <v/>
      </c>
      <c r="I970" s="2" t="str">
        <f>IF(VLOOKUP($B970,Q,14,FALSE)=0,"",(VLOOKUP($B970,Q,15,FALSE)))</f>
        <v/>
      </c>
      <c r="J970" s="2" t="str">
        <f>IF(VLOOKUP($B970,Q,14,FALSE)=0,"",(VLOOKUP($B970,Q,16,FALSE)))</f>
        <v/>
      </c>
      <c r="K970" s="2" t="str">
        <f>IF(VLOOKUP($B970,Q,14,FALSE)=0,"",(VLOOKUP($B970,Q,17,FALSE)))</f>
        <v/>
      </c>
    </row>
    <row r="971" spans="2:11" x14ac:dyDescent="0.6">
      <c r="B971" s="1">
        <v>974</v>
      </c>
      <c r="C971" s="2" t="str">
        <f>IF(VLOOKUP($B971,Q,2,FALSE)=0,"",(VLOOKUP($B971,Q,2,FALSE)))</f>
        <v/>
      </c>
      <c r="D971" s="2" t="str">
        <f>IF(VLOOKUP($B971,Q,3,FALSE)=0,"",(VLOOKUP($B971,Q,3,FALSE)))</f>
        <v/>
      </c>
      <c r="E971" s="2" t="str">
        <f>IF(VLOOKUP($B971,Q,8,FALSE)=0,"",(VLOOKUP($B971,Q,8,FALSE)))</f>
        <v/>
      </c>
      <c r="F971" s="19" t="str">
        <f>IF(VLOOKUP($B971,Q,9,FALSE)=0,"",(VLOOKUP($B971,Q,9,FALSE)))</f>
        <v/>
      </c>
      <c r="G971" s="2" t="str">
        <f>IF(VLOOKUP($B971,Q,10,FALSE)=0,"",(VLOOKUP($B971,Q,10,FALSE)))</f>
        <v/>
      </c>
      <c r="H971" s="2" t="str">
        <f>IF(VLOOKUP($B971,Q,14,FALSE)=0,"",(VLOOKUP($B971,Q,14,FALSE)))</f>
        <v/>
      </c>
      <c r="I971" s="2" t="str">
        <f>IF(VLOOKUP($B971,Q,14,FALSE)=0,"",(VLOOKUP($B971,Q,15,FALSE)))</f>
        <v/>
      </c>
      <c r="J971" s="2" t="str">
        <f>IF(VLOOKUP($B971,Q,14,FALSE)=0,"",(VLOOKUP($B971,Q,16,FALSE)))</f>
        <v/>
      </c>
      <c r="K971" s="2" t="str">
        <f>IF(VLOOKUP($B971,Q,14,FALSE)=0,"",(VLOOKUP($B971,Q,17,FALSE)))</f>
        <v/>
      </c>
    </row>
    <row r="972" spans="2:11" x14ac:dyDescent="0.6">
      <c r="B972" s="1">
        <v>975</v>
      </c>
      <c r="C972" s="2" t="str">
        <f>IF(VLOOKUP($B972,Q,2,FALSE)=0,"",(VLOOKUP($B972,Q,2,FALSE)))</f>
        <v/>
      </c>
      <c r="D972" s="2" t="str">
        <f>IF(VLOOKUP($B972,Q,3,FALSE)=0,"",(VLOOKUP($B972,Q,3,FALSE)))</f>
        <v/>
      </c>
      <c r="E972" s="2" t="str">
        <f>IF(VLOOKUP($B972,Q,8,FALSE)=0,"",(VLOOKUP($B972,Q,8,FALSE)))</f>
        <v/>
      </c>
      <c r="F972" s="19" t="str">
        <f>IF(VLOOKUP($B972,Q,9,FALSE)=0,"",(VLOOKUP($B972,Q,9,FALSE)))</f>
        <v/>
      </c>
      <c r="G972" s="2" t="str">
        <f>IF(VLOOKUP($B972,Q,10,FALSE)=0,"",(VLOOKUP($B972,Q,10,FALSE)))</f>
        <v/>
      </c>
      <c r="H972" s="2" t="str">
        <f>IF(VLOOKUP($B972,Q,14,FALSE)=0,"",(VLOOKUP($B972,Q,14,FALSE)))</f>
        <v/>
      </c>
      <c r="I972" s="2" t="str">
        <f>IF(VLOOKUP($B972,Q,14,FALSE)=0,"",(VLOOKUP($B972,Q,15,FALSE)))</f>
        <v/>
      </c>
      <c r="J972" s="2" t="str">
        <f>IF(VLOOKUP($B972,Q,14,FALSE)=0,"",(VLOOKUP($B972,Q,16,FALSE)))</f>
        <v/>
      </c>
      <c r="K972" s="2" t="str">
        <f>IF(VLOOKUP($B972,Q,14,FALSE)=0,"",(VLOOKUP($B972,Q,17,FALSE)))</f>
        <v/>
      </c>
    </row>
    <row r="973" spans="2:11" x14ac:dyDescent="0.6">
      <c r="B973" s="1">
        <v>976</v>
      </c>
      <c r="C973" s="2" t="str">
        <f>IF(VLOOKUP($B973,Q,2,FALSE)=0,"",(VLOOKUP($B973,Q,2,FALSE)))</f>
        <v/>
      </c>
      <c r="D973" s="2" t="str">
        <f>IF(VLOOKUP($B973,Q,3,FALSE)=0,"",(VLOOKUP($B973,Q,3,FALSE)))</f>
        <v/>
      </c>
      <c r="E973" s="2" t="str">
        <f>IF(VLOOKUP($B973,Q,8,FALSE)=0,"",(VLOOKUP($B973,Q,8,FALSE)))</f>
        <v/>
      </c>
      <c r="F973" s="19" t="str">
        <f>IF(VLOOKUP($B973,Q,9,FALSE)=0,"",(VLOOKUP($B973,Q,9,FALSE)))</f>
        <v/>
      </c>
      <c r="G973" s="2" t="str">
        <f>IF(VLOOKUP($B973,Q,10,FALSE)=0,"",(VLOOKUP($B973,Q,10,FALSE)))</f>
        <v/>
      </c>
      <c r="H973" s="2" t="str">
        <f>IF(VLOOKUP($B973,Q,14,FALSE)=0,"",(VLOOKUP($B973,Q,14,FALSE)))</f>
        <v/>
      </c>
      <c r="I973" s="2" t="str">
        <f>IF(VLOOKUP($B973,Q,14,FALSE)=0,"",(VLOOKUP($B973,Q,15,FALSE)))</f>
        <v/>
      </c>
      <c r="J973" s="2" t="str">
        <f>IF(VLOOKUP($B973,Q,14,FALSE)=0,"",(VLOOKUP($B973,Q,16,FALSE)))</f>
        <v/>
      </c>
      <c r="K973" s="2" t="str">
        <f>IF(VLOOKUP($B973,Q,14,FALSE)=0,"",(VLOOKUP($B973,Q,17,FALSE)))</f>
        <v/>
      </c>
    </row>
    <row r="974" spans="2:11" x14ac:dyDescent="0.6">
      <c r="B974" s="1">
        <v>977</v>
      </c>
      <c r="C974" s="2" t="str">
        <f>IF(VLOOKUP($B974,Q,2,FALSE)=0,"",(VLOOKUP($B974,Q,2,FALSE)))</f>
        <v/>
      </c>
      <c r="D974" s="2" t="str">
        <f>IF(VLOOKUP($B974,Q,3,FALSE)=0,"",(VLOOKUP($B974,Q,3,FALSE)))</f>
        <v/>
      </c>
      <c r="E974" s="2" t="str">
        <f>IF(VLOOKUP($B974,Q,8,FALSE)=0,"",(VLOOKUP($B974,Q,8,FALSE)))</f>
        <v/>
      </c>
      <c r="F974" s="19" t="str">
        <f>IF(VLOOKUP($B974,Q,9,FALSE)=0,"",(VLOOKUP($B974,Q,9,FALSE)))</f>
        <v/>
      </c>
      <c r="G974" s="2" t="str">
        <f>IF(VLOOKUP($B974,Q,10,FALSE)=0,"",(VLOOKUP($B974,Q,10,FALSE)))</f>
        <v/>
      </c>
      <c r="H974" s="2" t="str">
        <f>IF(VLOOKUP($B974,Q,14,FALSE)=0,"",(VLOOKUP($B974,Q,14,FALSE)))</f>
        <v/>
      </c>
      <c r="I974" s="2" t="str">
        <f>IF(VLOOKUP($B974,Q,14,FALSE)=0,"",(VLOOKUP($B974,Q,15,FALSE)))</f>
        <v/>
      </c>
      <c r="J974" s="2" t="str">
        <f>IF(VLOOKUP($B974,Q,14,FALSE)=0,"",(VLOOKUP($B974,Q,16,FALSE)))</f>
        <v/>
      </c>
      <c r="K974" s="2" t="str">
        <f>IF(VLOOKUP($B974,Q,14,FALSE)=0,"",(VLOOKUP($B974,Q,17,FALSE)))</f>
        <v/>
      </c>
    </row>
    <row r="975" spans="2:11" x14ac:dyDescent="0.6">
      <c r="B975" s="1">
        <v>978</v>
      </c>
      <c r="C975" s="2" t="str">
        <f>IF(VLOOKUP($B975,Q,2,FALSE)=0,"",(VLOOKUP($B975,Q,2,FALSE)))</f>
        <v/>
      </c>
      <c r="D975" s="2" t="str">
        <f>IF(VLOOKUP($B975,Q,3,FALSE)=0,"",(VLOOKUP($B975,Q,3,FALSE)))</f>
        <v/>
      </c>
      <c r="E975" s="2" t="str">
        <f>IF(VLOOKUP($B975,Q,8,FALSE)=0,"",(VLOOKUP($B975,Q,8,FALSE)))</f>
        <v/>
      </c>
      <c r="F975" s="19" t="str">
        <f>IF(VLOOKUP($B975,Q,9,FALSE)=0,"",(VLOOKUP($B975,Q,9,FALSE)))</f>
        <v/>
      </c>
      <c r="G975" s="2" t="str">
        <f>IF(VLOOKUP($B975,Q,10,FALSE)=0,"",(VLOOKUP($B975,Q,10,FALSE)))</f>
        <v/>
      </c>
      <c r="H975" s="2" t="str">
        <f>IF(VLOOKUP($B975,Q,14,FALSE)=0,"",(VLOOKUP($B975,Q,14,FALSE)))</f>
        <v/>
      </c>
      <c r="I975" s="2" t="str">
        <f>IF(VLOOKUP($B975,Q,14,FALSE)=0,"",(VLOOKUP($B975,Q,15,FALSE)))</f>
        <v/>
      </c>
      <c r="J975" s="2" t="str">
        <f>IF(VLOOKUP($B975,Q,14,FALSE)=0,"",(VLOOKUP($B975,Q,16,FALSE)))</f>
        <v/>
      </c>
      <c r="K975" s="2" t="str">
        <f>IF(VLOOKUP($B975,Q,14,FALSE)=0,"",(VLOOKUP($B975,Q,17,FALSE)))</f>
        <v/>
      </c>
    </row>
    <row r="976" spans="2:11" x14ac:dyDescent="0.6">
      <c r="B976" s="1">
        <v>979</v>
      </c>
      <c r="C976" s="2" t="str">
        <f>IF(VLOOKUP($B976,Q,2,FALSE)=0,"",(VLOOKUP($B976,Q,2,FALSE)))</f>
        <v/>
      </c>
      <c r="D976" s="2" t="str">
        <f>IF(VLOOKUP($B976,Q,3,FALSE)=0,"",(VLOOKUP($B976,Q,3,FALSE)))</f>
        <v/>
      </c>
      <c r="E976" s="2" t="str">
        <f>IF(VLOOKUP($B976,Q,8,FALSE)=0,"",(VLOOKUP($B976,Q,8,FALSE)))</f>
        <v/>
      </c>
      <c r="F976" s="19" t="str">
        <f>IF(VLOOKUP($B976,Q,9,FALSE)=0,"",(VLOOKUP($B976,Q,9,FALSE)))</f>
        <v/>
      </c>
      <c r="G976" s="2" t="str">
        <f>IF(VLOOKUP($B976,Q,10,FALSE)=0,"",(VLOOKUP($B976,Q,10,FALSE)))</f>
        <v/>
      </c>
      <c r="H976" s="2" t="str">
        <f>IF(VLOOKUP($B976,Q,14,FALSE)=0,"",(VLOOKUP($B976,Q,14,FALSE)))</f>
        <v/>
      </c>
      <c r="I976" s="2" t="str">
        <f>IF(VLOOKUP($B976,Q,14,FALSE)=0,"",(VLOOKUP($B976,Q,15,FALSE)))</f>
        <v/>
      </c>
      <c r="J976" s="2" t="str">
        <f>IF(VLOOKUP($B976,Q,14,FALSE)=0,"",(VLOOKUP($B976,Q,16,FALSE)))</f>
        <v/>
      </c>
      <c r="K976" s="2" t="str">
        <f>IF(VLOOKUP($B976,Q,14,FALSE)=0,"",(VLOOKUP($B976,Q,17,FALSE)))</f>
        <v/>
      </c>
    </row>
    <row r="977" spans="2:11" x14ac:dyDescent="0.6">
      <c r="B977" s="1">
        <v>980</v>
      </c>
      <c r="C977" s="2" t="str">
        <f>IF(VLOOKUP($B977,Q,2,FALSE)=0,"",(VLOOKUP($B977,Q,2,FALSE)))</f>
        <v/>
      </c>
      <c r="D977" s="2" t="str">
        <f>IF(VLOOKUP($B977,Q,3,FALSE)=0,"",(VLOOKUP($B977,Q,3,FALSE)))</f>
        <v/>
      </c>
      <c r="E977" s="2" t="str">
        <f>IF(VLOOKUP($B977,Q,8,FALSE)=0,"",(VLOOKUP($B977,Q,8,FALSE)))</f>
        <v/>
      </c>
      <c r="F977" s="19" t="str">
        <f>IF(VLOOKUP($B977,Q,9,FALSE)=0,"",(VLOOKUP($B977,Q,9,FALSE)))</f>
        <v/>
      </c>
      <c r="G977" s="2" t="str">
        <f>IF(VLOOKUP($B977,Q,10,FALSE)=0,"",(VLOOKUP($B977,Q,10,FALSE)))</f>
        <v/>
      </c>
      <c r="H977" s="2" t="str">
        <f>IF(VLOOKUP($B977,Q,14,FALSE)=0,"",(VLOOKUP($B977,Q,14,FALSE)))</f>
        <v/>
      </c>
      <c r="I977" s="2" t="str">
        <f>IF(VLOOKUP($B977,Q,14,FALSE)=0,"",(VLOOKUP($B977,Q,15,FALSE)))</f>
        <v/>
      </c>
      <c r="J977" s="2" t="str">
        <f>IF(VLOOKUP($B977,Q,14,FALSE)=0,"",(VLOOKUP($B977,Q,16,FALSE)))</f>
        <v/>
      </c>
      <c r="K977" s="2" t="str">
        <f>IF(VLOOKUP($B977,Q,14,FALSE)=0,"",(VLOOKUP($B977,Q,17,FALSE)))</f>
        <v/>
      </c>
    </row>
    <row r="978" spans="2:11" x14ac:dyDescent="0.6">
      <c r="B978" s="1">
        <v>981</v>
      </c>
      <c r="C978" s="2" t="str">
        <f>IF(VLOOKUP($B978,Q,2,FALSE)=0,"",(VLOOKUP($B978,Q,2,FALSE)))</f>
        <v/>
      </c>
      <c r="D978" s="2" t="str">
        <f>IF(VLOOKUP($B978,Q,3,FALSE)=0,"",(VLOOKUP($B978,Q,3,FALSE)))</f>
        <v/>
      </c>
      <c r="E978" s="2" t="str">
        <f>IF(VLOOKUP($B978,Q,8,FALSE)=0,"",(VLOOKUP($B978,Q,8,FALSE)))</f>
        <v/>
      </c>
      <c r="F978" s="19" t="str">
        <f>IF(VLOOKUP($B978,Q,9,FALSE)=0,"",(VLOOKUP($B978,Q,9,FALSE)))</f>
        <v/>
      </c>
      <c r="G978" s="2" t="str">
        <f>IF(VLOOKUP($B978,Q,10,FALSE)=0,"",(VLOOKUP($B978,Q,10,FALSE)))</f>
        <v/>
      </c>
      <c r="H978" s="2" t="str">
        <f>IF(VLOOKUP($B978,Q,14,FALSE)=0,"",(VLOOKUP($B978,Q,14,FALSE)))</f>
        <v/>
      </c>
      <c r="I978" s="2" t="str">
        <f>IF(VLOOKUP($B978,Q,14,FALSE)=0,"",(VLOOKUP($B978,Q,15,FALSE)))</f>
        <v/>
      </c>
      <c r="J978" s="2" t="str">
        <f>IF(VLOOKUP($B978,Q,14,FALSE)=0,"",(VLOOKUP($B978,Q,16,FALSE)))</f>
        <v/>
      </c>
      <c r="K978" s="2" t="str">
        <f>IF(VLOOKUP($B978,Q,14,FALSE)=0,"",(VLOOKUP($B978,Q,17,FALSE)))</f>
        <v/>
      </c>
    </row>
    <row r="979" spans="2:11" x14ac:dyDescent="0.6">
      <c r="B979" s="1">
        <v>982</v>
      </c>
      <c r="C979" s="2" t="str">
        <f>IF(VLOOKUP($B979,Q,2,FALSE)=0,"",(VLOOKUP($B979,Q,2,FALSE)))</f>
        <v/>
      </c>
      <c r="D979" s="2" t="str">
        <f>IF(VLOOKUP($B979,Q,3,FALSE)=0,"",(VLOOKUP($B979,Q,3,FALSE)))</f>
        <v/>
      </c>
      <c r="E979" s="2" t="str">
        <f>IF(VLOOKUP($B979,Q,8,FALSE)=0,"",(VLOOKUP($B979,Q,8,FALSE)))</f>
        <v/>
      </c>
      <c r="F979" s="19" t="str">
        <f>IF(VLOOKUP($B979,Q,9,FALSE)=0,"",(VLOOKUP($B979,Q,9,FALSE)))</f>
        <v/>
      </c>
      <c r="G979" s="2" t="str">
        <f>IF(VLOOKUP($B979,Q,10,FALSE)=0,"",(VLOOKUP($B979,Q,10,FALSE)))</f>
        <v/>
      </c>
      <c r="H979" s="2" t="str">
        <f>IF(VLOOKUP($B979,Q,14,FALSE)=0,"",(VLOOKUP($B979,Q,14,FALSE)))</f>
        <v/>
      </c>
      <c r="I979" s="2" t="str">
        <f>IF(VLOOKUP($B979,Q,14,FALSE)=0,"",(VLOOKUP($B979,Q,15,FALSE)))</f>
        <v/>
      </c>
      <c r="J979" s="2" t="str">
        <f>IF(VLOOKUP($B979,Q,14,FALSE)=0,"",(VLOOKUP($B979,Q,16,FALSE)))</f>
        <v/>
      </c>
      <c r="K979" s="2" t="str">
        <f>IF(VLOOKUP($B979,Q,14,FALSE)=0,"",(VLOOKUP($B979,Q,17,FALSE)))</f>
        <v/>
      </c>
    </row>
    <row r="980" spans="2:11" x14ac:dyDescent="0.6">
      <c r="B980" s="1">
        <v>983</v>
      </c>
      <c r="C980" s="2" t="str">
        <f>IF(VLOOKUP($B980,Q,2,FALSE)=0,"",(VLOOKUP($B980,Q,2,FALSE)))</f>
        <v/>
      </c>
      <c r="D980" s="2" t="str">
        <f>IF(VLOOKUP($B980,Q,3,FALSE)=0,"",(VLOOKUP($B980,Q,3,FALSE)))</f>
        <v/>
      </c>
      <c r="E980" s="2" t="str">
        <f>IF(VLOOKUP($B980,Q,8,FALSE)=0,"",(VLOOKUP($B980,Q,8,FALSE)))</f>
        <v/>
      </c>
      <c r="F980" s="19" t="str">
        <f>IF(VLOOKUP($B980,Q,9,FALSE)=0,"",(VLOOKUP($B980,Q,9,FALSE)))</f>
        <v/>
      </c>
      <c r="G980" s="2" t="str">
        <f>IF(VLOOKUP($B980,Q,10,FALSE)=0,"",(VLOOKUP($B980,Q,10,FALSE)))</f>
        <v/>
      </c>
      <c r="H980" s="2" t="str">
        <f>IF(VLOOKUP($B980,Q,14,FALSE)=0,"",(VLOOKUP($B980,Q,14,FALSE)))</f>
        <v/>
      </c>
      <c r="I980" s="2" t="str">
        <f>IF(VLOOKUP($B980,Q,14,FALSE)=0,"",(VLOOKUP($B980,Q,15,FALSE)))</f>
        <v/>
      </c>
      <c r="J980" s="2" t="str">
        <f>IF(VLOOKUP($B980,Q,14,FALSE)=0,"",(VLOOKUP($B980,Q,16,FALSE)))</f>
        <v/>
      </c>
      <c r="K980" s="2" t="str">
        <f>IF(VLOOKUP($B980,Q,14,FALSE)=0,"",(VLOOKUP($B980,Q,17,FALSE)))</f>
        <v/>
      </c>
    </row>
    <row r="981" spans="2:11" x14ac:dyDescent="0.6">
      <c r="B981" s="1">
        <v>984</v>
      </c>
      <c r="C981" s="2" t="str">
        <f>IF(VLOOKUP($B981,Q,2,FALSE)=0,"",(VLOOKUP($B981,Q,2,FALSE)))</f>
        <v/>
      </c>
      <c r="D981" s="2" t="str">
        <f>IF(VLOOKUP($B981,Q,3,FALSE)=0,"",(VLOOKUP($B981,Q,3,FALSE)))</f>
        <v/>
      </c>
      <c r="E981" s="2" t="str">
        <f>IF(VLOOKUP($B981,Q,8,FALSE)=0,"",(VLOOKUP($B981,Q,8,FALSE)))</f>
        <v/>
      </c>
      <c r="F981" s="19" t="str">
        <f>IF(VLOOKUP($B981,Q,9,FALSE)=0,"",(VLOOKUP($B981,Q,9,FALSE)))</f>
        <v/>
      </c>
      <c r="G981" s="2" t="str">
        <f>IF(VLOOKUP($B981,Q,10,FALSE)=0,"",(VLOOKUP($B981,Q,10,FALSE)))</f>
        <v/>
      </c>
      <c r="H981" s="2" t="str">
        <f>IF(VLOOKUP($B981,Q,14,FALSE)=0,"",(VLOOKUP($B981,Q,14,FALSE)))</f>
        <v/>
      </c>
      <c r="I981" s="2" t="str">
        <f>IF(VLOOKUP($B981,Q,14,FALSE)=0,"",(VLOOKUP($B981,Q,15,FALSE)))</f>
        <v/>
      </c>
      <c r="J981" s="2" t="str">
        <f>IF(VLOOKUP($B981,Q,14,FALSE)=0,"",(VLOOKUP($B981,Q,16,FALSE)))</f>
        <v/>
      </c>
      <c r="K981" s="2" t="str">
        <f>IF(VLOOKUP($B981,Q,14,FALSE)=0,"",(VLOOKUP($B981,Q,17,FALSE)))</f>
        <v/>
      </c>
    </row>
    <row r="982" spans="2:11" x14ac:dyDescent="0.6">
      <c r="B982" s="1">
        <v>985</v>
      </c>
      <c r="C982" s="2" t="str">
        <f>IF(VLOOKUP($B982,Q,2,FALSE)=0,"",(VLOOKUP($B982,Q,2,FALSE)))</f>
        <v/>
      </c>
      <c r="D982" s="2" t="str">
        <f>IF(VLOOKUP($B982,Q,3,FALSE)=0,"",(VLOOKUP($B982,Q,3,FALSE)))</f>
        <v/>
      </c>
      <c r="E982" s="2" t="str">
        <f>IF(VLOOKUP($B982,Q,8,FALSE)=0,"",(VLOOKUP($B982,Q,8,FALSE)))</f>
        <v/>
      </c>
      <c r="F982" s="19" t="str">
        <f>IF(VLOOKUP($B982,Q,9,FALSE)=0,"",(VLOOKUP($B982,Q,9,FALSE)))</f>
        <v/>
      </c>
      <c r="G982" s="2" t="str">
        <f>IF(VLOOKUP($B982,Q,10,FALSE)=0,"",(VLOOKUP($B982,Q,10,FALSE)))</f>
        <v/>
      </c>
      <c r="H982" s="2" t="str">
        <f>IF(VLOOKUP($B982,Q,14,FALSE)=0,"",(VLOOKUP($B982,Q,14,FALSE)))</f>
        <v/>
      </c>
      <c r="I982" s="2" t="str">
        <f>IF(VLOOKUP($B982,Q,14,FALSE)=0,"",(VLOOKUP($B982,Q,15,FALSE)))</f>
        <v/>
      </c>
      <c r="J982" s="2" t="str">
        <f>IF(VLOOKUP($B982,Q,14,FALSE)=0,"",(VLOOKUP($B982,Q,16,FALSE)))</f>
        <v/>
      </c>
      <c r="K982" s="2" t="str">
        <f>IF(VLOOKUP($B982,Q,14,FALSE)=0,"",(VLOOKUP($B982,Q,17,FALSE)))</f>
        <v/>
      </c>
    </row>
    <row r="983" spans="2:11" x14ac:dyDescent="0.6">
      <c r="B983" s="1">
        <v>986</v>
      </c>
      <c r="C983" s="2" t="str">
        <f>IF(VLOOKUP($B983,Q,2,FALSE)=0,"",(VLOOKUP($B983,Q,2,FALSE)))</f>
        <v/>
      </c>
      <c r="D983" s="2" t="str">
        <f>IF(VLOOKUP($B983,Q,3,FALSE)=0,"",(VLOOKUP($B983,Q,3,FALSE)))</f>
        <v/>
      </c>
      <c r="E983" s="2" t="str">
        <f>IF(VLOOKUP($B983,Q,8,FALSE)=0,"",(VLOOKUP($B983,Q,8,FALSE)))</f>
        <v/>
      </c>
      <c r="F983" s="19" t="str">
        <f>IF(VLOOKUP($B983,Q,9,FALSE)=0,"",(VLOOKUP($B983,Q,9,FALSE)))</f>
        <v/>
      </c>
      <c r="G983" s="2" t="str">
        <f>IF(VLOOKUP($B983,Q,10,FALSE)=0,"",(VLOOKUP($B983,Q,10,FALSE)))</f>
        <v/>
      </c>
      <c r="H983" s="2" t="str">
        <f>IF(VLOOKUP($B983,Q,14,FALSE)=0,"",(VLOOKUP($B983,Q,14,FALSE)))</f>
        <v/>
      </c>
      <c r="I983" s="2" t="str">
        <f>IF(VLOOKUP($B983,Q,14,FALSE)=0,"",(VLOOKUP($B983,Q,15,FALSE)))</f>
        <v/>
      </c>
      <c r="J983" s="2" t="str">
        <f>IF(VLOOKUP($B983,Q,14,FALSE)=0,"",(VLOOKUP($B983,Q,16,FALSE)))</f>
        <v/>
      </c>
      <c r="K983" s="2" t="str">
        <f>IF(VLOOKUP($B983,Q,14,FALSE)=0,"",(VLOOKUP($B983,Q,17,FALSE)))</f>
        <v/>
      </c>
    </row>
    <row r="984" spans="2:11" x14ac:dyDescent="0.6">
      <c r="B984" s="1">
        <v>987</v>
      </c>
      <c r="C984" s="2" t="str">
        <f>IF(VLOOKUP($B984,Q,2,FALSE)=0,"",(VLOOKUP($B984,Q,2,FALSE)))</f>
        <v/>
      </c>
      <c r="D984" s="2" t="str">
        <f>IF(VLOOKUP($B984,Q,3,FALSE)=0,"",(VLOOKUP($B984,Q,3,FALSE)))</f>
        <v/>
      </c>
      <c r="E984" s="2" t="str">
        <f>IF(VLOOKUP($B984,Q,8,FALSE)=0,"",(VLOOKUP($B984,Q,8,FALSE)))</f>
        <v/>
      </c>
      <c r="F984" s="19" t="str">
        <f>IF(VLOOKUP($B984,Q,9,FALSE)=0,"",(VLOOKUP($B984,Q,9,FALSE)))</f>
        <v/>
      </c>
      <c r="G984" s="2" t="str">
        <f>IF(VLOOKUP($B984,Q,10,FALSE)=0,"",(VLOOKUP($B984,Q,10,FALSE)))</f>
        <v/>
      </c>
      <c r="H984" s="2" t="str">
        <f>IF(VLOOKUP($B984,Q,14,FALSE)=0,"",(VLOOKUP($B984,Q,14,FALSE)))</f>
        <v/>
      </c>
      <c r="I984" s="2" t="str">
        <f>IF(VLOOKUP($B984,Q,14,FALSE)=0,"",(VLOOKUP($B984,Q,15,FALSE)))</f>
        <v/>
      </c>
      <c r="J984" s="2" t="str">
        <f>IF(VLOOKUP($B984,Q,14,FALSE)=0,"",(VLOOKUP($B984,Q,16,FALSE)))</f>
        <v/>
      </c>
      <c r="K984" s="2" t="str">
        <f>IF(VLOOKUP($B984,Q,14,FALSE)=0,"",(VLOOKUP($B984,Q,17,FALSE)))</f>
        <v/>
      </c>
    </row>
    <row r="985" spans="2:11" x14ac:dyDescent="0.6">
      <c r="B985" s="1">
        <v>988</v>
      </c>
      <c r="C985" s="2" t="str">
        <f>IF(VLOOKUP($B985,Q,2,FALSE)=0,"",(VLOOKUP($B985,Q,2,FALSE)))</f>
        <v/>
      </c>
      <c r="D985" s="2" t="str">
        <f>IF(VLOOKUP($B985,Q,3,FALSE)=0,"",(VLOOKUP($B985,Q,3,FALSE)))</f>
        <v/>
      </c>
      <c r="E985" s="2" t="str">
        <f>IF(VLOOKUP($B985,Q,8,FALSE)=0,"",(VLOOKUP($B985,Q,8,FALSE)))</f>
        <v/>
      </c>
      <c r="F985" s="19" t="str">
        <f>IF(VLOOKUP($B985,Q,9,FALSE)=0,"",(VLOOKUP($B985,Q,9,FALSE)))</f>
        <v/>
      </c>
      <c r="G985" s="2" t="str">
        <f>IF(VLOOKUP($B985,Q,10,FALSE)=0,"",(VLOOKUP($B985,Q,10,FALSE)))</f>
        <v/>
      </c>
      <c r="H985" s="2" t="str">
        <f>IF(VLOOKUP($B985,Q,14,FALSE)=0,"",(VLOOKUP($B985,Q,14,FALSE)))</f>
        <v/>
      </c>
      <c r="I985" s="2" t="str">
        <f>IF(VLOOKUP($B985,Q,14,FALSE)=0,"",(VLOOKUP($B985,Q,15,FALSE)))</f>
        <v/>
      </c>
      <c r="J985" s="2" t="str">
        <f>IF(VLOOKUP($B985,Q,14,FALSE)=0,"",(VLOOKUP($B985,Q,16,FALSE)))</f>
        <v/>
      </c>
      <c r="K985" s="2" t="str">
        <f>IF(VLOOKUP($B985,Q,14,FALSE)=0,"",(VLOOKUP($B985,Q,17,FALSE)))</f>
        <v/>
      </c>
    </row>
    <row r="986" spans="2:11" x14ac:dyDescent="0.6">
      <c r="B986" s="1">
        <v>989</v>
      </c>
      <c r="C986" s="2" t="str">
        <f>IF(VLOOKUP($B986,Q,2,FALSE)=0,"",(VLOOKUP($B986,Q,2,FALSE)))</f>
        <v/>
      </c>
      <c r="D986" s="2" t="str">
        <f>IF(VLOOKUP($B986,Q,3,FALSE)=0,"",(VLOOKUP($B986,Q,3,FALSE)))</f>
        <v/>
      </c>
      <c r="E986" s="2" t="str">
        <f>IF(VLOOKUP($B986,Q,8,FALSE)=0,"",(VLOOKUP($B986,Q,8,FALSE)))</f>
        <v/>
      </c>
      <c r="F986" s="19" t="str">
        <f>IF(VLOOKUP($B986,Q,9,FALSE)=0,"",(VLOOKUP($B986,Q,9,FALSE)))</f>
        <v/>
      </c>
      <c r="G986" s="2" t="str">
        <f>IF(VLOOKUP($B986,Q,10,FALSE)=0,"",(VLOOKUP($B986,Q,10,FALSE)))</f>
        <v/>
      </c>
      <c r="H986" s="2" t="str">
        <f>IF(VLOOKUP($B986,Q,14,FALSE)=0,"",(VLOOKUP($B986,Q,14,FALSE)))</f>
        <v/>
      </c>
      <c r="I986" s="2" t="str">
        <f>IF(VLOOKUP($B986,Q,14,FALSE)=0,"",(VLOOKUP($B986,Q,15,FALSE)))</f>
        <v/>
      </c>
      <c r="J986" s="2" t="str">
        <f>IF(VLOOKUP($B986,Q,14,FALSE)=0,"",(VLOOKUP($B986,Q,16,FALSE)))</f>
        <v/>
      </c>
      <c r="K986" s="2" t="str">
        <f>IF(VLOOKUP($B986,Q,14,FALSE)=0,"",(VLOOKUP($B986,Q,17,FALSE)))</f>
        <v/>
      </c>
    </row>
    <row r="987" spans="2:11" x14ac:dyDescent="0.6">
      <c r="B987" s="1">
        <v>990</v>
      </c>
      <c r="C987" s="2" t="str">
        <f>IF(VLOOKUP($B987,Q,2,FALSE)=0,"",(VLOOKUP($B987,Q,2,FALSE)))</f>
        <v/>
      </c>
      <c r="D987" s="2" t="str">
        <f>IF(VLOOKUP($B987,Q,3,FALSE)=0,"",(VLOOKUP($B987,Q,3,FALSE)))</f>
        <v/>
      </c>
      <c r="E987" s="2" t="str">
        <f>IF(VLOOKUP($B987,Q,8,FALSE)=0,"",(VLOOKUP($B987,Q,8,FALSE)))</f>
        <v/>
      </c>
      <c r="F987" s="19" t="str">
        <f>IF(VLOOKUP($B987,Q,9,FALSE)=0,"",(VLOOKUP($B987,Q,9,FALSE)))</f>
        <v/>
      </c>
      <c r="G987" s="2" t="str">
        <f>IF(VLOOKUP($B987,Q,10,FALSE)=0,"",(VLOOKUP($B987,Q,10,FALSE)))</f>
        <v/>
      </c>
      <c r="H987" s="2" t="str">
        <f>IF(VLOOKUP($B987,Q,14,FALSE)=0,"",(VLOOKUP($B987,Q,14,FALSE)))</f>
        <v/>
      </c>
      <c r="I987" s="2" t="str">
        <f>IF(VLOOKUP($B987,Q,14,FALSE)=0,"",(VLOOKUP($B987,Q,15,FALSE)))</f>
        <v/>
      </c>
      <c r="J987" s="2" t="str">
        <f>IF(VLOOKUP($B987,Q,14,FALSE)=0,"",(VLOOKUP($B987,Q,16,FALSE)))</f>
        <v/>
      </c>
      <c r="K987" s="2" t="str">
        <f>IF(VLOOKUP($B987,Q,14,FALSE)=0,"",(VLOOKUP($B987,Q,17,FALSE)))</f>
        <v/>
      </c>
    </row>
    <row r="988" spans="2:11" x14ac:dyDescent="0.6">
      <c r="B988" s="1">
        <v>991</v>
      </c>
      <c r="C988" s="2" t="str">
        <f>IF(VLOOKUP($B988,Q,2,FALSE)=0,"",(VLOOKUP($B988,Q,2,FALSE)))</f>
        <v/>
      </c>
      <c r="D988" s="2" t="str">
        <f>IF(VLOOKUP($B988,Q,3,FALSE)=0,"",(VLOOKUP($B988,Q,3,FALSE)))</f>
        <v/>
      </c>
      <c r="E988" s="2" t="str">
        <f>IF(VLOOKUP($B988,Q,8,FALSE)=0,"",(VLOOKUP($B988,Q,8,FALSE)))</f>
        <v/>
      </c>
      <c r="F988" s="19" t="str">
        <f>IF(VLOOKUP($B988,Q,9,FALSE)=0,"",(VLOOKUP($B988,Q,9,FALSE)))</f>
        <v/>
      </c>
      <c r="G988" s="2" t="str">
        <f>IF(VLOOKUP($B988,Q,10,FALSE)=0,"",(VLOOKUP($B988,Q,10,FALSE)))</f>
        <v/>
      </c>
      <c r="H988" s="2" t="str">
        <f>IF(VLOOKUP($B988,Q,14,FALSE)=0,"",(VLOOKUP($B988,Q,14,FALSE)))</f>
        <v/>
      </c>
      <c r="I988" s="2" t="str">
        <f>IF(VLOOKUP($B988,Q,14,FALSE)=0,"",(VLOOKUP($B988,Q,15,FALSE)))</f>
        <v/>
      </c>
      <c r="J988" s="2" t="str">
        <f>IF(VLOOKUP($B988,Q,14,FALSE)=0,"",(VLOOKUP($B988,Q,16,FALSE)))</f>
        <v/>
      </c>
      <c r="K988" s="2" t="str">
        <f>IF(VLOOKUP($B988,Q,14,FALSE)=0,"",(VLOOKUP($B988,Q,17,FALSE)))</f>
        <v/>
      </c>
    </row>
    <row r="989" spans="2:11" x14ac:dyDescent="0.6">
      <c r="B989" s="1">
        <v>992</v>
      </c>
      <c r="C989" s="2" t="str">
        <f>IF(VLOOKUP($B989,Q,2,FALSE)=0,"",(VLOOKUP($B989,Q,2,FALSE)))</f>
        <v/>
      </c>
      <c r="D989" s="2" t="str">
        <f>IF(VLOOKUP($B989,Q,3,FALSE)=0,"",(VLOOKUP($B989,Q,3,FALSE)))</f>
        <v/>
      </c>
      <c r="E989" s="2" t="str">
        <f>IF(VLOOKUP($B989,Q,8,FALSE)=0,"",(VLOOKUP($B989,Q,8,FALSE)))</f>
        <v/>
      </c>
      <c r="F989" s="19" t="str">
        <f>IF(VLOOKUP($B989,Q,9,FALSE)=0,"",(VLOOKUP($B989,Q,9,FALSE)))</f>
        <v/>
      </c>
      <c r="G989" s="2" t="str">
        <f>IF(VLOOKUP($B989,Q,10,FALSE)=0,"",(VLOOKUP($B989,Q,10,FALSE)))</f>
        <v/>
      </c>
      <c r="H989" s="2" t="str">
        <f>IF(VLOOKUP($B989,Q,14,FALSE)=0,"",(VLOOKUP($B989,Q,14,FALSE)))</f>
        <v/>
      </c>
      <c r="I989" s="2" t="str">
        <f>IF(VLOOKUP($B989,Q,14,FALSE)=0,"",(VLOOKUP($B989,Q,15,FALSE)))</f>
        <v/>
      </c>
      <c r="J989" s="2" t="str">
        <f>IF(VLOOKUP($B989,Q,14,FALSE)=0,"",(VLOOKUP($B989,Q,16,FALSE)))</f>
        <v/>
      </c>
      <c r="K989" s="2" t="str">
        <f>IF(VLOOKUP($B989,Q,14,FALSE)=0,"",(VLOOKUP($B989,Q,17,FALSE)))</f>
        <v/>
      </c>
    </row>
    <row r="990" spans="2:11" x14ac:dyDescent="0.6">
      <c r="B990" s="1">
        <v>993</v>
      </c>
      <c r="C990" s="2" t="str">
        <f>IF(VLOOKUP($B990,Q,2,FALSE)=0,"",(VLOOKUP($B990,Q,2,FALSE)))</f>
        <v/>
      </c>
      <c r="D990" s="2" t="str">
        <f>IF(VLOOKUP($B990,Q,3,FALSE)=0,"",(VLOOKUP($B990,Q,3,FALSE)))</f>
        <v/>
      </c>
      <c r="E990" s="2" t="str">
        <f>IF(VLOOKUP($B990,Q,8,FALSE)=0,"",(VLOOKUP($B990,Q,8,FALSE)))</f>
        <v/>
      </c>
      <c r="F990" s="19" t="str">
        <f>IF(VLOOKUP($B990,Q,9,FALSE)=0,"",(VLOOKUP($B990,Q,9,FALSE)))</f>
        <v/>
      </c>
      <c r="G990" s="2" t="str">
        <f>IF(VLOOKUP($B990,Q,10,FALSE)=0,"",(VLOOKUP($B990,Q,10,FALSE)))</f>
        <v/>
      </c>
      <c r="H990" s="2" t="str">
        <f>IF(VLOOKUP($B990,Q,14,FALSE)=0,"",(VLOOKUP($B990,Q,14,FALSE)))</f>
        <v/>
      </c>
      <c r="I990" s="2" t="str">
        <f>IF(VLOOKUP($B990,Q,14,FALSE)=0,"",(VLOOKUP($B990,Q,15,FALSE)))</f>
        <v/>
      </c>
      <c r="J990" s="2" t="str">
        <f>IF(VLOOKUP($B990,Q,14,FALSE)=0,"",(VLOOKUP($B990,Q,16,FALSE)))</f>
        <v/>
      </c>
      <c r="K990" s="2" t="str">
        <f>IF(VLOOKUP($B990,Q,14,FALSE)=0,"",(VLOOKUP($B990,Q,17,FALSE)))</f>
        <v/>
      </c>
    </row>
    <row r="991" spans="2:11" x14ac:dyDescent="0.6">
      <c r="B991" s="1">
        <v>994</v>
      </c>
      <c r="C991" s="2" t="str">
        <f>IF(VLOOKUP($B991,Q,2,FALSE)=0,"",(VLOOKUP($B991,Q,2,FALSE)))</f>
        <v/>
      </c>
      <c r="D991" s="2" t="str">
        <f>IF(VLOOKUP($B991,Q,3,FALSE)=0,"",(VLOOKUP($B991,Q,3,FALSE)))</f>
        <v/>
      </c>
      <c r="E991" s="2" t="str">
        <f>IF(VLOOKUP($B991,Q,8,FALSE)=0,"",(VLOOKUP($B991,Q,8,FALSE)))</f>
        <v/>
      </c>
      <c r="F991" s="19" t="str">
        <f>IF(VLOOKUP($B991,Q,9,FALSE)=0,"",(VLOOKUP($B991,Q,9,FALSE)))</f>
        <v/>
      </c>
      <c r="G991" s="2" t="str">
        <f>IF(VLOOKUP($B991,Q,10,FALSE)=0,"",(VLOOKUP($B991,Q,10,FALSE)))</f>
        <v/>
      </c>
      <c r="H991" s="2" t="str">
        <f>IF(VLOOKUP($B991,Q,14,FALSE)=0,"",(VLOOKUP($B991,Q,14,FALSE)))</f>
        <v/>
      </c>
      <c r="I991" s="2" t="str">
        <f>IF(VLOOKUP($B991,Q,14,FALSE)=0,"",(VLOOKUP($B991,Q,15,FALSE)))</f>
        <v/>
      </c>
      <c r="J991" s="2" t="str">
        <f>IF(VLOOKUP($B991,Q,14,FALSE)=0,"",(VLOOKUP($B991,Q,16,FALSE)))</f>
        <v/>
      </c>
      <c r="K991" s="2" t="str">
        <f>IF(VLOOKUP($B991,Q,14,FALSE)=0,"",(VLOOKUP($B991,Q,17,FALSE)))</f>
        <v/>
      </c>
    </row>
    <row r="992" spans="2:11" x14ac:dyDescent="0.6">
      <c r="B992" s="1">
        <v>995</v>
      </c>
      <c r="C992" s="2" t="str">
        <f>IF(VLOOKUP($B992,Q,2,FALSE)=0,"",(VLOOKUP($B992,Q,2,FALSE)))</f>
        <v/>
      </c>
      <c r="D992" s="2" t="str">
        <f>IF(VLOOKUP($B992,Q,3,FALSE)=0,"",(VLOOKUP($B992,Q,3,FALSE)))</f>
        <v/>
      </c>
      <c r="E992" s="2" t="str">
        <f>IF(VLOOKUP($B992,Q,8,FALSE)=0,"",(VLOOKUP($B992,Q,8,FALSE)))</f>
        <v/>
      </c>
      <c r="F992" s="19" t="str">
        <f>IF(VLOOKUP($B992,Q,9,FALSE)=0,"",(VLOOKUP($B992,Q,9,FALSE)))</f>
        <v/>
      </c>
      <c r="G992" s="2" t="str">
        <f>IF(VLOOKUP($B992,Q,10,FALSE)=0,"",(VLOOKUP($B992,Q,10,FALSE)))</f>
        <v/>
      </c>
      <c r="H992" s="2" t="str">
        <f>IF(VLOOKUP($B992,Q,14,FALSE)=0,"",(VLOOKUP($B992,Q,14,FALSE)))</f>
        <v/>
      </c>
      <c r="I992" s="2" t="str">
        <f>IF(VLOOKUP($B992,Q,14,FALSE)=0,"",(VLOOKUP($B992,Q,15,FALSE)))</f>
        <v/>
      </c>
      <c r="J992" s="2" t="str">
        <f>IF(VLOOKUP($B992,Q,14,FALSE)=0,"",(VLOOKUP($B992,Q,16,FALSE)))</f>
        <v/>
      </c>
      <c r="K992" s="2" t="str">
        <f>IF(VLOOKUP($B992,Q,14,FALSE)=0,"",(VLOOKUP($B992,Q,17,FALSE)))</f>
        <v/>
      </c>
    </row>
    <row r="993" spans="2:11" x14ac:dyDescent="0.6">
      <c r="B993" s="1">
        <v>996</v>
      </c>
      <c r="C993" s="2" t="str">
        <f>IF(VLOOKUP($B993,Q,2,FALSE)=0,"",(VLOOKUP($B993,Q,2,FALSE)))</f>
        <v/>
      </c>
      <c r="D993" s="2" t="str">
        <f>IF(VLOOKUP($B993,Q,3,FALSE)=0,"",(VLOOKUP($B993,Q,3,FALSE)))</f>
        <v/>
      </c>
      <c r="E993" s="2" t="str">
        <f>IF(VLOOKUP($B993,Q,8,FALSE)=0,"",(VLOOKUP($B993,Q,8,FALSE)))</f>
        <v/>
      </c>
      <c r="F993" s="19" t="str">
        <f>IF(VLOOKUP($B993,Q,9,FALSE)=0,"",(VLOOKUP($B993,Q,9,FALSE)))</f>
        <v/>
      </c>
      <c r="G993" s="2" t="str">
        <f>IF(VLOOKUP($B993,Q,10,FALSE)=0,"",(VLOOKUP($B993,Q,10,FALSE)))</f>
        <v/>
      </c>
      <c r="H993" s="2" t="str">
        <f>IF(VLOOKUP($B993,Q,14,FALSE)=0,"",(VLOOKUP($B993,Q,14,FALSE)))</f>
        <v/>
      </c>
      <c r="I993" s="2" t="str">
        <f>IF(VLOOKUP($B993,Q,14,FALSE)=0,"",(VLOOKUP($B993,Q,15,FALSE)))</f>
        <v/>
      </c>
      <c r="J993" s="2" t="str">
        <f>IF(VLOOKUP($B993,Q,14,FALSE)=0,"",(VLOOKUP($B993,Q,16,FALSE)))</f>
        <v/>
      </c>
      <c r="K993" s="2" t="str">
        <f>IF(VLOOKUP($B993,Q,14,FALSE)=0,"",(VLOOKUP($B993,Q,17,FALSE)))</f>
        <v/>
      </c>
    </row>
    <row r="994" spans="2:11" x14ac:dyDescent="0.6">
      <c r="B994" s="1">
        <v>997</v>
      </c>
      <c r="C994" s="2" t="str">
        <f>IF(VLOOKUP($B994,Q,2,FALSE)=0,"",(VLOOKUP($B994,Q,2,FALSE)))</f>
        <v/>
      </c>
      <c r="D994" s="2" t="str">
        <f>IF(VLOOKUP($B994,Q,3,FALSE)=0,"",(VLOOKUP($B994,Q,3,FALSE)))</f>
        <v/>
      </c>
      <c r="E994" s="2" t="str">
        <f>IF(VLOOKUP($B994,Q,8,FALSE)=0,"",(VLOOKUP($B994,Q,8,FALSE)))</f>
        <v/>
      </c>
      <c r="F994" s="19" t="str">
        <f>IF(VLOOKUP($B994,Q,9,FALSE)=0,"",(VLOOKUP($B994,Q,9,FALSE)))</f>
        <v/>
      </c>
      <c r="G994" s="2" t="str">
        <f>IF(VLOOKUP($B994,Q,10,FALSE)=0,"",(VLOOKUP($B994,Q,10,FALSE)))</f>
        <v/>
      </c>
      <c r="H994" s="2" t="str">
        <f>IF(VLOOKUP($B994,Q,14,FALSE)=0,"",(VLOOKUP($B994,Q,14,FALSE)))</f>
        <v/>
      </c>
      <c r="I994" s="2" t="str">
        <f>IF(VLOOKUP($B994,Q,14,FALSE)=0,"",(VLOOKUP($B994,Q,15,FALSE)))</f>
        <v/>
      </c>
      <c r="J994" s="2" t="str">
        <f>IF(VLOOKUP($B994,Q,14,FALSE)=0,"",(VLOOKUP($B994,Q,16,FALSE)))</f>
        <v/>
      </c>
      <c r="K994" s="2" t="str">
        <f>IF(VLOOKUP($B994,Q,14,FALSE)=0,"",(VLOOKUP($B994,Q,17,FALSE)))</f>
        <v/>
      </c>
    </row>
    <row r="995" spans="2:11" x14ac:dyDescent="0.6">
      <c r="B995" s="1">
        <v>998</v>
      </c>
      <c r="C995" s="2" t="str">
        <f>IF(VLOOKUP($B995,Q,2,FALSE)=0,"",(VLOOKUP($B995,Q,2,FALSE)))</f>
        <v/>
      </c>
      <c r="D995" s="2" t="str">
        <f>IF(VLOOKUP($B995,Q,3,FALSE)=0,"",(VLOOKUP($B995,Q,3,FALSE)))</f>
        <v/>
      </c>
      <c r="E995" s="2" t="str">
        <f>IF(VLOOKUP($B995,Q,8,FALSE)=0,"",(VLOOKUP($B995,Q,8,FALSE)))</f>
        <v/>
      </c>
      <c r="F995" s="19" t="str">
        <f>IF(VLOOKUP($B995,Q,9,FALSE)=0,"",(VLOOKUP($B995,Q,9,FALSE)))</f>
        <v/>
      </c>
      <c r="G995" s="2" t="str">
        <f>IF(VLOOKUP($B995,Q,10,FALSE)=0,"",(VLOOKUP($B995,Q,10,FALSE)))</f>
        <v/>
      </c>
      <c r="H995" s="2" t="str">
        <f>IF(VLOOKUP($B995,Q,14,FALSE)=0,"",(VLOOKUP($B995,Q,14,FALSE)))</f>
        <v/>
      </c>
      <c r="I995" s="2" t="str">
        <f>IF(VLOOKUP($B995,Q,14,FALSE)=0,"",(VLOOKUP($B995,Q,15,FALSE)))</f>
        <v/>
      </c>
      <c r="J995" s="2" t="str">
        <f>IF(VLOOKUP($B995,Q,14,FALSE)=0,"",(VLOOKUP($B995,Q,16,FALSE)))</f>
        <v/>
      </c>
      <c r="K995" s="2" t="str">
        <f>IF(VLOOKUP($B995,Q,14,FALSE)=0,"",(VLOOKUP($B995,Q,17,FALSE)))</f>
        <v/>
      </c>
    </row>
    <row r="996" spans="2:11" x14ac:dyDescent="0.6">
      <c r="B996" s="1">
        <v>999</v>
      </c>
      <c r="C996" s="2" t="str">
        <f>IF(VLOOKUP($B996,Q,2,FALSE)=0,"",(VLOOKUP($B996,Q,2,FALSE)))</f>
        <v/>
      </c>
      <c r="D996" s="2" t="str">
        <f>IF(VLOOKUP($B996,Q,3,FALSE)=0,"",(VLOOKUP($B996,Q,3,FALSE)))</f>
        <v/>
      </c>
      <c r="E996" s="2" t="str">
        <f>IF(VLOOKUP($B996,Q,8,FALSE)=0,"",(VLOOKUP($B996,Q,8,FALSE)))</f>
        <v/>
      </c>
      <c r="F996" s="19" t="str">
        <f>IF(VLOOKUP($B996,Q,9,FALSE)=0,"",(VLOOKUP($B996,Q,9,FALSE)))</f>
        <v/>
      </c>
      <c r="G996" s="2" t="str">
        <f>IF(VLOOKUP($B996,Q,10,FALSE)=0,"",(VLOOKUP($B996,Q,10,FALSE)))</f>
        <v/>
      </c>
      <c r="H996" s="2" t="str">
        <f>IF(VLOOKUP($B996,Q,14,FALSE)=0,"",(VLOOKUP($B996,Q,14,FALSE)))</f>
        <v/>
      </c>
      <c r="I996" s="2" t="str">
        <f>IF(VLOOKUP($B996,Q,14,FALSE)=0,"",(VLOOKUP($B996,Q,15,FALSE)))</f>
        <v/>
      </c>
      <c r="J996" s="2" t="str">
        <f>IF(VLOOKUP($B996,Q,14,FALSE)=0,"",(VLOOKUP($B996,Q,16,FALSE)))</f>
        <v/>
      </c>
      <c r="K996" s="2" t="str">
        <f>IF(VLOOKUP($B996,Q,14,FALSE)=0,"",(VLOOKUP($B996,Q,17,FALSE)))</f>
        <v/>
      </c>
    </row>
    <row r="997" spans="2:11" x14ac:dyDescent="0.6">
      <c r="B997" s="1">
        <v>1000</v>
      </c>
      <c r="C997" s="2" t="str">
        <f>IF(VLOOKUP($B997,Q,2,FALSE)=0,"",(VLOOKUP($B997,Q,2,FALSE)))</f>
        <v/>
      </c>
      <c r="D997" s="2" t="str">
        <f>IF(VLOOKUP($B997,Q,3,FALSE)=0,"",(VLOOKUP($B997,Q,3,FALSE)))</f>
        <v/>
      </c>
      <c r="E997" s="2" t="str">
        <f>IF(VLOOKUP($B997,Q,8,FALSE)=0,"",(VLOOKUP($B997,Q,8,FALSE)))</f>
        <v/>
      </c>
      <c r="F997" s="19" t="str">
        <f>IF(VLOOKUP($B997,Q,9,FALSE)=0,"",(VLOOKUP($B997,Q,9,FALSE)))</f>
        <v/>
      </c>
      <c r="G997" s="2" t="str">
        <f>IF(VLOOKUP($B997,Q,10,FALSE)=0,"",(VLOOKUP($B997,Q,10,FALSE)))</f>
        <v/>
      </c>
      <c r="H997" s="2" t="str">
        <f>IF(VLOOKUP($B997,Q,14,FALSE)=0,"",(VLOOKUP($B997,Q,14,FALSE)))</f>
        <v/>
      </c>
      <c r="I997" s="2" t="str">
        <f>IF(VLOOKUP($B997,Q,14,FALSE)=0,"",(VLOOKUP($B997,Q,15,FALSE)))</f>
        <v/>
      </c>
      <c r="J997" s="2" t="str">
        <f>IF(VLOOKUP($B997,Q,14,FALSE)=0,"",(VLOOKUP($B997,Q,16,FALSE)))</f>
        <v/>
      </c>
      <c r="K997" s="2" t="str">
        <f>IF(VLOOKUP($B997,Q,14,FALSE)=0,"",(VLOOKUP($B997,Q,17,FALSE)))</f>
        <v/>
      </c>
    </row>
    <row r="998" spans="2:11" x14ac:dyDescent="0.6">
      <c r="B998" s="1">
        <v>1001</v>
      </c>
      <c r="C998" s="2" t="str">
        <f>IF(VLOOKUP($B998,Q,2,FALSE)=0,"",(VLOOKUP($B998,Q,2,FALSE)))</f>
        <v/>
      </c>
      <c r="D998" s="2" t="str">
        <f>IF(VLOOKUP($B998,Q,3,FALSE)=0,"",(VLOOKUP($B998,Q,3,FALSE)))</f>
        <v/>
      </c>
      <c r="E998" s="2" t="str">
        <f>IF(VLOOKUP($B998,Q,8,FALSE)=0,"",(VLOOKUP($B998,Q,8,FALSE)))</f>
        <v/>
      </c>
      <c r="F998" s="19" t="str">
        <f>IF(VLOOKUP($B998,Q,9,FALSE)=0,"",(VLOOKUP($B998,Q,9,FALSE)))</f>
        <v/>
      </c>
      <c r="G998" s="2" t="str">
        <f>IF(VLOOKUP($B998,Q,10,FALSE)=0,"",(VLOOKUP($B998,Q,10,FALSE)))</f>
        <v/>
      </c>
      <c r="H998" s="2" t="str">
        <f>IF(VLOOKUP($B998,Q,14,FALSE)=0,"",(VLOOKUP($B998,Q,14,FALSE)))</f>
        <v/>
      </c>
      <c r="I998" s="2" t="str">
        <f>IF(VLOOKUP($B998,Q,14,FALSE)=0,"",(VLOOKUP($B998,Q,15,FALSE)))</f>
        <v/>
      </c>
      <c r="J998" s="2" t="str">
        <f>IF(VLOOKUP($B998,Q,14,FALSE)=0,"",(VLOOKUP($B998,Q,16,FALSE)))</f>
        <v/>
      </c>
      <c r="K998" s="2" t="str">
        <f>IF(VLOOKUP($B998,Q,14,FALSE)=0,"",(VLOOKUP($B998,Q,17,FALSE)))</f>
        <v/>
      </c>
    </row>
    <row r="999" spans="2:11" x14ac:dyDescent="0.6">
      <c r="B999" s="1">
        <v>1002</v>
      </c>
      <c r="C999" s="2" t="str">
        <f>IF(VLOOKUP($B999,Q,2,FALSE)=0,"",(VLOOKUP($B999,Q,2,FALSE)))</f>
        <v/>
      </c>
      <c r="D999" s="2" t="str">
        <f>IF(VLOOKUP($B999,Q,3,FALSE)=0,"",(VLOOKUP($B999,Q,3,FALSE)))</f>
        <v/>
      </c>
      <c r="E999" s="2" t="str">
        <f>IF(VLOOKUP($B999,Q,8,FALSE)=0,"",(VLOOKUP($B999,Q,8,FALSE)))</f>
        <v/>
      </c>
      <c r="F999" s="19" t="str">
        <f>IF(VLOOKUP($B999,Q,9,FALSE)=0,"",(VLOOKUP($B999,Q,9,FALSE)))</f>
        <v/>
      </c>
      <c r="G999" s="2" t="str">
        <f>IF(VLOOKUP($B999,Q,10,FALSE)=0,"",(VLOOKUP($B999,Q,10,FALSE)))</f>
        <v/>
      </c>
      <c r="H999" s="2" t="str">
        <f>IF(VLOOKUP($B999,Q,14,FALSE)=0,"",(VLOOKUP($B999,Q,14,FALSE)))</f>
        <v/>
      </c>
      <c r="I999" s="2" t="str">
        <f>IF(VLOOKUP($B999,Q,14,FALSE)=0,"",(VLOOKUP($B999,Q,15,FALSE)))</f>
        <v/>
      </c>
      <c r="J999" s="2" t="str">
        <f>IF(VLOOKUP($B999,Q,14,FALSE)=0,"",(VLOOKUP($B999,Q,16,FALSE)))</f>
        <v/>
      </c>
      <c r="K999" s="2" t="str">
        <f>IF(VLOOKUP($B999,Q,14,FALSE)=0,"",(VLOOKUP($B999,Q,17,FALSE)))</f>
        <v/>
      </c>
    </row>
    <row r="1000" spans="2:11" x14ac:dyDescent="0.6">
      <c r="B1000" s="1">
        <v>1003</v>
      </c>
      <c r="C1000" s="2" t="str">
        <f>IF(VLOOKUP($B1000,Q,2,FALSE)=0,"",(VLOOKUP($B1000,Q,2,FALSE)))</f>
        <v/>
      </c>
      <c r="D1000" s="2" t="str">
        <f>IF(VLOOKUP($B1000,Q,3,FALSE)=0,"",(VLOOKUP($B1000,Q,3,FALSE)))</f>
        <v/>
      </c>
      <c r="E1000" s="2" t="str">
        <f>IF(VLOOKUP($B1000,Q,8,FALSE)=0,"",(VLOOKUP($B1000,Q,8,FALSE)))</f>
        <v/>
      </c>
      <c r="F1000" s="19" t="str">
        <f>IF(VLOOKUP($B1000,Q,9,FALSE)=0,"",(VLOOKUP($B1000,Q,9,FALSE)))</f>
        <v/>
      </c>
      <c r="G1000" s="2" t="str">
        <f>IF(VLOOKUP($B1000,Q,10,FALSE)=0,"",(VLOOKUP($B1000,Q,10,FALSE)))</f>
        <v/>
      </c>
      <c r="H1000" s="2" t="str">
        <f>IF(VLOOKUP($B1000,Q,14,FALSE)=0,"",(VLOOKUP($B1000,Q,14,FALSE)))</f>
        <v/>
      </c>
      <c r="I1000" s="2" t="str">
        <f>IF(VLOOKUP($B1000,Q,14,FALSE)=0,"",(VLOOKUP($B1000,Q,15,FALSE)))</f>
        <v/>
      </c>
      <c r="J1000" s="2" t="str">
        <f>IF(VLOOKUP($B1000,Q,14,FALSE)=0,"",(VLOOKUP($B1000,Q,16,FALSE)))</f>
        <v/>
      </c>
      <c r="K1000" s="2" t="str">
        <f>IF(VLOOKUP($B1000,Q,14,FALSE)=0,"",(VLOOKUP($B1000,Q,17,FALSE)))</f>
        <v/>
      </c>
    </row>
    <row r="1001" spans="2:11" x14ac:dyDescent="0.6">
      <c r="B1001" s="1">
        <v>1004</v>
      </c>
      <c r="C1001" s="2" t="str">
        <f>IF(VLOOKUP($B1001,Q,2,FALSE)=0,"",(VLOOKUP($B1001,Q,2,FALSE)))</f>
        <v/>
      </c>
      <c r="D1001" s="2" t="str">
        <f>IF(VLOOKUP($B1001,Q,3,FALSE)=0,"",(VLOOKUP($B1001,Q,3,FALSE)))</f>
        <v/>
      </c>
      <c r="E1001" s="2" t="str">
        <f>IF(VLOOKUP($B1001,Q,8,FALSE)=0,"",(VLOOKUP($B1001,Q,8,FALSE)))</f>
        <v/>
      </c>
      <c r="F1001" s="19" t="str">
        <f>IF(VLOOKUP($B1001,Q,9,FALSE)=0,"",(VLOOKUP($B1001,Q,9,FALSE)))</f>
        <v/>
      </c>
      <c r="G1001" s="2" t="str">
        <f>IF(VLOOKUP($B1001,Q,10,FALSE)=0,"",(VLOOKUP($B1001,Q,10,FALSE)))</f>
        <v/>
      </c>
      <c r="H1001" s="2" t="str">
        <f>IF(VLOOKUP($B1001,Q,14,FALSE)=0,"",(VLOOKUP($B1001,Q,14,FALSE)))</f>
        <v/>
      </c>
      <c r="I1001" s="2" t="str">
        <f>IF(VLOOKUP($B1001,Q,14,FALSE)=0,"",(VLOOKUP($B1001,Q,15,FALSE)))</f>
        <v/>
      </c>
      <c r="J1001" s="2" t="str">
        <f>IF(VLOOKUP($B1001,Q,14,FALSE)=0,"",(VLOOKUP($B1001,Q,16,FALSE)))</f>
        <v/>
      </c>
      <c r="K1001" s="2" t="str">
        <f>IF(VLOOKUP($B1001,Q,14,FALSE)=0,"",(VLOOKUP($B1001,Q,17,FALSE)))</f>
        <v/>
      </c>
    </row>
  </sheetData>
  <sheetProtection algorithmName="SHA-512" hashValue="IpiwobUCET0G1r46NP1dN7zAjqL4p7iBdAtejHUNHdALGCV4pdtABjSK3luSdfYD8rVjTz75dXB9WG9zyXN42g==" saltValue="slX+1U3RvxAGizlaBmFh3w==" spinCount="100000" sheet="1" objects="1" scenarios="1"/>
  <printOptions gridLines="1"/>
  <pageMargins left="0.25" right="0.25" top="0.75" bottom="0.75" header="0.3" footer="0.3"/>
  <pageSetup paperSize="9" orientation="landscape" blackAndWhite="1" verticalDpi="0" r:id="rId1"/>
  <headerFooter>
    <oddHeader>Page &amp;P of &amp;N</oddHead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Solution-1</vt:lpstr>
      <vt:lpstr>Print</vt:lpstr>
      <vt:lpstr>Print!Print_Area</vt:lpstr>
      <vt:lpstr>Print!Print_Titles</vt:lpstr>
      <vt:lpstr>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YPA PINDIGHEB</dc:creator>
  <cp:lastModifiedBy>YPA PINDIGHEB</cp:lastModifiedBy>
  <cp:lastPrinted>2025-01-22T08:44:40Z</cp:lastPrinted>
  <dcterms:created xsi:type="dcterms:W3CDTF">2025-01-22T07:19:58Z</dcterms:created>
  <dcterms:modified xsi:type="dcterms:W3CDTF">2025-01-22T08:45:24Z</dcterms:modified>
</cp:coreProperties>
</file>