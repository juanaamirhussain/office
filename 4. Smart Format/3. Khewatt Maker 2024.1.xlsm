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1. Aamir Data\"/>
    </mc:Choice>
  </mc:AlternateContent>
  <xr:revisionPtr revIDLastSave="0" documentId="13_ncr:1_{239A540E-188C-401A-B348-942DEB18C3C5}" xr6:coauthVersionLast="47" xr6:coauthVersionMax="47" xr10:uidLastSave="{00000000-0000-0000-0000-000000000000}"/>
  <bookViews>
    <workbookView xWindow="-120" yWindow="-120" windowWidth="20730" windowHeight="11160" activeTab="2" xr2:uid="{A58BB375-5A9C-49B9-A180-54D09EB82E46}"/>
  </bookViews>
  <sheets>
    <sheet name="N" sheetId="120" r:id="rId1"/>
    <sheet name="Print" sheetId="134" r:id="rId2"/>
    <sheet name="1" sheetId="142" r:id="rId3"/>
  </sheets>
  <definedNames>
    <definedName name="G" localSheetId="2">'1'!$C$9:$I$500</definedName>
    <definedName name="G">#REF!</definedName>
    <definedName name="KK" localSheetId="2">'1'!$Q$1:$R$1</definedName>
    <definedName name="KK">#REF!</definedName>
    <definedName name="_xlnm.Print_Area" localSheetId="1">Print!$B$1:$K$119</definedName>
    <definedName name="_xlnm.Print_Titles" localSheetId="1">Print!$3:$3</definedName>
    <definedName name="T" localSheetId="2">'1'!$O$7:$AB$1004</definedName>
    <definedName name="T">#REF!</definedName>
    <definedName name="TT" localSheetId="2">'1'!$O$1:$P$1</definedName>
    <definedName name="T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004" i="142" l="1"/>
  <c r="O1003" i="142"/>
  <c r="O1002" i="142"/>
  <c r="O1001" i="142"/>
  <c r="O1000" i="142"/>
  <c r="O999" i="142"/>
  <c r="O998" i="142"/>
  <c r="O997" i="142"/>
  <c r="O996" i="142"/>
  <c r="O995" i="142"/>
  <c r="O994" i="142"/>
  <c r="O993" i="142"/>
  <c r="O992" i="142"/>
  <c r="O991" i="142"/>
  <c r="O990" i="142"/>
  <c r="O989" i="142"/>
  <c r="O988" i="142"/>
  <c r="O987" i="142"/>
  <c r="O986" i="142"/>
  <c r="O985" i="142"/>
  <c r="O984" i="142"/>
  <c r="O983" i="142"/>
  <c r="O982" i="142"/>
  <c r="O981" i="142"/>
  <c r="O980" i="142"/>
  <c r="O979" i="142"/>
  <c r="O978" i="142"/>
  <c r="O977" i="142"/>
  <c r="O976" i="142"/>
  <c r="O975" i="142"/>
  <c r="O974" i="142"/>
  <c r="O973" i="142"/>
  <c r="O972" i="142"/>
  <c r="O971" i="142"/>
  <c r="O970" i="142"/>
  <c r="O969" i="142"/>
  <c r="O968" i="142"/>
  <c r="O967" i="142"/>
  <c r="O966" i="142"/>
  <c r="O965" i="142"/>
  <c r="O964" i="142"/>
  <c r="O963" i="142"/>
  <c r="O962" i="142"/>
  <c r="O961" i="142"/>
  <c r="O960" i="142"/>
  <c r="O959" i="142"/>
  <c r="O958" i="142"/>
  <c r="O957" i="142"/>
  <c r="O956" i="142"/>
  <c r="O955" i="142"/>
  <c r="O954" i="142"/>
  <c r="O953" i="142"/>
  <c r="O952" i="142"/>
  <c r="O951" i="142"/>
  <c r="O950" i="142"/>
  <c r="O949" i="142"/>
  <c r="O948" i="142"/>
  <c r="O947" i="142"/>
  <c r="O946" i="142"/>
  <c r="O945" i="142"/>
  <c r="O944" i="142"/>
  <c r="O943" i="142"/>
  <c r="O942" i="142"/>
  <c r="O941" i="142"/>
  <c r="O940" i="142"/>
  <c r="O939" i="142"/>
  <c r="O938" i="142"/>
  <c r="O937" i="142"/>
  <c r="O936" i="142"/>
  <c r="O935" i="142"/>
  <c r="O934" i="142"/>
  <c r="O933" i="142"/>
  <c r="O932" i="142"/>
  <c r="O931" i="142"/>
  <c r="O930" i="142"/>
  <c r="O929" i="142"/>
  <c r="O928" i="142"/>
  <c r="O927" i="142"/>
  <c r="O926" i="142"/>
  <c r="O925" i="142"/>
  <c r="O924" i="142"/>
  <c r="O923" i="142"/>
  <c r="O922" i="142"/>
  <c r="O921" i="142"/>
  <c r="O920" i="142"/>
  <c r="O919" i="142"/>
  <c r="O918" i="142"/>
  <c r="O917" i="142"/>
  <c r="O916" i="142"/>
  <c r="O915" i="142"/>
  <c r="O914" i="142"/>
  <c r="O913" i="142"/>
  <c r="O912" i="142"/>
  <c r="O911" i="142"/>
  <c r="O910" i="142"/>
  <c r="O909" i="142"/>
  <c r="O908" i="142"/>
  <c r="O907" i="142"/>
  <c r="O906" i="142"/>
  <c r="O905" i="142"/>
  <c r="O904" i="142"/>
  <c r="O903" i="142"/>
  <c r="O902" i="142"/>
  <c r="O901" i="142"/>
  <c r="O900" i="142"/>
  <c r="O899" i="142"/>
  <c r="O898" i="142"/>
  <c r="O897" i="142"/>
  <c r="O896" i="142"/>
  <c r="O895" i="142"/>
  <c r="O894" i="142"/>
  <c r="O893" i="142"/>
  <c r="O892" i="142"/>
  <c r="O891" i="142"/>
  <c r="O890" i="142"/>
  <c r="O889" i="142"/>
  <c r="O888" i="142"/>
  <c r="O887" i="142"/>
  <c r="O886" i="142"/>
  <c r="O885" i="142"/>
  <c r="O884" i="142"/>
  <c r="O883" i="142"/>
  <c r="O882" i="142"/>
  <c r="O881" i="142"/>
  <c r="O880" i="142"/>
  <c r="O879" i="142"/>
  <c r="O878" i="142"/>
  <c r="O877" i="142"/>
  <c r="O876" i="142"/>
  <c r="O875" i="142"/>
  <c r="O874" i="142"/>
  <c r="O873" i="142"/>
  <c r="O872" i="142"/>
  <c r="O871" i="142"/>
  <c r="O870" i="142"/>
  <c r="O869" i="142"/>
  <c r="O868" i="142"/>
  <c r="O867" i="142"/>
  <c r="O866" i="142"/>
  <c r="O865" i="142"/>
  <c r="O864" i="142"/>
  <c r="O863" i="142"/>
  <c r="O862" i="142"/>
  <c r="O861" i="142"/>
  <c r="O860" i="142"/>
  <c r="O859" i="142"/>
  <c r="O858" i="142"/>
  <c r="O857" i="142"/>
  <c r="O856" i="142"/>
  <c r="O855" i="142"/>
  <c r="O854" i="142"/>
  <c r="O853" i="142"/>
  <c r="O852" i="142"/>
  <c r="O851" i="142"/>
  <c r="O850" i="142"/>
  <c r="O849" i="142"/>
  <c r="O848" i="142"/>
  <c r="O847" i="142"/>
  <c r="O846" i="142"/>
  <c r="O845" i="142"/>
  <c r="O844" i="142"/>
  <c r="O843" i="142"/>
  <c r="O842" i="142"/>
  <c r="O841" i="142"/>
  <c r="O840" i="142"/>
  <c r="O839" i="142"/>
  <c r="O838" i="142"/>
  <c r="O837" i="142"/>
  <c r="O836" i="142"/>
  <c r="O835" i="142"/>
  <c r="O834" i="142"/>
  <c r="O833" i="142"/>
  <c r="O832" i="142"/>
  <c r="O831" i="142"/>
  <c r="O830" i="142"/>
  <c r="O829" i="142"/>
  <c r="O828" i="142"/>
  <c r="O827" i="142"/>
  <c r="O826" i="142"/>
  <c r="O825" i="142"/>
  <c r="O824" i="142"/>
  <c r="O823" i="142"/>
  <c r="O822" i="142"/>
  <c r="O821" i="142"/>
  <c r="O820" i="142"/>
  <c r="O819" i="142"/>
  <c r="O818" i="142"/>
  <c r="O817" i="142"/>
  <c r="O816" i="142"/>
  <c r="O815" i="142"/>
  <c r="O814" i="142"/>
  <c r="O813" i="142"/>
  <c r="O812" i="142"/>
  <c r="O811" i="142"/>
  <c r="O810" i="142"/>
  <c r="O809" i="142"/>
  <c r="O808" i="142"/>
  <c r="O807" i="142"/>
  <c r="O806" i="142"/>
  <c r="O805" i="142"/>
  <c r="O804" i="142"/>
  <c r="O803" i="142"/>
  <c r="O802" i="142"/>
  <c r="O801" i="142"/>
  <c r="O800" i="142"/>
  <c r="O799" i="142"/>
  <c r="O798" i="142"/>
  <c r="O797" i="142"/>
  <c r="O796" i="142"/>
  <c r="O795" i="142"/>
  <c r="O794" i="142"/>
  <c r="O793" i="142"/>
  <c r="O792" i="142"/>
  <c r="O791" i="142"/>
  <c r="O790" i="142"/>
  <c r="O789" i="142"/>
  <c r="O788" i="142"/>
  <c r="O787" i="142"/>
  <c r="O786" i="142"/>
  <c r="O785" i="142"/>
  <c r="O784" i="142"/>
  <c r="O783" i="142"/>
  <c r="O782" i="142"/>
  <c r="O781" i="142"/>
  <c r="O780" i="142"/>
  <c r="O779" i="142"/>
  <c r="O778" i="142"/>
  <c r="O777" i="142"/>
  <c r="O776" i="142"/>
  <c r="O775" i="142"/>
  <c r="O774" i="142"/>
  <c r="O773" i="142"/>
  <c r="O772" i="142"/>
  <c r="O771" i="142"/>
  <c r="O770" i="142"/>
  <c r="O769" i="142"/>
  <c r="O768" i="142"/>
  <c r="O767" i="142"/>
  <c r="O766" i="142"/>
  <c r="O765" i="142"/>
  <c r="O764" i="142"/>
  <c r="O763" i="142"/>
  <c r="O762" i="142"/>
  <c r="O761" i="142"/>
  <c r="O760" i="142"/>
  <c r="O759" i="142"/>
  <c r="O758" i="142"/>
  <c r="O757" i="142"/>
  <c r="O756" i="142"/>
  <c r="O755" i="142"/>
  <c r="O754" i="142"/>
  <c r="O753" i="142"/>
  <c r="O752" i="142"/>
  <c r="O751" i="142"/>
  <c r="O750" i="142"/>
  <c r="O749" i="142"/>
  <c r="O748" i="142"/>
  <c r="O747" i="142"/>
  <c r="O746" i="142"/>
  <c r="O745" i="142"/>
  <c r="O744" i="142"/>
  <c r="O743" i="142"/>
  <c r="O742" i="142"/>
  <c r="O741" i="142"/>
  <c r="O740" i="142"/>
  <c r="O739" i="142"/>
  <c r="O738" i="142"/>
  <c r="O737" i="142"/>
  <c r="O736" i="142"/>
  <c r="O735" i="142"/>
  <c r="O734" i="142"/>
  <c r="O733" i="142"/>
  <c r="O732" i="142"/>
  <c r="O731" i="142"/>
  <c r="O730" i="142"/>
  <c r="O729" i="142"/>
  <c r="O728" i="142"/>
  <c r="O727" i="142"/>
  <c r="O726" i="142"/>
  <c r="O725" i="142"/>
  <c r="O724" i="142"/>
  <c r="O723" i="142"/>
  <c r="O722" i="142"/>
  <c r="O721" i="142"/>
  <c r="O720" i="142"/>
  <c r="O719" i="142"/>
  <c r="O718" i="142"/>
  <c r="O717" i="142"/>
  <c r="O716" i="142"/>
  <c r="O715" i="142"/>
  <c r="O714" i="142"/>
  <c r="O713" i="142"/>
  <c r="O712" i="142"/>
  <c r="O711" i="142"/>
  <c r="O710" i="142"/>
  <c r="O709" i="142"/>
  <c r="O708" i="142"/>
  <c r="O707" i="142"/>
  <c r="O706" i="142"/>
  <c r="O705" i="142"/>
  <c r="O704" i="142"/>
  <c r="O703" i="142"/>
  <c r="O702" i="142"/>
  <c r="O701" i="142"/>
  <c r="O700" i="142"/>
  <c r="O699" i="142"/>
  <c r="O698" i="142"/>
  <c r="O697" i="142"/>
  <c r="O696" i="142"/>
  <c r="O695" i="142"/>
  <c r="O694" i="142"/>
  <c r="O693" i="142"/>
  <c r="O692" i="142"/>
  <c r="O691" i="142"/>
  <c r="O690" i="142"/>
  <c r="O689" i="142"/>
  <c r="O688" i="142"/>
  <c r="O687" i="142"/>
  <c r="O686" i="142"/>
  <c r="O685" i="142"/>
  <c r="O684" i="142"/>
  <c r="O683" i="142"/>
  <c r="O682" i="142"/>
  <c r="O681" i="142"/>
  <c r="O680" i="142"/>
  <c r="O679" i="142"/>
  <c r="O678" i="142"/>
  <c r="O677" i="142"/>
  <c r="O676" i="142"/>
  <c r="O675" i="142"/>
  <c r="O674" i="142"/>
  <c r="O673" i="142"/>
  <c r="O672" i="142"/>
  <c r="O671" i="142"/>
  <c r="O670" i="142"/>
  <c r="O669" i="142"/>
  <c r="O668" i="142"/>
  <c r="O667" i="142"/>
  <c r="O666" i="142"/>
  <c r="O665" i="142"/>
  <c r="O664" i="142"/>
  <c r="O663" i="142"/>
  <c r="O662" i="142"/>
  <c r="O661" i="142"/>
  <c r="O660" i="142"/>
  <c r="O659" i="142"/>
  <c r="O658" i="142"/>
  <c r="O657" i="142"/>
  <c r="O656" i="142"/>
  <c r="O655" i="142"/>
  <c r="O654" i="142"/>
  <c r="O653" i="142"/>
  <c r="O652" i="142"/>
  <c r="O651" i="142"/>
  <c r="O650" i="142"/>
  <c r="O649" i="142"/>
  <c r="O648" i="142"/>
  <c r="O647" i="142"/>
  <c r="O646" i="142"/>
  <c r="O645" i="142"/>
  <c r="O644" i="142"/>
  <c r="O643" i="142"/>
  <c r="O642" i="142"/>
  <c r="O641" i="142"/>
  <c r="O640" i="142"/>
  <c r="O639" i="142"/>
  <c r="O638" i="142"/>
  <c r="O637" i="142"/>
  <c r="O636" i="142"/>
  <c r="O635" i="142"/>
  <c r="O634" i="142"/>
  <c r="O633" i="142"/>
  <c r="O632" i="142"/>
  <c r="O631" i="142"/>
  <c r="O630" i="142"/>
  <c r="O629" i="142"/>
  <c r="O628" i="142"/>
  <c r="O627" i="142"/>
  <c r="O626" i="142"/>
  <c r="O625" i="142"/>
  <c r="O624" i="142"/>
  <c r="O623" i="142"/>
  <c r="O622" i="142"/>
  <c r="O621" i="142"/>
  <c r="O620" i="142"/>
  <c r="O619" i="142"/>
  <c r="O618" i="142"/>
  <c r="O617" i="142"/>
  <c r="O616" i="142"/>
  <c r="O615" i="142"/>
  <c r="O614" i="142"/>
  <c r="O613" i="142"/>
  <c r="O612" i="142"/>
  <c r="O611" i="142"/>
  <c r="O610" i="142"/>
  <c r="O609" i="142"/>
  <c r="O608" i="142"/>
  <c r="O607" i="142"/>
  <c r="O606" i="142"/>
  <c r="O605" i="142"/>
  <c r="O604" i="142"/>
  <c r="O603" i="142"/>
  <c r="O602" i="142"/>
  <c r="O601" i="142"/>
  <c r="O600" i="142"/>
  <c r="O599" i="142"/>
  <c r="O598" i="142"/>
  <c r="O597" i="142"/>
  <c r="O596" i="142"/>
  <c r="O595" i="142"/>
  <c r="O594" i="142"/>
  <c r="O593" i="142"/>
  <c r="O592" i="142"/>
  <c r="O591" i="142"/>
  <c r="O590" i="142"/>
  <c r="O589" i="142"/>
  <c r="O588" i="142"/>
  <c r="O587" i="142"/>
  <c r="O586" i="142"/>
  <c r="O585" i="142"/>
  <c r="O584" i="142"/>
  <c r="O583" i="142"/>
  <c r="O582" i="142"/>
  <c r="O581" i="142"/>
  <c r="O580" i="142"/>
  <c r="O579" i="142"/>
  <c r="O578" i="142"/>
  <c r="O577" i="142"/>
  <c r="O576" i="142"/>
  <c r="O575" i="142"/>
  <c r="O574" i="142"/>
  <c r="O573" i="142"/>
  <c r="O572" i="142"/>
  <c r="O571" i="142"/>
  <c r="O570" i="142"/>
  <c r="O569" i="142"/>
  <c r="O568" i="142"/>
  <c r="O567" i="142"/>
  <c r="O566" i="142"/>
  <c r="O565" i="142"/>
  <c r="O564" i="142"/>
  <c r="O563" i="142"/>
  <c r="O562" i="142"/>
  <c r="O561" i="142"/>
  <c r="O560" i="142"/>
  <c r="O559" i="142"/>
  <c r="O558" i="142"/>
  <c r="O557" i="142"/>
  <c r="O556" i="142"/>
  <c r="O555" i="142"/>
  <c r="O554" i="142"/>
  <c r="O553" i="142"/>
  <c r="O552" i="142"/>
  <c r="O551" i="142"/>
  <c r="O550" i="142"/>
  <c r="O549" i="142"/>
  <c r="O548" i="142"/>
  <c r="O547" i="142"/>
  <c r="O546" i="142"/>
  <c r="O545" i="142"/>
  <c r="O544" i="142"/>
  <c r="O543" i="142"/>
  <c r="O542" i="142"/>
  <c r="O541" i="142"/>
  <c r="O540" i="142"/>
  <c r="O539" i="142"/>
  <c r="O538" i="142"/>
  <c r="O537" i="142"/>
  <c r="O536" i="142"/>
  <c r="O535" i="142"/>
  <c r="O534" i="142"/>
  <c r="O533" i="142"/>
  <c r="O532" i="142"/>
  <c r="O531" i="142"/>
  <c r="O530" i="142"/>
  <c r="O529" i="142"/>
  <c r="O528" i="142"/>
  <c r="O527" i="142"/>
  <c r="O526" i="142"/>
  <c r="O525" i="142"/>
  <c r="O524" i="142"/>
  <c r="O523" i="142"/>
  <c r="O522" i="142"/>
  <c r="O521" i="142"/>
  <c r="O520" i="142"/>
  <c r="O519" i="142"/>
  <c r="O518" i="142"/>
  <c r="O517" i="142"/>
  <c r="O516" i="142"/>
  <c r="O515" i="142"/>
  <c r="O514" i="142"/>
  <c r="O513" i="142"/>
  <c r="O512" i="142"/>
  <c r="O511" i="142"/>
  <c r="O510" i="142"/>
  <c r="O509" i="142"/>
  <c r="O508" i="142"/>
  <c r="O507" i="142"/>
  <c r="O506" i="142"/>
  <c r="O505" i="142"/>
  <c r="O504" i="142"/>
  <c r="O503" i="142"/>
  <c r="O502" i="142"/>
  <c r="O501" i="142"/>
  <c r="O500" i="142"/>
  <c r="G500" i="142"/>
  <c r="C500" i="142"/>
  <c r="H500" i="142" s="1"/>
  <c r="O499" i="142"/>
  <c r="G499" i="142"/>
  <c r="C499" i="142"/>
  <c r="H499" i="142" s="1"/>
  <c r="I499" i="142" s="1"/>
  <c r="O498" i="142"/>
  <c r="G498" i="142"/>
  <c r="C498" i="142"/>
  <c r="H498" i="142" s="1"/>
  <c r="O497" i="142"/>
  <c r="H497" i="142"/>
  <c r="I497" i="142" s="1"/>
  <c r="G497" i="142"/>
  <c r="C497" i="142"/>
  <c r="O496" i="142"/>
  <c r="G496" i="142"/>
  <c r="C496" i="142"/>
  <c r="H496" i="142" s="1"/>
  <c r="O495" i="142"/>
  <c r="H495" i="142"/>
  <c r="I495" i="142" s="1"/>
  <c r="G495" i="142"/>
  <c r="C495" i="142"/>
  <c r="O494" i="142"/>
  <c r="G494" i="142"/>
  <c r="C494" i="142"/>
  <c r="H494" i="142" s="1"/>
  <c r="O493" i="142"/>
  <c r="H493" i="142"/>
  <c r="I493" i="142" s="1"/>
  <c r="G493" i="142"/>
  <c r="C493" i="142"/>
  <c r="O492" i="142"/>
  <c r="G492" i="142"/>
  <c r="C492" i="142"/>
  <c r="H492" i="142" s="1"/>
  <c r="O491" i="142"/>
  <c r="G491" i="142"/>
  <c r="C491" i="142"/>
  <c r="H491" i="142" s="1"/>
  <c r="O490" i="142"/>
  <c r="G490" i="142"/>
  <c r="C490" i="142"/>
  <c r="H490" i="142" s="1"/>
  <c r="O489" i="142"/>
  <c r="G489" i="142"/>
  <c r="C489" i="142"/>
  <c r="H489" i="142" s="1"/>
  <c r="I489" i="142" s="1"/>
  <c r="O488" i="142"/>
  <c r="G488" i="142"/>
  <c r="C488" i="142"/>
  <c r="H488" i="142" s="1"/>
  <c r="O487" i="142"/>
  <c r="G487" i="142"/>
  <c r="C487" i="142"/>
  <c r="H487" i="142" s="1"/>
  <c r="I487" i="142" s="1"/>
  <c r="O486" i="142"/>
  <c r="G486" i="142"/>
  <c r="C486" i="142"/>
  <c r="H486" i="142" s="1"/>
  <c r="I486" i="142" s="1"/>
  <c r="O485" i="142"/>
  <c r="G485" i="142"/>
  <c r="C485" i="142"/>
  <c r="H485" i="142" s="1"/>
  <c r="I485" i="142" s="1"/>
  <c r="O484" i="142"/>
  <c r="G484" i="142"/>
  <c r="C484" i="142"/>
  <c r="H484" i="142" s="1"/>
  <c r="I484" i="142" s="1"/>
  <c r="O483" i="142"/>
  <c r="G483" i="142"/>
  <c r="C483" i="142"/>
  <c r="H483" i="142" s="1"/>
  <c r="I483" i="142" s="1"/>
  <c r="O482" i="142"/>
  <c r="G482" i="142"/>
  <c r="C482" i="142"/>
  <c r="H482" i="142" s="1"/>
  <c r="O481" i="142"/>
  <c r="H481" i="142"/>
  <c r="I481" i="142" s="1"/>
  <c r="G481" i="142"/>
  <c r="C481" i="142"/>
  <c r="O480" i="142"/>
  <c r="G480" i="142"/>
  <c r="C480" i="142"/>
  <c r="H480" i="142" s="1"/>
  <c r="O479" i="142"/>
  <c r="H479" i="142"/>
  <c r="I479" i="142" s="1"/>
  <c r="G479" i="142"/>
  <c r="C479" i="142"/>
  <c r="O478" i="142"/>
  <c r="G478" i="142"/>
  <c r="C478" i="142"/>
  <c r="H478" i="142" s="1"/>
  <c r="O477" i="142"/>
  <c r="H477" i="142"/>
  <c r="I477" i="142" s="1"/>
  <c r="G477" i="142"/>
  <c r="C477" i="142"/>
  <c r="O476" i="142"/>
  <c r="G476" i="142"/>
  <c r="C476" i="142"/>
  <c r="H476" i="142" s="1"/>
  <c r="O475" i="142"/>
  <c r="G475" i="142"/>
  <c r="C475" i="142"/>
  <c r="H475" i="142" s="1"/>
  <c r="I475" i="142" s="1"/>
  <c r="O474" i="142"/>
  <c r="G474" i="142"/>
  <c r="C474" i="142"/>
  <c r="H474" i="142" s="1"/>
  <c r="O473" i="142"/>
  <c r="G473" i="142"/>
  <c r="C473" i="142"/>
  <c r="H473" i="142" s="1"/>
  <c r="I473" i="142" s="1"/>
  <c r="O472" i="142"/>
  <c r="G472" i="142"/>
  <c r="C472" i="142"/>
  <c r="H472" i="142" s="1"/>
  <c r="O471" i="142"/>
  <c r="G471" i="142"/>
  <c r="C471" i="142"/>
  <c r="H471" i="142" s="1"/>
  <c r="I471" i="142" s="1"/>
  <c r="O470" i="142"/>
  <c r="G470" i="142"/>
  <c r="C470" i="142"/>
  <c r="H470" i="142" s="1"/>
  <c r="I470" i="142" s="1"/>
  <c r="O469" i="142"/>
  <c r="G469" i="142"/>
  <c r="C469" i="142"/>
  <c r="H469" i="142" s="1"/>
  <c r="I469" i="142" s="1"/>
  <c r="O468" i="142"/>
  <c r="G468" i="142"/>
  <c r="C468" i="142"/>
  <c r="H468" i="142" s="1"/>
  <c r="I468" i="142" s="1"/>
  <c r="O467" i="142"/>
  <c r="G467" i="142"/>
  <c r="C467" i="142"/>
  <c r="H467" i="142" s="1"/>
  <c r="I467" i="142" s="1"/>
  <c r="O466" i="142"/>
  <c r="G466" i="142"/>
  <c r="C466" i="142"/>
  <c r="H466" i="142" s="1"/>
  <c r="O465" i="142"/>
  <c r="H465" i="142"/>
  <c r="I465" i="142" s="1"/>
  <c r="G465" i="142"/>
  <c r="C465" i="142"/>
  <c r="O464" i="142"/>
  <c r="G464" i="142"/>
  <c r="C464" i="142"/>
  <c r="H464" i="142" s="1"/>
  <c r="O463" i="142"/>
  <c r="H463" i="142"/>
  <c r="I463" i="142" s="1"/>
  <c r="G463" i="142"/>
  <c r="C463" i="142"/>
  <c r="O462" i="142"/>
  <c r="G462" i="142"/>
  <c r="C462" i="142"/>
  <c r="H462" i="142" s="1"/>
  <c r="O461" i="142"/>
  <c r="H461" i="142"/>
  <c r="I461" i="142" s="1"/>
  <c r="G461" i="142"/>
  <c r="C461" i="142"/>
  <c r="O460" i="142"/>
  <c r="G460" i="142"/>
  <c r="C460" i="142"/>
  <c r="H460" i="142" s="1"/>
  <c r="O459" i="142"/>
  <c r="G459" i="142"/>
  <c r="C459" i="142"/>
  <c r="H459" i="142" s="1"/>
  <c r="O458" i="142"/>
  <c r="G458" i="142"/>
  <c r="C458" i="142"/>
  <c r="H458" i="142" s="1"/>
  <c r="O457" i="142"/>
  <c r="G457" i="142"/>
  <c r="C457" i="142"/>
  <c r="H457" i="142" s="1"/>
  <c r="I457" i="142" s="1"/>
  <c r="O456" i="142"/>
  <c r="G456" i="142"/>
  <c r="C456" i="142"/>
  <c r="H456" i="142" s="1"/>
  <c r="O455" i="142"/>
  <c r="G455" i="142"/>
  <c r="C455" i="142"/>
  <c r="H455" i="142" s="1"/>
  <c r="I455" i="142" s="1"/>
  <c r="O454" i="142"/>
  <c r="G454" i="142"/>
  <c r="C454" i="142"/>
  <c r="H454" i="142" s="1"/>
  <c r="I454" i="142" s="1"/>
  <c r="O453" i="142"/>
  <c r="G453" i="142"/>
  <c r="C453" i="142"/>
  <c r="H453" i="142" s="1"/>
  <c r="I453" i="142" s="1"/>
  <c r="O452" i="142"/>
  <c r="G452" i="142"/>
  <c r="C452" i="142"/>
  <c r="H452" i="142" s="1"/>
  <c r="I452" i="142" s="1"/>
  <c r="O451" i="142"/>
  <c r="G451" i="142"/>
  <c r="C451" i="142"/>
  <c r="H451" i="142" s="1"/>
  <c r="I451" i="142" s="1"/>
  <c r="O450" i="142"/>
  <c r="G450" i="142"/>
  <c r="C450" i="142"/>
  <c r="H450" i="142" s="1"/>
  <c r="O449" i="142"/>
  <c r="H449" i="142"/>
  <c r="I449" i="142" s="1"/>
  <c r="G449" i="142"/>
  <c r="C449" i="142"/>
  <c r="O448" i="142"/>
  <c r="G448" i="142"/>
  <c r="C448" i="142"/>
  <c r="H448" i="142" s="1"/>
  <c r="O447" i="142"/>
  <c r="H447" i="142"/>
  <c r="I447" i="142" s="1"/>
  <c r="G447" i="142"/>
  <c r="C447" i="142"/>
  <c r="O446" i="142"/>
  <c r="G446" i="142"/>
  <c r="C446" i="142"/>
  <c r="H446" i="142" s="1"/>
  <c r="O445" i="142"/>
  <c r="H445" i="142"/>
  <c r="I445" i="142" s="1"/>
  <c r="G445" i="142"/>
  <c r="C445" i="142"/>
  <c r="O444" i="142"/>
  <c r="G444" i="142"/>
  <c r="C444" i="142"/>
  <c r="H444" i="142" s="1"/>
  <c r="O443" i="142"/>
  <c r="G443" i="142"/>
  <c r="C443" i="142"/>
  <c r="H443" i="142" s="1"/>
  <c r="O442" i="142"/>
  <c r="G442" i="142"/>
  <c r="C442" i="142"/>
  <c r="H442" i="142" s="1"/>
  <c r="O441" i="142"/>
  <c r="G441" i="142"/>
  <c r="C441" i="142"/>
  <c r="H441" i="142" s="1"/>
  <c r="I441" i="142" s="1"/>
  <c r="O440" i="142"/>
  <c r="G440" i="142"/>
  <c r="C440" i="142"/>
  <c r="H440" i="142" s="1"/>
  <c r="O439" i="142"/>
  <c r="G439" i="142"/>
  <c r="C439" i="142"/>
  <c r="H439" i="142" s="1"/>
  <c r="I439" i="142" s="1"/>
  <c r="O438" i="142"/>
  <c r="G438" i="142"/>
  <c r="C438" i="142"/>
  <c r="H438" i="142" s="1"/>
  <c r="I438" i="142" s="1"/>
  <c r="O437" i="142"/>
  <c r="G437" i="142"/>
  <c r="C437" i="142"/>
  <c r="H437" i="142" s="1"/>
  <c r="I437" i="142" s="1"/>
  <c r="O436" i="142"/>
  <c r="G436" i="142"/>
  <c r="C436" i="142"/>
  <c r="H436" i="142" s="1"/>
  <c r="I436" i="142" s="1"/>
  <c r="O435" i="142"/>
  <c r="G435" i="142"/>
  <c r="C435" i="142"/>
  <c r="H435" i="142" s="1"/>
  <c r="I435" i="142" s="1"/>
  <c r="O434" i="142"/>
  <c r="G434" i="142"/>
  <c r="C434" i="142"/>
  <c r="H434" i="142" s="1"/>
  <c r="O433" i="142"/>
  <c r="H433" i="142"/>
  <c r="I433" i="142" s="1"/>
  <c r="G433" i="142"/>
  <c r="C433" i="142"/>
  <c r="O432" i="142"/>
  <c r="G432" i="142"/>
  <c r="C432" i="142"/>
  <c r="H432" i="142" s="1"/>
  <c r="O431" i="142"/>
  <c r="H431" i="142"/>
  <c r="I431" i="142" s="1"/>
  <c r="G431" i="142"/>
  <c r="C431" i="142"/>
  <c r="O430" i="142"/>
  <c r="G430" i="142"/>
  <c r="C430" i="142"/>
  <c r="H430" i="142" s="1"/>
  <c r="O429" i="142"/>
  <c r="H429" i="142"/>
  <c r="I429" i="142" s="1"/>
  <c r="G429" i="142"/>
  <c r="C429" i="142"/>
  <c r="O428" i="142"/>
  <c r="G428" i="142"/>
  <c r="C428" i="142"/>
  <c r="H428" i="142" s="1"/>
  <c r="O427" i="142"/>
  <c r="G427" i="142"/>
  <c r="C427" i="142"/>
  <c r="H427" i="142" s="1"/>
  <c r="O426" i="142"/>
  <c r="G426" i="142"/>
  <c r="C426" i="142"/>
  <c r="H426" i="142" s="1"/>
  <c r="O425" i="142"/>
  <c r="G425" i="142"/>
  <c r="C425" i="142"/>
  <c r="H425" i="142" s="1"/>
  <c r="I425" i="142" s="1"/>
  <c r="O424" i="142"/>
  <c r="G424" i="142"/>
  <c r="C424" i="142"/>
  <c r="H424" i="142" s="1"/>
  <c r="O423" i="142"/>
  <c r="G423" i="142"/>
  <c r="C423" i="142"/>
  <c r="H423" i="142" s="1"/>
  <c r="I423" i="142" s="1"/>
  <c r="O422" i="142"/>
  <c r="G422" i="142"/>
  <c r="C422" i="142"/>
  <c r="H422" i="142" s="1"/>
  <c r="I422" i="142" s="1"/>
  <c r="O421" i="142"/>
  <c r="G421" i="142"/>
  <c r="C421" i="142"/>
  <c r="H421" i="142" s="1"/>
  <c r="I421" i="142" s="1"/>
  <c r="O420" i="142"/>
  <c r="G420" i="142"/>
  <c r="C420" i="142"/>
  <c r="H420" i="142" s="1"/>
  <c r="I420" i="142" s="1"/>
  <c r="O419" i="142"/>
  <c r="G419" i="142"/>
  <c r="C419" i="142"/>
  <c r="H419" i="142" s="1"/>
  <c r="I419" i="142" s="1"/>
  <c r="O418" i="142"/>
  <c r="G418" i="142"/>
  <c r="C418" i="142"/>
  <c r="H418" i="142" s="1"/>
  <c r="O417" i="142"/>
  <c r="H417" i="142"/>
  <c r="I417" i="142" s="1"/>
  <c r="G417" i="142"/>
  <c r="C417" i="142"/>
  <c r="O416" i="142"/>
  <c r="G416" i="142"/>
  <c r="C416" i="142"/>
  <c r="H416" i="142" s="1"/>
  <c r="O415" i="142"/>
  <c r="H415" i="142"/>
  <c r="I415" i="142" s="1"/>
  <c r="G415" i="142"/>
  <c r="C415" i="142"/>
  <c r="O414" i="142"/>
  <c r="G414" i="142"/>
  <c r="C414" i="142"/>
  <c r="H414" i="142" s="1"/>
  <c r="O413" i="142"/>
  <c r="H413" i="142"/>
  <c r="I413" i="142" s="1"/>
  <c r="G413" i="142"/>
  <c r="C413" i="142"/>
  <c r="O412" i="142"/>
  <c r="G412" i="142"/>
  <c r="C412" i="142"/>
  <c r="H412" i="142" s="1"/>
  <c r="O411" i="142"/>
  <c r="G411" i="142"/>
  <c r="C411" i="142"/>
  <c r="H411" i="142" s="1"/>
  <c r="I411" i="142" s="1"/>
  <c r="O410" i="142"/>
  <c r="G410" i="142"/>
  <c r="C410" i="142"/>
  <c r="H410" i="142" s="1"/>
  <c r="O409" i="142"/>
  <c r="G409" i="142"/>
  <c r="C409" i="142"/>
  <c r="H409" i="142" s="1"/>
  <c r="I409" i="142" s="1"/>
  <c r="O408" i="142"/>
  <c r="G408" i="142"/>
  <c r="C408" i="142"/>
  <c r="H408" i="142" s="1"/>
  <c r="O407" i="142"/>
  <c r="G407" i="142"/>
  <c r="C407" i="142"/>
  <c r="H407" i="142" s="1"/>
  <c r="I407" i="142" s="1"/>
  <c r="O406" i="142"/>
  <c r="G406" i="142"/>
  <c r="C406" i="142"/>
  <c r="H406" i="142" s="1"/>
  <c r="I406" i="142" s="1"/>
  <c r="O405" i="142"/>
  <c r="G405" i="142"/>
  <c r="C405" i="142"/>
  <c r="H405" i="142" s="1"/>
  <c r="I405" i="142" s="1"/>
  <c r="O404" i="142"/>
  <c r="G404" i="142"/>
  <c r="C404" i="142"/>
  <c r="H404" i="142" s="1"/>
  <c r="I404" i="142" s="1"/>
  <c r="O403" i="142"/>
  <c r="G403" i="142"/>
  <c r="C403" i="142"/>
  <c r="H403" i="142" s="1"/>
  <c r="I403" i="142" s="1"/>
  <c r="O402" i="142"/>
  <c r="G402" i="142"/>
  <c r="C402" i="142"/>
  <c r="H402" i="142" s="1"/>
  <c r="O401" i="142"/>
  <c r="H401" i="142"/>
  <c r="G401" i="142"/>
  <c r="C401" i="142"/>
  <c r="O400" i="142"/>
  <c r="G400" i="142"/>
  <c r="C400" i="142"/>
  <c r="H400" i="142" s="1"/>
  <c r="O399" i="142"/>
  <c r="G399" i="142"/>
  <c r="C399" i="142"/>
  <c r="H399" i="142" s="1"/>
  <c r="O398" i="142"/>
  <c r="G398" i="142"/>
  <c r="C398" i="142"/>
  <c r="H398" i="142" s="1"/>
  <c r="I398" i="142" s="1"/>
  <c r="O397" i="142"/>
  <c r="G397" i="142"/>
  <c r="C397" i="142"/>
  <c r="H397" i="142" s="1"/>
  <c r="O396" i="142"/>
  <c r="G396" i="142"/>
  <c r="C396" i="142"/>
  <c r="H396" i="142" s="1"/>
  <c r="O395" i="142"/>
  <c r="G395" i="142"/>
  <c r="C395" i="142"/>
  <c r="H395" i="142" s="1"/>
  <c r="O394" i="142"/>
  <c r="G394" i="142"/>
  <c r="C394" i="142"/>
  <c r="H394" i="142" s="1"/>
  <c r="I394" i="142" s="1"/>
  <c r="O393" i="142"/>
  <c r="G393" i="142"/>
  <c r="C393" i="142"/>
  <c r="H393" i="142" s="1"/>
  <c r="O392" i="142"/>
  <c r="G392" i="142"/>
  <c r="C392" i="142"/>
  <c r="H392" i="142" s="1"/>
  <c r="I392" i="142" s="1"/>
  <c r="O391" i="142"/>
  <c r="G391" i="142"/>
  <c r="C391" i="142"/>
  <c r="H391" i="142" s="1"/>
  <c r="O390" i="142"/>
  <c r="G390" i="142"/>
  <c r="C390" i="142"/>
  <c r="H390" i="142" s="1"/>
  <c r="I390" i="142" s="1"/>
  <c r="O389" i="142"/>
  <c r="G389" i="142"/>
  <c r="C389" i="142"/>
  <c r="H389" i="142" s="1"/>
  <c r="I389" i="142" s="1"/>
  <c r="O388" i="142"/>
  <c r="G388" i="142"/>
  <c r="C388" i="142"/>
  <c r="H388" i="142" s="1"/>
  <c r="I388" i="142" s="1"/>
  <c r="O387" i="142"/>
  <c r="G387" i="142"/>
  <c r="C387" i="142"/>
  <c r="H387" i="142" s="1"/>
  <c r="I387" i="142" s="1"/>
  <c r="O386" i="142"/>
  <c r="G386" i="142"/>
  <c r="C386" i="142"/>
  <c r="H386" i="142" s="1"/>
  <c r="O385" i="142"/>
  <c r="H385" i="142"/>
  <c r="G385" i="142"/>
  <c r="C385" i="142"/>
  <c r="O384" i="142"/>
  <c r="G384" i="142"/>
  <c r="C384" i="142"/>
  <c r="H384" i="142" s="1"/>
  <c r="O383" i="142"/>
  <c r="G383" i="142"/>
  <c r="C383" i="142"/>
  <c r="H383" i="142" s="1"/>
  <c r="O382" i="142"/>
  <c r="G382" i="142"/>
  <c r="C382" i="142"/>
  <c r="H382" i="142" s="1"/>
  <c r="O381" i="142"/>
  <c r="G381" i="142"/>
  <c r="C381" i="142"/>
  <c r="H381" i="142" s="1"/>
  <c r="I381" i="142" s="1"/>
  <c r="O380" i="142"/>
  <c r="G380" i="142"/>
  <c r="C380" i="142"/>
  <c r="H380" i="142" s="1"/>
  <c r="O379" i="142"/>
  <c r="G379" i="142"/>
  <c r="C379" i="142"/>
  <c r="H379" i="142" s="1"/>
  <c r="O378" i="142"/>
  <c r="G378" i="142"/>
  <c r="C378" i="142"/>
  <c r="H378" i="142" s="1"/>
  <c r="I378" i="142" s="1"/>
  <c r="O377" i="142"/>
  <c r="G377" i="142"/>
  <c r="C377" i="142"/>
  <c r="H377" i="142" s="1"/>
  <c r="O376" i="142"/>
  <c r="G376" i="142"/>
  <c r="C376" i="142"/>
  <c r="H376" i="142" s="1"/>
  <c r="I376" i="142" s="1"/>
  <c r="O375" i="142"/>
  <c r="G375" i="142"/>
  <c r="C375" i="142"/>
  <c r="H375" i="142" s="1"/>
  <c r="O374" i="142"/>
  <c r="G374" i="142"/>
  <c r="C374" i="142"/>
  <c r="H374" i="142" s="1"/>
  <c r="I374" i="142" s="1"/>
  <c r="O373" i="142"/>
  <c r="G373" i="142"/>
  <c r="C373" i="142"/>
  <c r="H373" i="142" s="1"/>
  <c r="I373" i="142" s="1"/>
  <c r="O372" i="142"/>
  <c r="G372" i="142"/>
  <c r="C372" i="142"/>
  <c r="H372" i="142" s="1"/>
  <c r="I372" i="142" s="1"/>
  <c r="O371" i="142"/>
  <c r="G371" i="142"/>
  <c r="C371" i="142"/>
  <c r="H371" i="142" s="1"/>
  <c r="I371" i="142" s="1"/>
  <c r="O370" i="142"/>
  <c r="G370" i="142"/>
  <c r="C370" i="142"/>
  <c r="H370" i="142" s="1"/>
  <c r="O369" i="142"/>
  <c r="H369" i="142"/>
  <c r="G369" i="142"/>
  <c r="C369" i="142"/>
  <c r="O368" i="142"/>
  <c r="G368" i="142"/>
  <c r="C368" i="142"/>
  <c r="H368" i="142" s="1"/>
  <c r="O367" i="142"/>
  <c r="G367" i="142"/>
  <c r="C367" i="142"/>
  <c r="H367" i="142" s="1"/>
  <c r="O366" i="142"/>
  <c r="G366" i="142"/>
  <c r="C366" i="142"/>
  <c r="H366" i="142" s="1"/>
  <c r="O365" i="142"/>
  <c r="G365" i="142"/>
  <c r="C365" i="142"/>
  <c r="H365" i="142" s="1"/>
  <c r="O364" i="142"/>
  <c r="G364" i="142"/>
  <c r="C364" i="142"/>
  <c r="H364" i="142" s="1"/>
  <c r="I364" i="142" s="1"/>
  <c r="O363" i="142"/>
  <c r="G363" i="142"/>
  <c r="C363" i="142"/>
  <c r="H363" i="142" s="1"/>
  <c r="O362" i="142"/>
  <c r="G362" i="142"/>
  <c r="C362" i="142"/>
  <c r="H362" i="142" s="1"/>
  <c r="I362" i="142" s="1"/>
  <c r="O361" i="142"/>
  <c r="G361" i="142"/>
  <c r="C361" i="142"/>
  <c r="H361" i="142" s="1"/>
  <c r="O360" i="142"/>
  <c r="G360" i="142"/>
  <c r="C360" i="142"/>
  <c r="H360" i="142" s="1"/>
  <c r="I360" i="142" s="1"/>
  <c r="O359" i="142"/>
  <c r="G359" i="142"/>
  <c r="C359" i="142"/>
  <c r="H359" i="142" s="1"/>
  <c r="O358" i="142"/>
  <c r="G358" i="142"/>
  <c r="C358" i="142"/>
  <c r="H358" i="142" s="1"/>
  <c r="I358" i="142" s="1"/>
  <c r="O357" i="142"/>
  <c r="G357" i="142"/>
  <c r="C357" i="142"/>
  <c r="H357" i="142" s="1"/>
  <c r="I357" i="142" s="1"/>
  <c r="O356" i="142"/>
  <c r="G356" i="142"/>
  <c r="C356" i="142"/>
  <c r="H356" i="142" s="1"/>
  <c r="I356" i="142" s="1"/>
  <c r="O355" i="142"/>
  <c r="G355" i="142"/>
  <c r="C355" i="142"/>
  <c r="H355" i="142" s="1"/>
  <c r="I355" i="142" s="1"/>
  <c r="O354" i="142"/>
  <c r="G354" i="142"/>
  <c r="C354" i="142"/>
  <c r="H354" i="142" s="1"/>
  <c r="O353" i="142"/>
  <c r="H353" i="142"/>
  <c r="G353" i="142"/>
  <c r="C353" i="142"/>
  <c r="O352" i="142"/>
  <c r="G352" i="142"/>
  <c r="C352" i="142"/>
  <c r="H352" i="142" s="1"/>
  <c r="O351" i="142"/>
  <c r="G351" i="142"/>
  <c r="C351" i="142"/>
  <c r="H351" i="142" s="1"/>
  <c r="O350" i="142"/>
  <c r="G350" i="142"/>
  <c r="C350" i="142"/>
  <c r="H350" i="142" s="1"/>
  <c r="O349" i="142"/>
  <c r="G349" i="142"/>
  <c r="C349" i="142"/>
  <c r="H349" i="142" s="1"/>
  <c r="O348" i="142"/>
  <c r="G348" i="142"/>
  <c r="C348" i="142"/>
  <c r="H348" i="142" s="1"/>
  <c r="O347" i="142"/>
  <c r="G347" i="142"/>
  <c r="C347" i="142"/>
  <c r="H347" i="142" s="1"/>
  <c r="I347" i="142" s="1"/>
  <c r="O346" i="142"/>
  <c r="G346" i="142"/>
  <c r="C346" i="142"/>
  <c r="H346" i="142" s="1"/>
  <c r="I346" i="142" s="1"/>
  <c r="O345" i="142"/>
  <c r="G345" i="142"/>
  <c r="C345" i="142"/>
  <c r="H345" i="142" s="1"/>
  <c r="O344" i="142"/>
  <c r="G344" i="142"/>
  <c r="C344" i="142"/>
  <c r="H344" i="142" s="1"/>
  <c r="I344" i="142" s="1"/>
  <c r="O343" i="142"/>
  <c r="G343" i="142"/>
  <c r="C343" i="142"/>
  <c r="H343" i="142" s="1"/>
  <c r="O342" i="142"/>
  <c r="G342" i="142"/>
  <c r="C342" i="142"/>
  <c r="H342" i="142" s="1"/>
  <c r="I342" i="142" s="1"/>
  <c r="O341" i="142"/>
  <c r="G341" i="142"/>
  <c r="C341" i="142"/>
  <c r="H341" i="142" s="1"/>
  <c r="I341" i="142" s="1"/>
  <c r="O340" i="142"/>
  <c r="G340" i="142"/>
  <c r="C340" i="142"/>
  <c r="H340" i="142" s="1"/>
  <c r="I340" i="142" s="1"/>
  <c r="O339" i="142"/>
  <c r="G339" i="142"/>
  <c r="C339" i="142"/>
  <c r="H339" i="142" s="1"/>
  <c r="I339" i="142" s="1"/>
  <c r="O338" i="142"/>
  <c r="G338" i="142"/>
  <c r="C338" i="142"/>
  <c r="H338" i="142" s="1"/>
  <c r="O337" i="142"/>
  <c r="H337" i="142"/>
  <c r="G337" i="142"/>
  <c r="C337" i="142"/>
  <c r="O336" i="142"/>
  <c r="G336" i="142"/>
  <c r="C336" i="142"/>
  <c r="H336" i="142" s="1"/>
  <c r="O335" i="142"/>
  <c r="G335" i="142"/>
  <c r="C335" i="142"/>
  <c r="H335" i="142" s="1"/>
  <c r="O334" i="142"/>
  <c r="G334" i="142"/>
  <c r="C334" i="142"/>
  <c r="H334" i="142" s="1"/>
  <c r="I334" i="142" s="1"/>
  <c r="O333" i="142"/>
  <c r="G333" i="142"/>
  <c r="C333" i="142"/>
  <c r="H333" i="142" s="1"/>
  <c r="O332" i="142"/>
  <c r="G332" i="142"/>
  <c r="C332" i="142"/>
  <c r="H332" i="142" s="1"/>
  <c r="O331" i="142"/>
  <c r="G331" i="142"/>
  <c r="C331" i="142"/>
  <c r="H331" i="142" s="1"/>
  <c r="O330" i="142"/>
  <c r="G330" i="142"/>
  <c r="C330" i="142"/>
  <c r="H330" i="142" s="1"/>
  <c r="I330" i="142" s="1"/>
  <c r="O329" i="142"/>
  <c r="G329" i="142"/>
  <c r="C329" i="142"/>
  <c r="H329" i="142" s="1"/>
  <c r="O328" i="142"/>
  <c r="G328" i="142"/>
  <c r="C328" i="142"/>
  <c r="H328" i="142" s="1"/>
  <c r="I328" i="142" s="1"/>
  <c r="O327" i="142"/>
  <c r="G327" i="142"/>
  <c r="C327" i="142"/>
  <c r="H327" i="142" s="1"/>
  <c r="O326" i="142"/>
  <c r="G326" i="142"/>
  <c r="C326" i="142"/>
  <c r="H326" i="142" s="1"/>
  <c r="I326" i="142" s="1"/>
  <c r="O325" i="142"/>
  <c r="G325" i="142"/>
  <c r="C325" i="142"/>
  <c r="H325" i="142" s="1"/>
  <c r="I325" i="142" s="1"/>
  <c r="O324" i="142"/>
  <c r="G324" i="142"/>
  <c r="C324" i="142"/>
  <c r="H324" i="142" s="1"/>
  <c r="I324" i="142" s="1"/>
  <c r="O323" i="142"/>
  <c r="G323" i="142"/>
  <c r="C323" i="142"/>
  <c r="H323" i="142" s="1"/>
  <c r="I323" i="142" s="1"/>
  <c r="O322" i="142"/>
  <c r="G322" i="142"/>
  <c r="C322" i="142"/>
  <c r="H322" i="142" s="1"/>
  <c r="O321" i="142"/>
  <c r="H321" i="142"/>
  <c r="G321" i="142"/>
  <c r="C321" i="142"/>
  <c r="O320" i="142"/>
  <c r="G320" i="142"/>
  <c r="C320" i="142"/>
  <c r="H320" i="142" s="1"/>
  <c r="O319" i="142"/>
  <c r="G319" i="142"/>
  <c r="C319" i="142"/>
  <c r="H319" i="142" s="1"/>
  <c r="O318" i="142"/>
  <c r="G318" i="142"/>
  <c r="C318" i="142"/>
  <c r="H318" i="142" s="1"/>
  <c r="O317" i="142"/>
  <c r="G317" i="142"/>
  <c r="C317" i="142"/>
  <c r="H317" i="142" s="1"/>
  <c r="I317" i="142" s="1"/>
  <c r="O316" i="142"/>
  <c r="G316" i="142"/>
  <c r="C316" i="142"/>
  <c r="H316" i="142" s="1"/>
  <c r="O315" i="142"/>
  <c r="G315" i="142"/>
  <c r="C315" i="142"/>
  <c r="H315" i="142" s="1"/>
  <c r="O314" i="142"/>
  <c r="G314" i="142"/>
  <c r="C314" i="142"/>
  <c r="H314" i="142" s="1"/>
  <c r="I314" i="142" s="1"/>
  <c r="O313" i="142"/>
  <c r="G313" i="142"/>
  <c r="C313" i="142"/>
  <c r="H313" i="142" s="1"/>
  <c r="O312" i="142"/>
  <c r="G312" i="142"/>
  <c r="C312" i="142"/>
  <c r="H312" i="142" s="1"/>
  <c r="I312" i="142" s="1"/>
  <c r="O311" i="142"/>
  <c r="G311" i="142"/>
  <c r="C311" i="142"/>
  <c r="H311" i="142" s="1"/>
  <c r="O310" i="142"/>
  <c r="G310" i="142"/>
  <c r="C310" i="142"/>
  <c r="H310" i="142" s="1"/>
  <c r="I310" i="142" s="1"/>
  <c r="O309" i="142"/>
  <c r="G309" i="142"/>
  <c r="C309" i="142"/>
  <c r="H309" i="142" s="1"/>
  <c r="I309" i="142" s="1"/>
  <c r="O308" i="142"/>
  <c r="G308" i="142"/>
  <c r="C308" i="142"/>
  <c r="H308" i="142" s="1"/>
  <c r="I308" i="142" s="1"/>
  <c r="O307" i="142"/>
  <c r="G307" i="142"/>
  <c r="C307" i="142"/>
  <c r="H307" i="142" s="1"/>
  <c r="I307" i="142" s="1"/>
  <c r="O306" i="142"/>
  <c r="G306" i="142"/>
  <c r="C306" i="142"/>
  <c r="H306" i="142" s="1"/>
  <c r="O305" i="142"/>
  <c r="H305" i="142"/>
  <c r="G305" i="142"/>
  <c r="C305" i="142"/>
  <c r="O304" i="142"/>
  <c r="G304" i="142"/>
  <c r="C304" i="142"/>
  <c r="H304" i="142" s="1"/>
  <c r="O303" i="142"/>
  <c r="G303" i="142"/>
  <c r="C303" i="142"/>
  <c r="H303" i="142" s="1"/>
  <c r="O302" i="142"/>
  <c r="G302" i="142"/>
  <c r="C302" i="142"/>
  <c r="H302" i="142" s="1"/>
  <c r="O301" i="142"/>
  <c r="G301" i="142"/>
  <c r="C301" i="142"/>
  <c r="H301" i="142" s="1"/>
  <c r="O300" i="142"/>
  <c r="G300" i="142"/>
  <c r="C300" i="142"/>
  <c r="H300" i="142" s="1"/>
  <c r="I300" i="142" s="1"/>
  <c r="O299" i="142"/>
  <c r="G299" i="142"/>
  <c r="C299" i="142"/>
  <c r="H299" i="142" s="1"/>
  <c r="O298" i="142"/>
  <c r="G298" i="142"/>
  <c r="C298" i="142"/>
  <c r="H298" i="142" s="1"/>
  <c r="I298" i="142" s="1"/>
  <c r="O297" i="142"/>
  <c r="G297" i="142"/>
  <c r="C297" i="142"/>
  <c r="H297" i="142" s="1"/>
  <c r="O296" i="142"/>
  <c r="G296" i="142"/>
  <c r="C296" i="142"/>
  <c r="H296" i="142" s="1"/>
  <c r="I296" i="142" s="1"/>
  <c r="O295" i="142"/>
  <c r="G295" i="142"/>
  <c r="C295" i="142"/>
  <c r="H295" i="142" s="1"/>
  <c r="O294" i="142"/>
  <c r="G294" i="142"/>
  <c r="C294" i="142"/>
  <c r="H294" i="142" s="1"/>
  <c r="I294" i="142" s="1"/>
  <c r="O293" i="142"/>
  <c r="G293" i="142"/>
  <c r="C293" i="142"/>
  <c r="H293" i="142" s="1"/>
  <c r="I293" i="142" s="1"/>
  <c r="O292" i="142"/>
  <c r="G292" i="142"/>
  <c r="C292" i="142"/>
  <c r="H292" i="142" s="1"/>
  <c r="I292" i="142" s="1"/>
  <c r="O291" i="142"/>
  <c r="G291" i="142"/>
  <c r="C291" i="142"/>
  <c r="H291" i="142" s="1"/>
  <c r="I291" i="142" s="1"/>
  <c r="O290" i="142"/>
  <c r="G290" i="142"/>
  <c r="C290" i="142"/>
  <c r="H290" i="142" s="1"/>
  <c r="O289" i="142"/>
  <c r="H289" i="142"/>
  <c r="G289" i="142"/>
  <c r="C289" i="142"/>
  <c r="O288" i="142"/>
  <c r="G288" i="142"/>
  <c r="C288" i="142"/>
  <c r="H288" i="142" s="1"/>
  <c r="O287" i="142"/>
  <c r="G287" i="142"/>
  <c r="C287" i="142"/>
  <c r="H287" i="142" s="1"/>
  <c r="O286" i="142"/>
  <c r="G286" i="142"/>
  <c r="C286" i="142"/>
  <c r="H286" i="142" s="1"/>
  <c r="O285" i="142"/>
  <c r="G285" i="142"/>
  <c r="C285" i="142"/>
  <c r="H285" i="142" s="1"/>
  <c r="O284" i="142"/>
  <c r="G284" i="142"/>
  <c r="C284" i="142"/>
  <c r="H284" i="142" s="1"/>
  <c r="O283" i="142"/>
  <c r="G283" i="142"/>
  <c r="C283" i="142"/>
  <c r="H283" i="142" s="1"/>
  <c r="I283" i="142" s="1"/>
  <c r="O282" i="142"/>
  <c r="G282" i="142"/>
  <c r="C282" i="142"/>
  <c r="H282" i="142" s="1"/>
  <c r="I282" i="142" s="1"/>
  <c r="O281" i="142"/>
  <c r="G281" i="142"/>
  <c r="C281" i="142"/>
  <c r="H281" i="142" s="1"/>
  <c r="O280" i="142"/>
  <c r="G280" i="142"/>
  <c r="C280" i="142"/>
  <c r="H280" i="142" s="1"/>
  <c r="I280" i="142" s="1"/>
  <c r="O279" i="142"/>
  <c r="G279" i="142"/>
  <c r="C279" i="142"/>
  <c r="H279" i="142" s="1"/>
  <c r="I279" i="142" s="1"/>
  <c r="O278" i="142"/>
  <c r="G278" i="142"/>
  <c r="C278" i="142"/>
  <c r="H278" i="142" s="1"/>
  <c r="I278" i="142" s="1"/>
  <c r="O277" i="142"/>
  <c r="G277" i="142"/>
  <c r="C277" i="142"/>
  <c r="H277" i="142" s="1"/>
  <c r="O276" i="142"/>
  <c r="H276" i="142"/>
  <c r="I276" i="142" s="1"/>
  <c r="G276" i="142"/>
  <c r="C276" i="142"/>
  <c r="O275" i="142"/>
  <c r="G275" i="142"/>
  <c r="C275" i="142"/>
  <c r="H275" i="142" s="1"/>
  <c r="O274" i="142"/>
  <c r="G274" i="142"/>
  <c r="C274" i="142"/>
  <c r="H274" i="142" s="1"/>
  <c r="I274" i="142" s="1"/>
  <c r="O273" i="142"/>
  <c r="G273" i="142"/>
  <c r="C273" i="142"/>
  <c r="H273" i="142" s="1"/>
  <c r="I273" i="142" s="1"/>
  <c r="O272" i="142"/>
  <c r="G272" i="142"/>
  <c r="C272" i="142"/>
  <c r="H272" i="142" s="1"/>
  <c r="I272" i="142" s="1"/>
  <c r="O271" i="142"/>
  <c r="G271" i="142"/>
  <c r="C271" i="142"/>
  <c r="H271" i="142" s="1"/>
  <c r="I271" i="142" s="1"/>
  <c r="O270" i="142"/>
  <c r="G270" i="142"/>
  <c r="C270" i="142"/>
  <c r="H270" i="142" s="1"/>
  <c r="I270" i="142" s="1"/>
  <c r="O269" i="142"/>
  <c r="G269" i="142"/>
  <c r="C269" i="142"/>
  <c r="H269" i="142" s="1"/>
  <c r="O268" i="142"/>
  <c r="H268" i="142"/>
  <c r="I268" i="142" s="1"/>
  <c r="G268" i="142"/>
  <c r="C268" i="142"/>
  <c r="O267" i="142"/>
  <c r="G267" i="142"/>
  <c r="C267" i="142"/>
  <c r="H267" i="142" s="1"/>
  <c r="O266" i="142"/>
  <c r="H266" i="142"/>
  <c r="I266" i="142" s="1"/>
  <c r="G266" i="142"/>
  <c r="C266" i="142"/>
  <c r="O265" i="142"/>
  <c r="G265" i="142"/>
  <c r="C265" i="142"/>
  <c r="H265" i="142" s="1"/>
  <c r="O264" i="142"/>
  <c r="G264" i="142"/>
  <c r="C264" i="142"/>
  <c r="H264" i="142" s="1"/>
  <c r="I264" i="142" s="1"/>
  <c r="O263" i="142"/>
  <c r="G263" i="142"/>
  <c r="C263" i="142"/>
  <c r="H263" i="142" s="1"/>
  <c r="I263" i="142" s="1"/>
  <c r="O262" i="142"/>
  <c r="G262" i="142"/>
  <c r="C262" i="142"/>
  <c r="H262" i="142" s="1"/>
  <c r="I262" i="142" s="1"/>
  <c r="O261" i="142"/>
  <c r="G261" i="142"/>
  <c r="C261" i="142"/>
  <c r="H261" i="142" s="1"/>
  <c r="O260" i="142"/>
  <c r="G260" i="142"/>
  <c r="C260" i="142"/>
  <c r="H260" i="142" s="1"/>
  <c r="I260" i="142" s="1"/>
  <c r="O259" i="142"/>
  <c r="G259" i="142"/>
  <c r="C259" i="142"/>
  <c r="H259" i="142" s="1"/>
  <c r="O258" i="142"/>
  <c r="I258" i="142"/>
  <c r="G258" i="142"/>
  <c r="C258" i="142"/>
  <c r="H258" i="142" s="1"/>
  <c r="O257" i="142"/>
  <c r="G257" i="142"/>
  <c r="C257" i="142"/>
  <c r="H257" i="142" s="1"/>
  <c r="O256" i="142"/>
  <c r="H256" i="142"/>
  <c r="I256" i="142" s="1"/>
  <c r="G256" i="142"/>
  <c r="C256" i="142"/>
  <c r="O255" i="142"/>
  <c r="G255" i="142"/>
  <c r="C255" i="142"/>
  <c r="H255" i="142" s="1"/>
  <c r="O254" i="142"/>
  <c r="G254" i="142"/>
  <c r="C254" i="142"/>
  <c r="H254" i="142" s="1"/>
  <c r="I254" i="142" s="1"/>
  <c r="O253" i="142"/>
  <c r="G253" i="142"/>
  <c r="C253" i="142"/>
  <c r="H253" i="142" s="1"/>
  <c r="O252" i="142"/>
  <c r="G252" i="142"/>
  <c r="C252" i="142"/>
  <c r="H252" i="142" s="1"/>
  <c r="I252" i="142" s="1"/>
  <c r="O251" i="142"/>
  <c r="G251" i="142"/>
  <c r="C251" i="142"/>
  <c r="H251" i="142" s="1"/>
  <c r="I251" i="142" s="1"/>
  <c r="O250" i="142"/>
  <c r="G250" i="142"/>
  <c r="C250" i="142"/>
  <c r="H250" i="142" s="1"/>
  <c r="I250" i="142" s="1"/>
  <c r="O249" i="142"/>
  <c r="G249" i="142"/>
  <c r="C249" i="142"/>
  <c r="H249" i="142" s="1"/>
  <c r="I249" i="142" s="1"/>
  <c r="O248" i="142"/>
  <c r="G248" i="142"/>
  <c r="C248" i="142"/>
  <c r="H248" i="142" s="1"/>
  <c r="I248" i="142" s="1"/>
  <c r="O247" i="142"/>
  <c r="G247" i="142"/>
  <c r="C247" i="142"/>
  <c r="H247" i="142" s="1"/>
  <c r="O246" i="142"/>
  <c r="H246" i="142"/>
  <c r="G246" i="142"/>
  <c r="C246" i="142"/>
  <c r="O245" i="142"/>
  <c r="G245" i="142"/>
  <c r="C245" i="142"/>
  <c r="H245" i="142" s="1"/>
  <c r="O244" i="142"/>
  <c r="G244" i="142"/>
  <c r="C244" i="142"/>
  <c r="H244" i="142" s="1"/>
  <c r="I244" i="142" s="1"/>
  <c r="O243" i="142"/>
  <c r="G243" i="142"/>
  <c r="C243" i="142"/>
  <c r="H243" i="142" s="1"/>
  <c r="O242" i="142"/>
  <c r="H242" i="142"/>
  <c r="G242" i="142"/>
  <c r="C242" i="142"/>
  <c r="O241" i="142"/>
  <c r="G241" i="142"/>
  <c r="C241" i="142"/>
  <c r="H241" i="142" s="1"/>
  <c r="I241" i="142" s="1"/>
  <c r="O240" i="142"/>
  <c r="G240" i="142"/>
  <c r="C240" i="142"/>
  <c r="H240" i="142" s="1"/>
  <c r="O239" i="142"/>
  <c r="G239" i="142"/>
  <c r="C239" i="142"/>
  <c r="H239" i="142" s="1"/>
  <c r="I239" i="142" s="1"/>
  <c r="O238" i="142"/>
  <c r="G238" i="142"/>
  <c r="C238" i="142"/>
  <c r="H238" i="142" s="1"/>
  <c r="I238" i="142" s="1"/>
  <c r="O237" i="142"/>
  <c r="G237" i="142"/>
  <c r="C237" i="142"/>
  <c r="H237" i="142" s="1"/>
  <c r="O236" i="142"/>
  <c r="H236" i="142"/>
  <c r="G236" i="142"/>
  <c r="C236" i="142"/>
  <c r="O235" i="142"/>
  <c r="G235" i="142"/>
  <c r="C235" i="142"/>
  <c r="H235" i="142" s="1"/>
  <c r="I235" i="142" s="1"/>
  <c r="O234" i="142"/>
  <c r="I234" i="142"/>
  <c r="H234" i="142"/>
  <c r="G234" i="142"/>
  <c r="C234" i="142"/>
  <c r="O233" i="142"/>
  <c r="G233" i="142"/>
  <c r="C233" i="142"/>
  <c r="H233" i="142" s="1"/>
  <c r="I233" i="142" s="1"/>
  <c r="O232" i="142"/>
  <c r="H232" i="142"/>
  <c r="I232" i="142" s="1"/>
  <c r="G232" i="142"/>
  <c r="C232" i="142"/>
  <c r="O231" i="142"/>
  <c r="G231" i="142"/>
  <c r="C231" i="142"/>
  <c r="H231" i="142" s="1"/>
  <c r="O230" i="142"/>
  <c r="G230" i="142"/>
  <c r="C230" i="142"/>
  <c r="H230" i="142" s="1"/>
  <c r="I230" i="142" s="1"/>
  <c r="O229" i="142"/>
  <c r="G229" i="142"/>
  <c r="C229" i="142"/>
  <c r="H229" i="142" s="1"/>
  <c r="O228" i="142"/>
  <c r="G228" i="142"/>
  <c r="C228" i="142"/>
  <c r="H228" i="142" s="1"/>
  <c r="I228" i="142" s="1"/>
  <c r="O227" i="142"/>
  <c r="G227" i="142"/>
  <c r="C227" i="142"/>
  <c r="H227" i="142" s="1"/>
  <c r="O226" i="142"/>
  <c r="G226" i="142"/>
  <c r="C226" i="142"/>
  <c r="H226" i="142" s="1"/>
  <c r="I226" i="142" s="1"/>
  <c r="O225" i="142"/>
  <c r="G225" i="142"/>
  <c r="C225" i="142"/>
  <c r="H225" i="142" s="1"/>
  <c r="O224" i="142"/>
  <c r="H224" i="142"/>
  <c r="G224" i="142"/>
  <c r="C224" i="142"/>
  <c r="O223" i="142"/>
  <c r="G223" i="142"/>
  <c r="C223" i="142"/>
  <c r="H223" i="142" s="1"/>
  <c r="I223" i="142" s="1"/>
  <c r="O222" i="142"/>
  <c r="H222" i="142"/>
  <c r="I222" i="142" s="1"/>
  <c r="G222" i="142"/>
  <c r="C222" i="142"/>
  <c r="O221" i="142"/>
  <c r="G221" i="142"/>
  <c r="C221" i="142"/>
  <c r="H221" i="142" s="1"/>
  <c r="O220" i="142"/>
  <c r="G220" i="142"/>
  <c r="C220" i="142"/>
  <c r="H220" i="142" s="1"/>
  <c r="I220" i="142" s="1"/>
  <c r="O219" i="142"/>
  <c r="G219" i="142"/>
  <c r="C219" i="142"/>
  <c r="H219" i="142" s="1"/>
  <c r="I219" i="142" s="1"/>
  <c r="O218" i="142"/>
  <c r="G218" i="142"/>
  <c r="C218" i="142"/>
  <c r="H218" i="142" s="1"/>
  <c r="I218" i="142" s="1"/>
  <c r="O217" i="142"/>
  <c r="G217" i="142"/>
  <c r="C217" i="142"/>
  <c r="H217" i="142" s="1"/>
  <c r="I217" i="142" s="1"/>
  <c r="O216" i="142"/>
  <c r="G216" i="142"/>
  <c r="C216" i="142"/>
  <c r="H216" i="142" s="1"/>
  <c r="I216" i="142" s="1"/>
  <c r="O215" i="142"/>
  <c r="G215" i="142"/>
  <c r="C215" i="142"/>
  <c r="H215" i="142" s="1"/>
  <c r="O214" i="142"/>
  <c r="H214" i="142"/>
  <c r="G214" i="142"/>
  <c r="C214" i="142"/>
  <c r="O213" i="142"/>
  <c r="G213" i="142"/>
  <c r="C213" i="142"/>
  <c r="H213" i="142" s="1"/>
  <c r="O212" i="142"/>
  <c r="H212" i="142"/>
  <c r="I212" i="142" s="1"/>
  <c r="G212" i="142"/>
  <c r="C212" i="142"/>
  <c r="O211" i="142"/>
  <c r="G211" i="142"/>
  <c r="C211" i="142"/>
  <c r="H211" i="142" s="1"/>
  <c r="O210" i="142"/>
  <c r="H210" i="142"/>
  <c r="I210" i="142" s="1"/>
  <c r="G210" i="142"/>
  <c r="C210" i="142"/>
  <c r="O209" i="142"/>
  <c r="G209" i="142"/>
  <c r="C209" i="142"/>
  <c r="H209" i="142" s="1"/>
  <c r="O208" i="142"/>
  <c r="G208" i="142"/>
  <c r="C208" i="142"/>
  <c r="H208" i="142" s="1"/>
  <c r="I208" i="142" s="1"/>
  <c r="O207" i="142"/>
  <c r="G207" i="142"/>
  <c r="C207" i="142"/>
  <c r="H207" i="142" s="1"/>
  <c r="I207" i="142" s="1"/>
  <c r="O206" i="142"/>
  <c r="G206" i="142"/>
  <c r="C206" i="142"/>
  <c r="H206" i="142" s="1"/>
  <c r="I206" i="142" s="1"/>
  <c r="O205" i="142"/>
  <c r="G205" i="142"/>
  <c r="C205" i="142"/>
  <c r="H205" i="142" s="1"/>
  <c r="O204" i="142"/>
  <c r="H204" i="142"/>
  <c r="I204" i="142" s="1"/>
  <c r="G204" i="142"/>
  <c r="C204" i="142"/>
  <c r="O203" i="142"/>
  <c r="G203" i="142"/>
  <c r="C203" i="142"/>
  <c r="H203" i="142" s="1"/>
  <c r="O202" i="142"/>
  <c r="I202" i="142"/>
  <c r="H202" i="142"/>
  <c r="G202" i="142"/>
  <c r="C202" i="142"/>
  <c r="O201" i="142"/>
  <c r="G201" i="142"/>
  <c r="C201" i="142"/>
  <c r="H201" i="142" s="1"/>
  <c r="O200" i="142"/>
  <c r="H200" i="142"/>
  <c r="I200" i="142" s="1"/>
  <c r="G200" i="142"/>
  <c r="C200" i="142"/>
  <c r="O199" i="142"/>
  <c r="G199" i="142"/>
  <c r="C199" i="142"/>
  <c r="H199" i="142" s="1"/>
  <c r="O198" i="142"/>
  <c r="G198" i="142"/>
  <c r="C198" i="142"/>
  <c r="H198" i="142" s="1"/>
  <c r="I198" i="142" s="1"/>
  <c r="O197" i="142"/>
  <c r="G197" i="142"/>
  <c r="C197" i="142"/>
  <c r="H197" i="142" s="1"/>
  <c r="O196" i="142"/>
  <c r="G196" i="142"/>
  <c r="C196" i="142"/>
  <c r="H196" i="142" s="1"/>
  <c r="I196" i="142" s="1"/>
  <c r="O195" i="142"/>
  <c r="G195" i="142"/>
  <c r="C195" i="142"/>
  <c r="H195" i="142" s="1"/>
  <c r="O194" i="142"/>
  <c r="G194" i="142"/>
  <c r="C194" i="142"/>
  <c r="H194" i="142" s="1"/>
  <c r="I194" i="142" s="1"/>
  <c r="O193" i="142"/>
  <c r="G193" i="142"/>
  <c r="C193" i="142"/>
  <c r="H193" i="142" s="1"/>
  <c r="O192" i="142"/>
  <c r="G192" i="142"/>
  <c r="C192" i="142"/>
  <c r="H192" i="142" s="1"/>
  <c r="I192" i="142" s="1"/>
  <c r="O191" i="142"/>
  <c r="G191" i="142"/>
  <c r="C191" i="142"/>
  <c r="H191" i="142" s="1"/>
  <c r="O190" i="142"/>
  <c r="H190" i="142"/>
  <c r="I190" i="142" s="1"/>
  <c r="G190" i="142"/>
  <c r="C190" i="142"/>
  <c r="O189" i="142"/>
  <c r="G189" i="142"/>
  <c r="C189" i="142"/>
  <c r="H189" i="142" s="1"/>
  <c r="O188" i="142"/>
  <c r="H188" i="142"/>
  <c r="I188" i="142" s="1"/>
  <c r="G188" i="142"/>
  <c r="C188" i="142"/>
  <c r="O187" i="142"/>
  <c r="G187" i="142"/>
  <c r="C187" i="142"/>
  <c r="H187" i="142" s="1"/>
  <c r="O186" i="142"/>
  <c r="H186" i="142"/>
  <c r="I186" i="142" s="1"/>
  <c r="G186" i="142"/>
  <c r="C186" i="142"/>
  <c r="O185" i="142"/>
  <c r="G185" i="142"/>
  <c r="C185" i="142"/>
  <c r="H185" i="142" s="1"/>
  <c r="O184" i="142"/>
  <c r="H184" i="142"/>
  <c r="I184" i="142" s="1"/>
  <c r="G184" i="142"/>
  <c r="C184" i="142"/>
  <c r="O183" i="142"/>
  <c r="G183" i="142"/>
  <c r="C183" i="142"/>
  <c r="H183" i="142" s="1"/>
  <c r="O182" i="142"/>
  <c r="G182" i="142"/>
  <c r="C182" i="142"/>
  <c r="H182" i="142" s="1"/>
  <c r="I182" i="142" s="1"/>
  <c r="O181" i="142"/>
  <c r="G181" i="142"/>
  <c r="C181" i="142"/>
  <c r="H181" i="142" s="1"/>
  <c r="O180" i="142"/>
  <c r="G180" i="142"/>
  <c r="C180" i="142"/>
  <c r="H180" i="142" s="1"/>
  <c r="I180" i="142" s="1"/>
  <c r="O179" i="142"/>
  <c r="G179" i="142"/>
  <c r="C179" i="142"/>
  <c r="H179" i="142" s="1"/>
  <c r="O178" i="142"/>
  <c r="G178" i="142"/>
  <c r="C178" i="142"/>
  <c r="H178" i="142" s="1"/>
  <c r="I178" i="142" s="1"/>
  <c r="O177" i="142"/>
  <c r="G177" i="142"/>
  <c r="C177" i="142"/>
  <c r="H177" i="142" s="1"/>
  <c r="O176" i="142"/>
  <c r="G176" i="142"/>
  <c r="C176" i="142"/>
  <c r="H176" i="142" s="1"/>
  <c r="I176" i="142" s="1"/>
  <c r="O175" i="142"/>
  <c r="G175" i="142"/>
  <c r="C175" i="142"/>
  <c r="H175" i="142" s="1"/>
  <c r="O174" i="142"/>
  <c r="H174" i="142"/>
  <c r="I174" i="142" s="1"/>
  <c r="G174" i="142"/>
  <c r="C174" i="142"/>
  <c r="O173" i="142"/>
  <c r="G173" i="142"/>
  <c r="C173" i="142"/>
  <c r="H173" i="142" s="1"/>
  <c r="O172" i="142"/>
  <c r="H172" i="142"/>
  <c r="I172" i="142" s="1"/>
  <c r="G172" i="142"/>
  <c r="C172" i="142"/>
  <c r="O171" i="142"/>
  <c r="G171" i="142"/>
  <c r="C171" i="142"/>
  <c r="H171" i="142" s="1"/>
  <c r="O170" i="142"/>
  <c r="H170" i="142"/>
  <c r="I170" i="142" s="1"/>
  <c r="G170" i="142"/>
  <c r="C170" i="142"/>
  <c r="O169" i="142"/>
  <c r="G169" i="142"/>
  <c r="C169" i="142"/>
  <c r="H169" i="142" s="1"/>
  <c r="O168" i="142"/>
  <c r="H168" i="142"/>
  <c r="I168" i="142" s="1"/>
  <c r="G168" i="142"/>
  <c r="C168" i="142"/>
  <c r="O167" i="142"/>
  <c r="G167" i="142"/>
  <c r="C167" i="142"/>
  <c r="H167" i="142" s="1"/>
  <c r="O166" i="142"/>
  <c r="G166" i="142"/>
  <c r="C166" i="142"/>
  <c r="H166" i="142" s="1"/>
  <c r="I166" i="142" s="1"/>
  <c r="O165" i="142"/>
  <c r="G165" i="142"/>
  <c r="C165" i="142"/>
  <c r="H165" i="142" s="1"/>
  <c r="O164" i="142"/>
  <c r="G164" i="142"/>
  <c r="C164" i="142"/>
  <c r="H164" i="142" s="1"/>
  <c r="I164" i="142" s="1"/>
  <c r="O163" i="142"/>
  <c r="G163" i="142"/>
  <c r="C163" i="142"/>
  <c r="H163" i="142" s="1"/>
  <c r="O162" i="142"/>
  <c r="G162" i="142"/>
  <c r="C162" i="142"/>
  <c r="H162" i="142" s="1"/>
  <c r="I162" i="142" s="1"/>
  <c r="O161" i="142"/>
  <c r="G161" i="142"/>
  <c r="C161" i="142"/>
  <c r="H161" i="142" s="1"/>
  <c r="O160" i="142"/>
  <c r="G160" i="142"/>
  <c r="C160" i="142"/>
  <c r="H160" i="142" s="1"/>
  <c r="I160" i="142" s="1"/>
  <c r="O159" i="142"/>
  <c r="G159" i="142"/>
  <c r="C159" i="142"/>
  <c r="H159" i="142" s="1"/>
  <c r="O158" i="142"/>
  <c r="H158" i="142"/>
  <c r="I158" i="142" s="1"/>
  <c r="G158" i="142"/>
  <c r="C158" i="142"/>
  <c r="O157" i="142"/>
  <c r="G157" i="142"/>
  <c r="C157" i="142"/>
  <c r="H157" i="142" s="1"/>
  <c r="O156" i="142"/>
  <c r="H156" i="142"/>
  <c r="I156" i="142" s="1"/>
  <c r="G156" i="142"/>
  <c r="C156" i="142"/>
  <c r="O155" i="142"/>
  <c r="G155" i="142"/>
  <c r="C155" i="142"/>
  <c r="H155" i="142" s="1"/>
  <c r="O154" i="142"/>
  <c r="H154" i="142"/>
  <c r="I154" i="142" s="1"/>
  <c r="G154" i="142"/>
  <c r="C154" i="142"/>
  <c r="O153" i="142"/>
  <c r="G153" i="142"/>
  <c r="C153" i="142"/>
  <c r="H153" i="142" s="1"/>
  <c r="O152" i="142"/>
  <c r="H152" i="142"/>
  <c r="I152" i="142" s="1"/>
  <c r="G152" i="142"/>
  <c r="C152" i="142"/>
  <c r="O151" i="142"/>
  <c r="G151" i="142"/>
  <c r="C151" i="142"/>
  <c r="H151" i="142" s="1"/>
  <c r="O150" i="142"/>
  <c r="G150" i="142"/>
  <c r="C150" i="142"/>
  <c r="H150" i="142" s="1"/>
  <c r="I150" i="142" s="1"/>
  <c r="O149" i="142"/>
  <c r="G149" i="142"/>
  <c r="C149" i="142"/>
  <c r="H149" i="142" s="1"/>
  <c r="O148" i="142"/>
  <c r="G148" i="142"/>
  <c r="C148" i="142"/>
  <c r="H148" i="142" s="1"/>
  <c r="I148" i="142" s="1"/>
  <c r="O147" i="142"/>
  <c r="G147" i="142"/>
  <c r="C147" i="142"/>
  <c r="H147" i="142" s="1"/>
  <c r="O146" i="142"/>
  <c r="G146" i="142"/>
  <c r="C146" i="142"/>
  <c r="H146" i="142" s="1"/>
  <c r="I146" i="142" s="1"/>
  <c r="O145" i="142"/>
  <c r="G145" i="142"/>
  <c r="C145" i="142"/>
  <c r="H145" i="142" s="1"/>
  <c r="O144" i="142"/>
  <c r="G144" i="142"/>
  <c r="C144" i="142"/>
  <c r="H144" i="142" s="1"/>
  <c r="I144" i="142" s="1"/>
  <c r="O143" i="142"/>
  <c r="G143" i="142"/>
  <c r="C143" i="142"/>
  <c r="H143" i="142" s="1"/>
  <c r="O142" i="142"/>
  <c r="H142" i="142"/>
  <c r="I142" i="142" s="1"/>
  <c r="G142" i="142"/>
  <c r="C142" i="142"/>
  <c r="O141" i="142"/>
  <c r="G141" i="142"/>
  <c r="C141" i="142"/>
  <c r="H141" i="142" s="1"/>
  <c r="O140" i="142"/>
  <c r="H140" i="142"/>
  <c r="I140" i="142" s="1"/>
  <c r="G140" i="142"/>
  <c r="C140" i="142"/>
  <c r="O139" i="142"/>
  <c r="G139" i="142"/>
  <c r="C139" i="142"/>
  <c r="H139" i="142" s="1"/>
  <c r="O138" i="142"/>
  <c r="G138" i="142"/>
  <c r="C138" i="142"/>
  <c r="H138" i="142" s="1"/>
  <c r="I138" i="142" s="1"/>
  <c r="O137" i="142"/>
  <c r="G137" i="142"/>
  <c r="C137" i="142"/>
  <c r="H137" i="142" s="1"/>
  <c r="I137" i="142" s="1"/>
  <c r="O136" i="142"/>
  <c r="G136" i="142"/>
  <c r="C136" i="142"/>
  <c r="H136" i="142" s="1"/>
  <c r="I136" i="142" s="1"/>
  <c r="O135" i="142"/>
  <c r="G135" i="142"/>
  <c r="C135" i="142"/>
  <c r="H135" i="142" s="1"/>
  <c r="I135" i="142" s="1"/>
  <c r="O134" i="142"/>
  <c r="G134" i="142"/>
  <c r="C134" i="142"/>
  <c r="H134" i="142" s="1"/>
  <c r="I134" i="142" s="1"/>
  <c r="O133" i="142"/>
  <c r="G133" i="142"/>
  <c r="C133" i="142"/>
  <c r="H133" i="142" s="1"/>
  <c r="O132" i="142"/>
  <c r="G132" i="142"/>
  <c r="C132" i="142"/>
  <c r="H132" i="142" s="1"/>
  <c r="I132" i="142" s="1"/>
  <c r="O131" i="142"/>
  <c r="G131" i="142"/>
  <c r="C131" i="142"/>
  <c r="H131" i="142" s="1"/>
  <c r="I131" i="142" s="1"/>
  <c r="O130" i="142"/>
  <c r="H130" i="142"/>
  <c r="I130" i="142" s="1"/>
  <c r="G130" i="142"/>
  <c r="C130" i="142"/>
  <c r="O129" i="142"/>
  <c r="G129" i="142"/>
  <c r="C129" i="142"/>
  <c r="H129" i="142" s="1"/>
  <c r="O128" i="142"/>
  <c r="I128" i="142"/>
  <c r="H128" i="142"/>
  <c r="G128" i="142"/>
  <c r="C128" i="142"/>
  <c r="O127" i="142"/>
  <c r="I127" i="142"/>
  <c r="G127" i="142"/>
  <c r="C127" i="142"/>
  <c r="H127" i="142" s="1"/>
  <c r="O126" i="142"/>
  <c r="H126" i="142"/>
  <c r="I126" i="142" s="1"/>
  <c r="G126" i="142"/>
  <c r="C126" i="142"/>
  <c r="O125" i="142"/>
  <c r="G125" i="142"/>
  <c r="I125" i="142" s="1"/>
  <c r="C125" i="142"/>
  <c r="H125" i="142" s="1"/>
  <c r="O124" i="142"/>
  <c r="H124" i="142"/>
  <c r="I124" i="142" s="1"/>
  <c r="G124" i="142"/>
  <c r="C124" i="142"/>
  <c r="O123" i="142"/>
  <c r="G123" i="142"/>
  <c r="C123" i="142"/>
  <c r="H123" i="142" s="1"/>
  <c r="O122" i="142"/>
  <c r="G122" i="142"/>
  <c r="C122" i="142"/>
  <c r="H122" i="142" s="1"/>
  <c r="I122" i="142" s="1"/>
  <c r="O121" i="142"/>
  <c r="G121" i="142"/>
  <c r="C121" i="142"/>
  <c r="H121" i="142" s="1"/>
  <c r="I121" i="142" s="1"/>
  <c r="O120" i="142"/>
  <c r="G120" i="142"/>
  <c r="C120" i="142"/>
  <c r="H120" i="142" s="1"/>
  <c r="I120" i="142" s="1"/>
  <c r="O119" i="142"/>
  <c r="G119" i="142"/>
  <c r="C119" i="142"/>
  <c r="H119" i="142" s="1"/>
  <c r="I119" i="142" s="1"/>
  <c r="O118" i="142"/>
  <c r="G118" i="142"/>
  <c r="C118" i="142"/>
  <c r="H118" i="142" s="1"/>
  <c r="I118" i="142" s="1"/>
  <c r="O117" i="142"/>
  <c r="G117" i="142"/>
  <c r="C117" i="142"/>
  <c r="H117" i="142" s="1"/>
  <c r="O116" i="142"/>
  <c r="G116" i="142"/>
  <c r="C116" i="142"/>
  <c r="H116" i="142" s="1"/>
  <c r="I116" i="142" s="1"/>
  <c r="O115" i="142"/>
  <c r="G115" i="142"/>
  <c r="C115" i="142"/>
  <c r="H115" i="142" s="1"/>
  <c r="I115" i="142" s="1"/>
  <c r="O114" i="142"/>
  <c r="H114" i="142"/>
  <c r="I114" i="142" s="1"/>
  <c r="G114" i="142"/>
  <c r="C114" i="142"/>
  <c r="O113" i="142"/>
  <c r="G113" i="142"/>
  <c r="C113" i="142"/>
  <c r="H113" i="142" s="1"/>
  <c r="O112" i="142"/>
  <c r="I112" i="142"/>
  <c r="H112" i="142"/>
  <c r="G112" i="142"/>
  <c r="C112" i="142"/>
  <c r="O111" i="142"/>
  <c r="I111" i="142"/>
  <c r="G111" i="142"/>
  <c r="C111" i="142"/>
  <c r="H111" i="142" s="1"/>
  <c r="O110" i="142"/>
  <c r="H110" i="142"/>
  <c r="I110" i="142" s="1"/>
  <c r="G110" i="142"/>
  <c r="C110" i="142"/>
  <c r="O109" i="142"/>
  <c r="G109" i="142"/>
  <c r="I109" i="142" s="1"/>
  <c r="C109" i="142"/>
  <c r="H109" i="142" s="1"/>
  <c r="O108" i="142"/>
  <c r="H108" i="142"/>
  <c r="I108" i="142" s="1"/>
  <c r="G108" i="142"/>
  <c r="C108" i="142"/>
  <c r="O107" i="142"/>
  <c r="G107" i="142"/>
  <c r="C107" i="142"/>
  <c r="H107" i="142" s="1"/>
  <c r="O106" i="142"/>
  <c r="G106" i="142"/>
  <c r="C106" i="142"/>
  <c r="H106" i="142" s="1"/>
  <c r="I106" i="142" s="1"/>
  <c r="O105" i="142"/>
  <c r="G105" i="142"/>
  <c r="C105" i="142"/>
  <c r="H105" i="142" s="1"/>
  <c r="I105" i="142" s="1"/>
  <c r="O104" i="142"/>
  <c r="G104" i="142"/>
  <c r="C104" i="142"/>
  <c r="H104" i="142" s="1"/>
  <c r="I104" i="142" s="1"/>
  <c r="O103" i="142"/>
  <c r="G103" i="142"/>
  <c r="C103" i="142"/>
  <c r="H103" i="142" s="1"/>
  <c r="I103" i="142" s="1"/>
  <c r="O102" i="142"/>
  <c r="G102" i="142"/>
  <c r="C102" i="142"/>
  <c r="H102" i="142" s="1"/>
  <c r="I102" i="142" s="1"/>
  <c r="O101" i="142"/>
  <c r="G101" i="142"/>
  <c r="C101" i="142"/>
  <c r="H101" i="142" s="1"/>
  <c r="O100" i="142"/>
  <c r="G100" i="142"/>
  <c r="C100" i="142"/>
  <c r="H100" i="142" s="1"/>
  <c r="I100" i="142" s="1"/>
  <c r="O99" i="142"/>
  <c r="G99" i="142"/>
  <c r="C99" i="142"/>
  <c r="H99" i="142" s="1"/>
  <c r="I99" i="142" s="1"/>
  <c r="O98" i="142"/>
  <c r="H98" i="142"/>
  <c r="I98" i="142" s="1"/>
  <c r="G98" i="142"/>
  <c r="C98" i="142"/>
  <c r="O97" i="142"/>
  <c r="G97" i="142"/>
  <c r="C97" i="142"/>
  <c r="H97" i="142" s="1"/>
  <c r="O96" i="142"/>
  <c r="I96" i="142"/>
  <c r="H96" i="142"/>
  <c r="G96" i="142"/>
  <c r="C96" i="142"/>
  <c r="O95" i="142"/>
  <c r="I95" i="142"/>
  <c r="G95" i="142"/>
  <c r="C95" i="142"/>
  <c r="H95" i="142" s="1"/>
  <c r="O94" i="142"/>
  <c r="H94" i="142"/>
  <c r="I94" i="142" s="1"/>
  <c r="G94" i="142"/>
  <c r="C94" i="142"/>
  <c r="O93" i="142"/>
  <c r="G93" i="142"/>
  <c r="I93" i="142" s="1"/>
  <c r="C93" i="142"/>
  <c r="H93" i="142" s="1"/>
  <c r="O92" i="142"/>
  <c r="H92" i="142"/>
  <c r="I92" i="142" s="1"/>
  <c r="G92" i="142"/>
  <c r="C92" i="142"/>
  <c r="O91" i="142"/>
  <c r="G91" i="142"/>
  <c r="C91" i="142"/>
  <c r="H91" i="142" s="1"/>
  <c r="O90" i="142"/>
  <c r="G90" i="142"/>
  <c r="C90" i="142"/>
  <c r="H90" i="142" s="1"/>
  <c r="I90" i="142" s="1"/>
  <c r="O89" i="142"/>
  <c r="G89" i="142"/>
  <c r="C89" i="142"/>
  <c r="H89" i="142" s="1"/>
  <c r="I89" i="142" s="1"/>
  <c r="O88" i="142"/>
  <c r="G88" i="142"/>
  <c r="C88" i="142"/>
  <c r="H88" i="142" s="1"/>
  <c r="I88" i="142" s="1"/>
  <c r="O87" i="142"/>
  <c r="G87" i="142"/>
  <c r="C87" i="142"/>
  <c r="H87" i="142" s="1"/>
  <c r="I87" i="142" s="1"/>
  <c r="O86" i="142"/>
  <c r="G86" i="142"/>
  <c r="C86" i="142"/>
  <c r="H86" i="142" s="1"/>
  <c r="I86" i="142" s="1"/>
  <c r="O85" i="142"/>
  <c r="G85" i="142"/>
  <c r="C85" i="142"/>
  <c r="H85" i="142" s="1"/>
  <c r="O84" i="142"/>
  <c r="G84" i="142"/>
  <c r="C84" i="142"/>
  <c r="H84" i="142" s="1"/>
  <c r="I84" i="142" s="1"/>
  <c r="O83" i="142"/>
  <c r="G83" i="142"/>
  <c r="C83" i="142"/>
  <c r="H83" i="142" s="1"/>
  <c r="I83" i="142" s="1"/>
  <c r="O82" i="142"/>
  <c r="H82" i="142"/>
  <c r="I82" i="142" s="1"/>
  <c r="G82" i="142"/>
  <c r="C82" i="142"/>
  <c r="O81" i="142"/>
  <c r="G81" i="142"/>
  <c r="C81" i="142"/>
  <c r="H81" i="142" s="1"/>
  <c r="O80" i="142"/>
  <c r="I80" i="142"/>
  <c r="H80" i="142"/>
  <c r="G80" i="142"/>
  <c r="C80" i="142"/>
  <c r="O79" i="142"/>
  <c r="I79" i="142"/>
  <c r="G79" i="142"/>
  <c r="C79" i="142"/>
  <c r="H79" i="142" s="1"/>
  <c r="O78" i="142"/>
  <c r="H78" i="142"/>
  <c r="I78" i="142" s="1"/>
  <c r="G78" i="142"/>
  <c r="C78" i="142"/>
  <c r="O77" i="142"/>
  <c r="G77" i="142"/>
  <c r="I77" i="142" s="1"/>
  <c r="C77" i="142"/>
  <c r="H77" i="142" s="1"/>
  <c r="O76" i="142"/>
  <c r="H76" i="142"/>
  <c r="I76" i="142" s="1"/>
  <c r="G76" i="142"/>
  <c r="C76" i="142"/>
  <c r="O75" i="142"/>
  <c r="G75" i="142"/>
  <c r="C75" i="142"/>
  <c r="H75" i="142" s="1"/>
  <c r="O74" i="142"/>
  <c r="G74" i="142"/>
  <c r="C74" i="142"/>
  <c r="H74" i="142" s="1"/>
  <c r="I74" i="142" s="1"/>
  <c r="O73" i="142"/>
  <c r="G73" i="142"/>
  <c r="C73" i="142"/>
  <c r="H73" i="142" s="1"/>
  <c r="I73" i="142" s="1"/>
  <c r="O72" i="142"/>
  <c r="G72" i="142"/>
  <c r="C72" i="142"/>
  <c r="H72" i="142" s="1"/>
  <c r="I72" i="142" s="1"/>
  <c r="O71" i="142"/>
  <c r="G71" i="142"/>
  <c r="C71" i="142"/>
  <c r="H71" i="142" s="1"/>
  <c r="I71" i="142" s="1"/>
  <c r="O70" i="142"/>
  <c r="G70" i="142"/>
  <c r="C70" i="142"/>
  <c r="H70" i="142" s="1"/>
  <c r="I70" i="142" s="1"/>
  <c r="O69" i="142"/>
  <c r="G69" i="142"/>
  <c r="C69" i="142"/>
  <c r="H69" i="142" s="1"/>
  <c r="O68" i="142"/>
  <c r="G68" i="142"/>
  <c r="C68" i="142"/>
  <c r="H68" i="142" s="1"/>
  <c r="I68" i="142" s="1"/>
  <c r="O67" i="142"/>
  <c r="G67" i="142"/>
  <c r="C67" i="142"/>
  <c r="H67" i="142" s="1"/>
  <c r="I67" i="142" s="1"/>
  <c r="O66" i="142"/>
  <c r="H66" i="142"/>
  <c r="I66" i="142" s="1"/>
  <c r="G66" i="142"/>
  <c r="C66" i="142"/>
  <c r="O65" i="142"/>
  <c r="G65" i="142"/>
  <c r="C65" i="142"/>
  <c r="H65" i="142" s="1"/>
  <c r="O64" i="142"/>
  <c r="I64" i="142"/>
  <c r="H64" i="142"/>
  <c r="G64" i="142"/>
  <c r="C64" i="142"/>
  <c r="O63" i="142"/>
  <c r="I63" i="142"/>
  <c r="G63" i="142"/>
  <c r="C63" i="142"/>
  <c r="H63" i="142" s="1"/>
  <c r="O62" i="142"/>
  <c r="H62" i="142"/>
  <c r="I62" i="142" s="1"/>
  <c r="G62" i="142"/>
  <c r="C62" i="142"/>
  <c r="O61" i="142"/>
  <c r="G61" i="142"/>
  <c r="I61" i="142" s="1"/>
  <c r="C61" i="142"/>
  <c r="H61" i="142" s="1"/>
  <c r="O60" i="142"/>
  <c r="H60" i="142"/>
  <c r="I60" i="142" s="1"/>
  <c r="G60" i="142"/>
  <c r="C60" i="142"/>
  <c r="O59" i="142"/>
  <c r="G59" i="142"/>
  <c r="C59" i="142"/>
  <c r="H59" i="142" s="1"/>
  <c r="O58" i="142"/>
  <c r="G58" i="142"/>
  <c r="C58" i="142"/>
  <c r="H58" i="142" s="1"/>
  <c r="I58" i="142" s="1"/>
  <c r="O57" i="142"/>
  <c r="G57" i="142"/>
  <c r="C57" i="142"/>
  <c r="H57" i="142" s="1"/>
  <c r="I57" i="142" s="1"/>
  <c r="O56" i="142"/>
  <c r="G56" i="142"/>
  <c r="C56" i="142"/>
  <c r="H56" i="142" s="1"/>
  <c r="I56" i="142" s="1"/>
  <c r="O55" i="142"/>
  <c r="G55" i="142"/>
  <c r="C55" i="142"/>
  <c r="H55" i="142" s="1"/>
  <c r="I55" i="142" s="1"/>
  <c r="O54" i="142"/>
  <c r="G54" i="142"/>
  <c r="C54" i="142"/>
  <c r="H54" i="142" s="1"/>
  <c r="I54" i="142" s="1"/>
  <c r="O53" i="142"/>
  <c r="G53" i="142"/>
  <c r="C53" i="142"/>
  <c r="H53" i="142" s="1"/>
  <c r="O52" i="142"/>
  <c r="G52" i="142"/>
  <c r="C52" i="142"/>
  <c r="H52" i="142" s="1"/>
  <c r="I52" i="142" s="1"/>
  <c r="O51" i="142"/>
  <c r="G51" i="142"/>
  <c r="C51" i="142"/>
  <c r="H51" i="142" s="1"/>
  <c r="I51" i="142" s="1"/>
  <c r="O50" i="142"/>
  <c r="H50" i="142"/>
  <c r="I50" i="142" s="1"/>
  <c r="G50" i="142"/>
  <c r="C50" i="142"/>
  <c r="O49" i="142"/>
  <c r="G49" i="142"/>
  <c r="C49" i="142"/>
  <c r="H49" i="142" s="1"/>
  <c r="O48" i="142"/>
  <c r="I48" i="142"/>
  <c r="H48" i="142"/>
  <c r="G48" i="142"/>
  <c r="C48" i="142"/>
  <c r="O47" i="142"/>
  <c r="I47" i="142"/>
  <c r="G47" i="142"/>
  <c r="C47" i="142"/>
  <c r="H47" i="142" s="1"/>
  <c r="O46" i="142"/>
  <c r="H46" i="142"/>
  <c r="I46" i="142" s="1"/>
  <c r="G46" i="142"/>
  <c r="C46" i="142"/>
  <c r="O45" i="142"/>
  <c r="G45" i="142"/>
  <c r="I45" i="142" s="1"/>
  <c r="C45" i="142"/>
  <c r="H45" i="142" s="1"/>
  <c r="O44" i="142"/>
  <c r="H44" i="142"/>
  <c r="I44" i="142" s="1"/>
  <c r="G44" i="142"/>
  <c r="C44" i="142"/>
  <c r="O43" i="142"/>
  <c r="G43" i="142"/>
  <c r="C43" i="142"/>
  <c r="H43" i="142" s="1"/>
  <c r="O42" i="142"/>
  <c r="G42" i="142"/>
  <c r="C42" i="142"/>
  <c r="H42" i="142" s="1"/>
  <c r="I42" i="142" s="1"/>
  <c r="O41" i="142"/>
  <c r="G41" i="142"/>
  <c r="C41" i="142"/>
  <c r="H41" i="142" s="1"/>
  <c r="I41" i="142" s="1"/>
  <c r="O40" i="142"/>
  <c r="G40" i="142"/>
  <c r="C40" i="142"/>
  <c r="H40" i="142" s="1"/>
  <c r="I40" i="142" s="1"/>
  <c r="O39" i="142"/>
  <c r="G39" i="142"/>
  <c r="C39" i="142"/>
  <c r="H39" i="142" s="1"/>
  <c r="I39" i="142" s="1"/>
  <c r="O38" i="142"/>
  <c r="G38" i="142"/>
  <c r="C38" i="142"/>
  <c r="H38" i="142" s="1"/>
  <c r="I38" i="142" s="1"/>
  <c r="O37" i="142"/>
  <c r="G37" i="142"/>
  <c r="C37" i="142"/>
  <c r="H37" i="142" s="1"/>
  <c r="O36" i="142"/>
  <c r="G36" i="142"/>
  <c r="C36" i="142"/>
  <c r="H36" i="142" s="1"/>
  <c r="I36" i="142" s="1"/>
  <c r="O35" i="142"/>
  <c r="G35" i="142"/>
  <c r="C35" i="142"/>
  <c r="H35" i="142" s="1"/>
  <c r="I35" i="142" s="1"/>
  <c r="O34" i="142"/>
  <c r="H34" i="142"/>
  <c r="I34" i="142" s="1"/>
  <c r="G34" i="142"/>
  <c r="C34" i="142"/>
  <c r="O33" i="142"/>
  <c r="G33" i="142"/>
  <c r="C33" i="142"/>
  <c r="H33" i="142" s="1"/>
  <c r="O32" i="142"/>
  <c r="I32" i="142"/>
  <c r="H32" i="142"/>
  <c r="G32" i="142"/>
  <c r="C32" i="142"/>
  <c r="O31" i="142"/>
  <c r="I31" i="142"/>
  <c r="G31" i="142"/>
  <c r="C31" i="142"/>
  <c r="H31" i="142" s="1"/>
  <c r="O30" i="142"/>
  <c r="H30" i="142"/>
  <c r="I30" i="142" s="1"/>
  <c r="G30" i="142"/>
  <c r="C30" i="142"/>
  <c r="O29" i="142"/>
  <c r="G29" i="142"/>
  <c r="I29" i="142" s="1"/>
  <c r="C29" i="142"/>
  <c r="H29" i="142" s="1"/>
  <c r="O28" i="142"/>
  <c r="H28" i="142"/>
  <c r="I28" i="142" s="1"/>
  <c r="G28" i="142"/>
  <c r="C28" i="142"/>
  <c r="O27" i="142"/>
  <c r="G27" i="142"/>
  <c r="C27" i="142"/>
  <c r="H27" i="142" s="1"/>
  <c r="O26" i="142"/>
  <c r="G26" i="142"/>
  <c r="C26" i="142"/>
  <c r="H26" i="142" s="1"/>
  <c r="I26" i="142" s="1"/>
  <c r="O25" i="142"/>
  <c r="G25" i="142"/>
  <c r="C25" i="142"/>
  <c r="H25" i="142" s="1"/>
  <c r="I25" i="142" s="1"/>
  <c r="O24" i="142"/>
  <c r="G24" i="142"/>
  <c r="C24" i="142"/>
  <c r="H24" i="142" s="1"/>
  <c r="I24" i="142" s="1"/>
  <c r="O23" i="142"/>
  <c r="G23" i="142"/>
  <c r="C23" i="142"/>
  <c r="H23" i="142" s="1"/>
  <c r="I23" i="142" s="1"/>
  <c r="O22" i="142"/>
  <c r="G22" i="142"/>
  <c r="C22" i="142"/>
  <c r="H22" i="142" s="1"/>
  <c r="I22" i="142" s="1"/>
  <c r="O21" i="142"/>
  <c r="G21" i="142"/>
  <c r="C21" i="142"/>
  <c r="H21" i="142" s="1"/>
  <c r="O20" i="142"/>
  <c r="G20" i="142"/>
  <c r="C20" i="142"/>
  <c r="H20" i="142" s="1"/>
  <c r="I20" i="142" s="1"/>
  <c r="O19" i="142"/>
  <c r="G19" i="142"/>
  <c r="C19" i="142"/>
  <c r="H19" i="142" s="1"/>
  <c r="I19" i="142" s="1"/>
  <c r="O18" i="142"/>
  <c r="H18" i="142"/>
  <c r="I18" i="142" s="1"/>
  <c r="G18" i="142"/>
  <c r="C18" i="142"/>
  <c r="O17" i="142"/>
  <c r="G17" i="142"/>
  <c r="C17" i="142"/>
  <c r="H17" i="142" s="1"/>
  <c r="O16" i="142"/>
  <c r="I16" i="142"/>
  <c r="H16" i="142"/>
  <c r="G16" i="142"/>
  <c r="C16" i="142"/>
  <c r="O15" i="142"/>
  <c r="I15" i="142"/>
  <c r="G15" i="142"/>
  <c r="C15" i="142"/>
  <c r="H15" i="142" s="1"/>
  <c r="O14" i="142"/>
  <c r="H14" i="142"/>
  <c r="I14" i="142" s="1"/>
  <c r="G14" i="142"/>
  <c r="C14" i="142"/>
  <c r="O13" i="142"/>
  <c r="G13" i="142"/>
  <c r="I13" i="142" s="1"/>
  <c r="C13" i="142"/>
  <c r="H13" i="142" s="1"/>
  <c r="O12" i="142"/>
  <c r="H12" i="142"/>
  <c r="I12" i="142" s="1"/>
  <c r="G12" i="142"/>
  <c r="C12" i="142"/>
  <c r="O11" i="142"/>
  <c r="G11" i="142"/>
  <c r="C11" i="142"/>
  <c r="H11" i="142" s="1"/>
  <c r="O10" i="142"/>
  <c r="G10" i="142"/>
  <c r="C10" i="142"/>
  <c r="H10" i="142" s="1"/>
  <c r="O9" i="142"/>
  <c r="G9" i="142"/>
  <c r="C9" i="142"/>
  <c r="H9" i="142" s="1"/>
  <c r="I9" i="142" s="1"/>
  <c r="O8" i="142"/>
  <c r="O7" i="142"/>
  <c r="F7" i="142"/>
  <c r="E7" i="142"/>
  <c r="S5" i="142"/>
  <c r="Z4" i="142"/>
  <c r="AA4" i="142" s="1"/>
  <c r="X4" i="142"/>
  <c r="Y4" i="142" s="1"/>
  <c r="S3" i="142"/>
  <c r="Z2" i="142"/>
  <c r="S2" i="142"/>
  <c r="I21" i="142" l="1"/>
  <c r="I37" i="142"/>
  <c r="I53" i="142"/>
  <c r="I69" i="142"/>
  <c r="I85" i="142"/>
  <c r="I101" i="142"/>
  <c r="I117" i="142"/>
  <c r="I133" i="142"/>
  <c r="I143" i="142"/>
  <c r="I145" i="142"/>
  <c r="I159" i="142"/>
  <c r="I161" i="142"/>
  <c r="I175" i="142"/>
  <c r="I177" i="142"/>
  <c r="I191" i="142"/>
  <c r="I193" i="142"/>
  <c r="I215" i="142"/>
  <c r="I225" i="142"/>
  <c r="I227" i="142"/>
  <c r="I243" i="142"/>
  <c r="I246" i="142"/>
  <c r="I286" i="142"/>
  <c r="I299" i="142"/>
  <c r="I316" i="142"/>
  <c r="I333" i="142"/>
  <c r="I350" i="142"/>
  <c r="I363" i="142"/>
  <c r="I380" i="142"/>
  <c r="I397" i="142"/>
  <c r="I459" i="142"/>
  <c r="I10" i="142"/>
  <c r="A4" i="142"/>
  <c r="B4" i="142" s="1"/>
  <c r="I17" i="142"/>
  <c r="I33" i="142"/>
  <c r="I49" i="142"/>
  <c r="I65" i="142"/>
  <c r="I81" i="142"/>
  <c r="I97" i="142"/>
  <c r="I113" i="142"/>
  <c r="I129" i="142"/>
  <c r="I201" i="142"/>
  <c r="I203" i="142"/>
  <c r="I285" i="142"/>
  <c r="I302" i="142"/>
  <c r="I315" i="142"/>
  <c r="I332" i="142"/>
  <c r="I349" i="142"/>
  <c r="I366" i="142"/>
  <c r="I379" i="142"/>
  <c r="I396" i="142"/>
  <c r="I443" i="142"/>
  <c r="I11" i="142"/>
  <c r="I27" i="142"/>
  <c r="I43" i="142"/>
  <c r="I59" i="142"/>
  <c r="I75" i="142"/>
  <c r="I91" i="142"/>
  <c r="I107" i="142"/>
  <c r="I123" i="142"/>
  <c r="I151" i="142"/>
  <c r="I153" i="142"/>
  <c r="I167" i="142"/>
  <c r="I169" i="142"/>
  <c r="I183" i="142"/>
  <c r="I185" i="142"/>
  <c r="I199" i="142"/>
  <c r="I209" i="142"/>
  <c r="I211" i="142"/>
  <c r="I214" i="142"/>
  <c r="I224" i="142"/>
  <c r="I231" i="142"/>
  <c r="I236" i="142"/>
  <c r="I240" i="142"/>
  <c r="I242" i="142"/>
  <c r="I284" i="142"/>
  <c r="I301" i="142"/>
  <c r="I318" i="142"/>
  <c r="I331" i="142"/>
  <c r="I348" i="142"/>
  <c r="I365" i="142"/>
  <c r="I382" i="142"/>
  <c r="I395" i="142"/>
  <c r="I427" i="142"/>
  <c r="I491" i="142"/>
  <c r="I500" i="142"/>
  <c r="I247" i="142"/>
  <c r="I257" i="142"/>
  <c r="I259" i="142"/>
  <c r="I269" i="142"/>
  <c r="I277" i="142"/>
  <c r="I290" i="142"/>
  <c r="I306" i="142"/>
  <c r="I322" i="142"/>
  <c r="I338" i="142"/>
  <c r="I354" i="142"/>
  <c r="I370" i="142"/>
  <c r="I386" i="142"/>
  <c r="I402" i="142"/>
  <c r="I255" i="142"/>
  <c r="I265" i="142"/>
  <c r="I267" i="142"/>
  <c r="I275" i="142"/>
  <c r="I288" i="142"/>
  <c r="I304" i="142"/>
  <c r="I320" i="142"/>
  <c r="I336" i="142"/>
  <c r="I352" i="142"/>
  <c r="I368" i="142"/>
  <c r="I384" i="142"/>
  <c r="I400" i="142"/>
  <c r="I412" i="142"/>
  <c r="I414" i="142"/>
  <c r="I428" i="142"/>
  <c r="I430" i="142"/>
  <c r="I444" i="142"/>
  <c r="I446" i="142"/>
  <c r="I460" i="142"/>
  <c r="I462" i="142"/>
  <c r="I476" i="142"/>
  <c r="I478" i="142"/>
  <c r="I492" i="142"/>
  <c r="I494" i="142"/>
  <c r="AB4" i="142"/>
  <c r="I139" i="142"/>
  <c r="I147" i="142"/>
  <c r="I155" i="142"/>
  <c r="I163" i="142"/>
  <c r="I171" i="142"/>
  <c r="I179" i="142"/>
  <c r="I187" i="142"/>
  <c r="I195" i="142"/>
  <c r="I141" i="142"/>
  <c r="I149" i="142"/>
  <c r="I157" i="142"/>
  <c r="I165" i="142"/>
  <c r="I173" i="142"/>
  <c r="I181" i="142"/>
  <c r="I189" i="142"/>
  <c r="I197" i="142"/>
  <c r="I205" i="142"/>
  <c r="I213" i="142"/>
  <c r="I221" i="142"/>
  <c r="I229" i="142"/>
  <c r="I237" i="142"/>
  <c r="I245" i="142"/>
  <c r="I253" i="142"/>
  <c r="I261" i="142"/>
  <c r="I287" i="142"/>
  <c r="I295" i="142"/>
  <c r="I303" i="142"/>
  <c r="I311" i="142"/>
  <c r="I319" i="142"/>
  <c r="I327" i="142"/>
  <c r="I335" i="142"/>
  <c r="I343" i="142"/>
  <c r="I351" i="142"/>
  <c r="I359" i="142"/>
  <c r="I367" i="142"/>
  <c r="I375" i="142"/>
  <c r="I383" i="142"/>
  <c r="I391" i="142"/>
  <c r="I399" i="142"/>
  <c r="I281" i="142"/>
  <c r="I289" i="142"/>
  <c r="I297" i="142"/>
  <c r="I305" i="142"/>
  <c r="I313" i="142"/>
  <c r="I321" i="142"/>
  <c r="I329" i="142"/>
  <c r="I337" i="142"/>
  <c r="I345" i="142"/>
  <c r="I353" i="142"/>
  <c r="I361" i="142"/>
  <c r="I369" i="142"/>
  <c r="I377" i="142"/>
  <c r="I385" i="142"/>
  <c r="I393" i="142"/>
  <c r="I401" i="142"/>
  <c r="I410" i="142"/>
  <c r="I418" i="142"/>
  <c r="I426" i="142"/>
  <c r="I434" i="142"/>
  <c r="I442" i="142"/>
  <c r="I450" i="142"/>
  <c r="I458" i="142"/>
  <c r="I466" i="142"/>
  <c r="I474" i="142"/>
  <c r="I482" i="142"/>
  <c r="I490" i="142"/>
  <c r="I498" i="142"/>
  <c r="I408" i="142"/>
  <c r="I416" i="142"/>
  <c r="I424" i="142"/>
  <c r="I432" i="142"/>
  <c r="I440" i="142"/>
  <c r="I448" i="142"/>
  <c r="I456" i="142"/>
  <c r="I464" i="142"/>
  <c r="I472" i="142"/>
  <c r="I480" i="142"/>
  <c r="I488" i="142"/>
  <c r="I496" i="142"/>
  <c r="K5" i="134"/>
  <c r="K6" i="134"/>
  <c r="K7" i="134"/>
  <c r="K8" i="134"/>
  <c r="K9" i="134"/>
  <c r="K10" i="134"/>
  <c r="K11" i="134"/>
  <c r="K12" i="134"/>
  <c r="K13" i="134"/>
  <c r="K14" i="134"/>
  <c r="K15" i="134"/>
  <c r="K16" i="134"/>
  <c r="K17" i="134"/>
  <c r="K18" i="134"/>
  <c r="K19" i="134"/>
  <c r="K20" i="134"/>
  <c r="K21" i="134"/>
  <c r="K22" i="134"/>
  <c r="K23" i="134"/>
  <c r="K24" i="134"/>
  <c r="K25" i="134"/>
  <c r="K26" i="134"/>
  <c r="K27" i="134"/>
  <c r="K28" i="134"/>
  <c r="K29" i="134"/>
  <c r="K30" i="134"/>
  <c r="K31" i="134"/>
  <c r="K32" i="134"/>
  <c r="K33" i="134"/>
  <c r="K34" i="134"/>
  <c r="K35" i="134"/>
  <c r="K36" i="134"/>
  <c r="K37" i="134"/>
  <c r="K38" i="134"/>
  <c r="K39" i="134"/>
  <c r="K40" i="134"/>
  <c r="K41" i="134"/>
  <c r="K42" i="134"/>
  <c r="K43" i="134"/>
  <c r="K44" i="134"/>
  <c r="K45" i="134"/>
  <c r="K46" i="134"/>
  <c r="K47" i="134"/>
  <c r="K48" i="134"/>
  <c r="K49" i="134"/>
  <c r="K50" i="134"/>
  <c r="K51" i="134"/>
  <c r="K52" i="134"/>
  <c r="K53" i="134"/>
  <c r="K54" i="134"/>
  <c r="K55" i="134"/>
  <c r="K56" i="134"/>
  <c r="K57" i="134"/>
  <c r="K58" i="134"/>
  <c r="K59" i="134"/>
  <c r="K60" i="134"/>
  <c r="K61" i="134"/>
  <c r="K62" i="134"/>
  <c r="K63" i="134"/>
  <c r="K64" i="134"/>
  <c r="K65" i="134"/>
  <c r="K66" i="134"/>
  <c r="K67" i="134"/>
  <c r="K68" i="134"/>
  <c r="K69" i="134"/>
  <c r="K70" i="134"/>
  <c r="K71" i="134"/>
  <c r="K72" i="134"/>
  <c r="K73" i="134"/>
  <c r="K74" i="134"/>
  <c r="K75" i="134"/>
  <c r="K76" i="134"/>
  <c r="K77" i="134"/>
  <c r="K78" i="134"/>
  <c r="K79" i="134"/>
  <c r="K80" i="134"/>
  <c r="K81" i="134"/>
  <c r="K82" i="134"/>
  <c r="K83" i="134"/>
  <c r="K84" i="134"/>
  <c r="K85" i="134"/>
  <c r="K86" i="134"/>
  <c r="K87" i="134"/>
  <c r="K88" i="134"/>
  <c r="K89" i="134"/>
  <c r="K4" i="134"/>
  <c r="J5" i="134"/>
  <c r="J6" i="134"/>
  <c r="J7" i="134"/>
  <c r="J8" i="134"/>
  <c r="J9" i="134"/>
  <c r="J10" i="134"/>
  <c r="J11" i="134"/>
  <c r="J12" i="134"/>
  <c r="J13" i="134"/>
  <c r="J14" i="134"/>
  <c r="J15" i="134"/>
  <c r="J16" i="134"/>
  <c r="J17" i="134"/>
  <c r="J18" i="134"/>
  <c r="J19" i="134"/>
  <c r="J20" i="134"/>
  <c r="J21" i="134"/>
  <c r="J22" i="134"/>
  <c r="J23" i="134"/>
  <c r="J24" i="134"/>
  <c r="J25" i="134"/>
  <c r="J26" i="134"/>
  <c r="J27" i="134"/>
  <c r="J28" i="134"/>
  <c r="J29" i="134"/>
  <c r="J30" i="134"/>
  <c r="J31" i="134"/>
  <c r="J32" i="134"/>
  <c r="J33" i="134"/>
  <c r="J34" i="134"/>
  <c r="J35" i="134"/>
  <c r="J36" i="134"/>
  <c r="J37" i="134"/>
  <c r="J38" i="134"/>
  <c r="J39" i="134"/>
  <c r="J40" i="134"/>
  <c r="J41" i="134"/>
  <c r="J42" i="134"/>
  <c r="J43" i="134"/>
  <c r="J44" i="134"/>
  <c r="J45" i="134"/>
  <c r="J46" i="134"/>
  <c r="J47" i="134"/>
  <c r="J48" i="134"/>
  <c r="J49" i="134"/>
  <c r="J50" i="134"/>
  <c r="J51" i="134"/>
  <c r="J52" i="134"/>
  <c r="J53" i="134"/>
  <c r="J54" i="134"/>
  <c r="J55" i="134"/>
  <c r="J56" i="134"/>
  <c r="J57" i="134"/>
  <c r="J58" i="134"/>
  <c r="J59" i="134"/>
  <c r="J60" i="134"/>
  <c r="J61" i="134"/>
  <c r="J62" i="134"/>
  <c r="J63" i="134"/>
  <c r="J64" i="134"/>
  <c r="J65" i="134"/>
  <c r="J66" i="134"/>
  <c r="J67" i="134"/>
  <c r="J68" i="134"/>
  <c r="J69" i="134"/>
  <c r="J70" i="134"/>
  <c r="J71" i="134"/>
  <c r="J72" i="134"/>
  <c r="J73" i="134"/>
  <c r="J74" i="134"/>
  <c r="J75" i="134"/>
  <c r="J76" i="134"/>
  <c r="J77" i="134"/>
  <c r="J78" i="134"/>
  <c r="J79" i="134"/>
  <c r="J80" i="134"/>
  <c r="J81" i="134"/>
  <c r="J82" i="134"/>
  <c r="J83" i="134"/>
  <c r="J84" i="134"/>
  <c r="J85" i="134"/>
  <c r="J86" i="134"/>
  <c r="J87" i="134"/>
  <c r="J88" i="134"/>
  <c r="J89" i="134"/>
  <c r="J4" i="134"/>
  <c r="E1" i="134"/>
  <c r="C1" i="134"/>
  <c r="F3" i="142" l="1"/>
  <c r="I3" i="142" s="1"/>
  <c r="C4" i="142"/>
  <c r="D4" i="142" s="1"/>
  <c r="J117" i="134"/>
  <c r="J101" i="134"/>
  <c r="J113" i="134"/>
  <c r="J97" i="134"/>
  <c r="J109" i="134"/>
  <c r="J93" i="134"/>
  <c r="K93" i="134"/>
  <c r="K97" i="134"/>
  <c r="K101" i="134"/>
  <c r="K105" i="134"/>
  <c r="K109" i="134"/>
  <c r="K113" i="134"/>
  <c r="K117" i="134"/>
  <c r="K90" i="134"/>
  <c r="K94" i="134"/>
  <c r="K98" i="134"/>
  <c r="K102" i="134"/>
  <c r="K106" i="134"/>
  <c r="K110" i="134"/>
  <c r="K114" i="134"/>
  <c r="K118" i="134"/>
  <c r="K91" i="134"/>
  <c r="K95" i="134"/>
  <c r="K99" i="134"/>
  <c r="K103" i="134"/>
  <c r="K107" i="134"/>
  <c r="K111" i="134"/>
  <c r="K115" i="134"/>
  <c r="K119" i="134"/>
  <c r="K104" i="134"/>
  <c r="K92" i="134"/>
  <c r="K108" i="134"/>
  <c r="K96" i="134"/>
  <c r="K112" i="134"/>
  <c r="J90" i="134"/>
  <c r="J94" i="134"/>
  <c r="J98" i="134"/>
  <c r="J102" i="134"/>
  <c r="J106" i="134"/>
  <c r="J110" i="134"/>
  <c r="J114" i="134"/>
  <c r="J118" i="134"/>
  <c r="K100" i="134"/>
  <c r="J91" i="134"/>
  <c r="J95" i="134"/>
  <c r="J99" i="134"/>
  <c r="J103" i="134"/>
  <c r="J107" i="134"/>
  <c r="J111" i="134"/>
  <c r="J115" i="134"/>
  <c r="J119" i="134"/>
  <c r="K116" i="134"/>
  <c r="J92" i="134"/>
  <c r="J96" i="134"/>
  <c r="J100" i="134"/>
  <c r="J104" i="134"/>
  <c r="J108" i="134"/>
  <c r="J112" i="134"/>
  <c r="J116" i="134"/>
  <c r="J105" i="134"/>
  <c r="F11" i="120"/>
  <c r="F12" i="120"/>
  <c r="F13" i="120"/>
  <c r="F14" i="120"/>
  <c r="F15" i="120"/>
  <c r="F16" i="120"/>
  <c r="F9" i="120"/>
  <c r="F10" i="120"/>
  <c r="F8" i="120"/>
  <c r="A6" i="142" l="1"/>
  <c r="B97" i="134"/>
  <c r="B85" i="134"/>
  <c r="B73" i="134"/>
  <c r="B61" i="134"/>
  <c r="B49" i="134"/>
  <c r="B33" i="134"/>
  <c r="B21" i="134"/>
  <c r="B13" i="134"/>
  <c r="C93" i="134"/>
  <c r="C77" i="134"/>
  <c r="C53" i="134"/>
  <c r="C29" i="134"/>
  <c r="C5" i="134"/>
  <c r="D43" i="134"/>
  <c r="B100" i="134"/>
  <c r="B96" i="134"/>
  <c r="B92" i="134"/>
  <c r="B88" i="134"/>
  <c r="B84" i="134"/>
  <c r="B80" i="134"/>
  <c r="B76" i="134"/>
  <c r="B72" i="134"/>
  <c r="B68" i="134"/>
  <c r="B64" i="134"/>
  <c r="B60" i="134"/>
  <c r="B56" i="134"/>
  <c r="B52" i="134"/>
  <c r="B48" i="134"/>
  <c r="B44" i="134"/>
  <c r="B40" i="134"/>
  <c r="B36" i="134"/>
  <c r="B32" i="134"/>
  <c r="B28" i="134"/>
  <c r="B24" i="134"/>
  <c r="B20" i="134"/>
  <c r="B16" i="134"/>
  <c r="B12" i="134"/>
  <c r="B8" i="134"/>
  <c r="B4" i="134"/>
  <c r="C100" i="134"/>
  <c r="C92" i="134"/>
  <c r="C84" i="134"/>
  <c r="C76" i="134"/>
  <c r="C68" i="134"/>
  <c r="C60" i="134"/>
  <c r="C52" i="134"/>
  <c r="C44" i="134"/>
  <c r="C36" i="134"/>
  <c r="C28" i="134"/>
  <c r="C20" i="134"/>
  <c r="C12" i="134"/>
  <c r="D4" i="134"/>
  <c r="D99" i="134"/>
  <c r="D67" i="134"/>
  <c r="D35" i="134"/>
  <c r="D8" i="134"/>
  <c r="D12" i="134"/>
  <c r="D16" i="134"/>
  <c r="D20" i="134"/>
  <c r="D24" i="134"/>
  <c r="D28" i="134"/>
  <c r="D32" i="134"/>
  <c r="D36" i="134"/>
  <c r="D40" i="134"/>
  <c r="D44" i="134"/>
  <c r="D48" i="134"/>
  <c r="D52" i="134"/>
  <c r="D56" i="134"/>
  <c r="D60" i="134"/>
  <c r="D64" i="134"/>
  <c r="D68" i="134"/>
  <c r="D72" i="134"/>
  <c r="D76" i="134"/>
  <c r="D80" i="134"/>
  <c r="D84" i="134"/>
  <c r="D88" i="134"/>
  <c r="D92" i="134"/>
  <c r="D96" i="134"/>
  <c r="D100" i="134"/>
  <c r="D5" i="134"/>
  <c r="D9" i="134"/>
  <c r="D13" i="134"/>
  <c r="D17" i="134"/>
  <c r="D21" i="134"/>
  <c r="D25" i="134"/>
  <c r="D29" i="134"/>
  <c r="D33" i="134"/>
  <c r="D37" i="134"/>
  <c r="D41" i="134"/>
  <c r="D45" i="134"/>
  <c r="D49" i="134"/>
  <c r="D53" i="134"/>
  <c r="D57" i="134"/>
  <c r="D61" i="134"/>
  <c r="D65" i="134"/>
  <c r="D69" i="134"/>
  <c r="D73" i="134"/>
  <c r="D77" i="134"/>
  <c r="D81" i="134"/>
  <c r="D85" i="134"/>
  <c r="D89" i="134"/>
  <c r="D93" i="134"/>
  <c r="D97" i="134"/>
  <c r="D101" i="134"/>
  <c r="D6" i="134"/>
  <c r="D14" i="134"/>
  <c r="D22" i="134"/>
  <c r="D30" i="134"/>
  <c r="D38" i="134"/>
  <c r="D46" i="134"/>
  <c r="D54" i="134"/>
  <c r="D62" i="134"/>
  <c r="D70" i="134"/>
  <c r="D78" i="134"/>
  <c r="D86" i="134"/>
  <c r="D94" i="134"/>
  <c r="C6" i="134"/>
  <c r="C10" i="134"/>
  <c r="C14" i="134"/>
  <c r="C18" i="134"/>
  <c r="C22" i="134"/>
  <c r="C26" i="134"/>
  <c r="C30" i="134"/>
  <c r="C34" i="134"/>
  <c r="C38" i="134"/>
  <c r="C42" i="134"/>
  <c r="C46" i="134"/>
  <c r="C50" i="134"/>
  <c r="C54" i="134"/>
  <c r="C58" i="134"/>
  <c r="C62" i="134"/>
  <c r="C66" i="134"/>
  <c r="C70" i="134"/>
  <c r="C74" i="134"/>
  <c r="C78" i="134"/>
  <c r="C82" i="134"/>
  <c r="C86" i="134"/>
  <c r="C90" i="134"/>
  <c r="C94" i="134"/>
  <c r="C98" i="134"/>
  <c r="D7" i="134"/>
  <c r="D15" i="134"/>
  <c r="D23" i="134"/>
  <c r="D31" i="134"/>
  <c r="D39" i="134"/>
  <c r="D47" i="134"/>
  <c r="D55" i="134"/>
  <c r="D63" i="134"/>
  <c r="D71" i="134"/>
  <c r="D79" i="134"/>
  <c r="D87" i="134"/>
  <c r="D95" i="134"/>
  <c r="C7" i="134"/>
  <c r="C11" i="134"/>
  <c r="C15" i="134"/>
  <c r="C19" i="134"/>
  <c r="C23" i="134"/>
  <c r="C27" i="134"/>
  <c r="C31" i="134"/>
  <c r="C35" i="134"/>
  <c r="C39" i="134"/>
  <c r="C43" i="134"/>
  <c r="C47" i="134"/>
  <c r="C51" i="134"/>
  <c r="C55" i="134"/>
  <c r="C59" i="134"/>
  <c r="C63" i="134"/>
  <c r="C67" i="134"/>
  <c r="C71" i="134"/>
  <c r="C75" i="134"/>
  <c r="C79" i="134"/>
  <c r="C83" i="134"/>
  <c r="C87" i="134"/>
  <c r="C91" i="134"/>
  <c r="C95" i="134"/>
  <c r="C99" i="134"/>
  <c r="D10" i="134"/>
  <c r="D18" i="134"/>
  <c r="D26" i="134"/>
  <c r="D34" i="134"/>
  <c r="D42" i="134"/>
  <c r="D50" i="134"/>
  <c r="D58" i="134"/>
  <c r="D66" i="134"/>
  <c r="D74" i="134"/>
  <c r="D82" i="134"/>
  <c r="D90" i="134"/>
  <c r="D98" i="134"/>
  <c r="B93" i="134"/>
  <c r="B81" i="134"/>
  <c r="B69" i="134"/>
  <c r="B57" i="134"/>
  <c r="B45" i="134"/>
  <c r="B37" i="134"/>
  <c r="B25" i="134"/>
  <c r="B9" i="134"/>
  <c r="C101" i="134"/>
  <c r="C69" i="134"/>
  <c r="C45" i="134"/>
  <c r="C21" i="134"/>
  <c r="D11" i="134"/>
  <c r="B99" i="134"/>
  <c r="B95" i="134"/>
  <c r="B91" i="134"/>
  <c r="B87" i="134"/>
  <c r="B83" i="134"/>
  <c r="B79" i="134"/>
  <c r="B75" i="134"/>
  <c r="B71" i="134"/>
  <c r="B67" i="134"/>
  <c r="B63" i="134"/>
  <c r="B59" i="134"/>
  <c r="B55" i="134"/>
  <c r="B51" i="134"/>
  <c r="B47" i="134"/>
  <c r="B43" i="134"/>
  <c r="B39" i="134"/>
  <c r="B35" i="134"/>
  <c r="B31" i="134"/>
  <c r="B27" i="134"/>
  <c r="B23" i="134"/>
  <c r="B19" i="134"/>
  <c r="B15" i="134"/>
  <c r="B11" i="134"/>
  <c r="B7" i="134"/>
  <c r="C4" i="134"/>
  <c r="C97" i="134"/>
  <c r="C89" i="134"/>
  <c r="C81" i="134"/>
  <c r="C73" i="134"/>
  <c r="C65" i="134"/>
  <c r="C57" i="134"/>
  <c r="C49" i="134"/>
  <c r="C41" i="134"/>
  <c r="C33" i="134"/>
  <c r="C25" i="134"/>
  <c r="C17" i="134"/>
  <c r="C9" i="134"/>
  <c r="D91" i="134"/>
  <c r="D59" i="134"/>
  <c r="D27" i="134"/>
  <c r="B101" i="134"/>
  <c r="B89" i="134"/>
  <c r="B77" i="134"/>
  <c r="B65" i="134"/>
  <c r="B53" i="134"/>
  <c r="B41" i="134"/>
  <c r="B29" i="134"/>
  <c r="B17" i="134"/>
  <c r="B5" i="134"/>
  <c r="C85" i="134"/>
  <c r="C61" i="134"/>
  <c r="C37" i="134"/>
  <c r="C13" i="134"/>
  <c r="D75" i="134"/>
  <c r="B98" i="134"/>
  <c r="B94" i="134"/>
  <c r="B90" i="134"/>
  <c r="B86" i="134"/>
  <c r="B82" i="134"/>
  <c r="B78" i="134"/>
  <c r="B74" i="134"/>
  <c r="B70" i="134"/>
  <c r="B66" i="134"/>
  <c r="B62" i="134"/>
  <c r="B58" i="134"/>
  <c r="B54" i="134"/>
  <c r="B50" i="134"/>
  <c r="B46" i="134"/>
  <c r="B42" i="134"/>
  <c r="B38" i="134"/>
  <c r="B34" i="134"/>
  <c r="B30" i="134"/>
  <c r="B26" i="134"/>
  <c r="B22" i="134"/>
  <c r="B18" i="134"/>
  <c r="B14" i="134"/>
  <c r="B10" i="134"/>
  <c r="B6" i="134"/>
  <c r="C96" i="134"/>
  <c r="C88" i="134"/>
  <c r="C80" i="134"/>
  <c r="C72" i="134"/>
  <c r="C64" i="134"/>
  <c r="C56" i="134"/>
  <c r="C48" i="134"/>
  <c r="C40" i="134"/>
  <c r="C32" i="134"/>
  <c r="C24" i="134"/>
  <c r="C16" i="134"/>
  <c r="C8" i="134"/>
  <c r="D83" i="134"/>
  <c r="D51" i="134"/>
  <c r="D19" i="134"/>
  <c r="J1" i="120"/>
  <c r="B6" i="142" l="1"/>
  <c r="S7" i="142" s="1"/>
  <c r="F4" i="120"/>
  <c r="F5" i="120"/>
  <c r="F6" i="120"/>
  <c r="F7" i="120"/>
  <c r="F3" i="120"/>
  <c r="T7" i="142" l="1"/>
  <c r="U7" i="142" s="1"/>
  <c r="W7" i="142" s="1"/>
  <c r="X7" i="142" s="1"/>
  <c r="Y7" i="142" s="1"/>
  <c r="Z7" i="142" s="1"/>
  <c r="S8" i="142"/>
  <c r="T8" i="142" s="1"/>
  <c r="U8" i="142" s="1"/>
  <c r="W8" i="142" s="1"/>
  <c r="X8" i="142" s="1"/>
  <c r="Y8" i="142" s="1"/>
  <c r="Z8" i="142" s="1"/>
  <c r="S9" i="142" l="1"/>
  <c r="T9" i="142" s="1"/>
  <c r="U9" i="142" s="1"/>
  <c r="W9" i="142" s="1"/>
  <c r="X9" i="142" s="1"/>
  <c r="Y9" i="142" s="1"/>
  <c r="Z9" i="142" s="1"/>
  <c r="S10" i="142"/>
  <c r="S11" i="142" s="1"/>
  <c r="AA7" i="142"/>
  <c r="AB7" i="142" s="1"/>
  <c r="AA8" i="142"/>
  <c r="AB8" i="142" s="1"/>
  <c r="E6" i="134"/>
  <c r="E4" i="134"/>
  <c r="T10" i="142" l="1"/>
  <c r="U10" i="142" s="1"/>
  <c r="W10" i="142" s="1"/>
  <c r="X10" i="142" s="1"/>
  <c r="T11" i="142"/>
  <c r="U11" i="142" s="1"/>
  <c r="W11" i="142" s="1"/>
  <c r="S12" i="142"/>
  <c r="AA9" i="142"/>
  <c r="AB9" i="142" s="1"/>
  <c r="Y10" i="142"/>
  <c r="Z10" i="142" s="1"/>
  <c r="E5" i="134"/>
  <c r="AA10" i="142" l="1"/>
  <c r="AB10" i="142" s="1"/>
  <c r="S13" i="142"/>
  <c r="T12" i="142"/>
  <c r="U12" i="142" s="1"/>
  <c r="W12" i="142" s="1"/>
  <c r="X12" i="142" s="1"/>
  <c r="X11" i="142"/>
  <c r="E7" i="134"/>
  <c r="F5" i="134"/>
  <c r="F4" i="134"/>
  <c r="G4" i="134"/>
  <c r="Y11" i="142" l="1"/>
  <c r="Z11" i="142" s="1"/>
  <c r="Y12" i="142"/>
  <c r="Z12" i="142" s="1"/>
  <c r="T13" i="142"/>
  <c r="U13" i="142" s="1"/>
  <c r="W13" i="142" s="1"/>
  <c r="S14" i="142"/>
  <c r="H4" i="134"/>
  <c r="F7" i="134"/>
  <c r="E8" i="134"/>
  <c r="F6" i="134"/>
  <c r="AA12" i="142" l="1"/>
  <c r="AB12" i="142" s="1"/>
  <c r="T14" i="142"/>
  <c r="U14" i="142" s="1"/>
  <c r="W14" i="142" s="1"/>
  <c r="X14" i="142" s="1"/>
  <c r="S15" i="142"/>
  <c r="AA11" i="142"/>
  <c r="AB11" i="142" s="1"/>
  <c r="X13" i="142"/>
  <c r="H5" i="134"/>
  <c r="G5" i="134"/>
  <c r="E9" i="134"/>
  <c r="H6" i="134"/>
  <c r="F8" i="134"/>
  <c r="H7" i="134"/>
  <c r="G7" i="134"/>
  <c r="T15" i="142" l="1"/>
  <c r="U15" i="142" s="1"/>
  <c r="W15" i="142" s="1"/>
  <c r="X15" i="142" s="1"/>
  <c r="S16" i="142"/>
  <c r="Y13" i="142"/>
  <c r="Z13" i="142" s="1"/>
  <c r="Y14" i="142"/>
  <c r="Z14" i="142" s="1"/>
  <c r="F9" i="134"/>
  <c r="E10" i="134"/>
  <c r="G6" i="134"/>
  <c r="H8" i="134"/>
  <c r="G8" i="134"/>
  <c r="AA14" i="142" l="1"/>
  <c r="AB14" i="142" s="1"/>
  <c r="Y15" i="142"/>
  <c r="Z15" i="142" s="1"/>
  <c r="AA13" i="142"/>
  <c r="AB13" i="142" s="1"/>
  <c r="T16" i="142"/>
  <c r="U16" i="142" s="1"/>
  <c r="W16" i="142" s="1"/>
  <c r="X16" i="142" s="1"/>
  <c r="S17" i="142"/>
  <c r="H9" i="134"/>
  <c r="G9" i="134"/>
  <c r="E11" i="134"/>
  <c r="F10" i="134"/>
  <c r="T17" i="142" l="1"/>
  <c r="U17" i="142" s="1"/>
  <c r="W17" i="142" s="1"/>
  <c r="X17" i="142" s="1"/>
  <c r="S18" i="142"/>
  <c r="AA15" i="142"/>
  <c r="AB15" i="142" s="1"/>
  <c r="Y16" i="142"/>
  <c r="Z16" i="142" s="1"/>
  <c r="H10" i="134"/>
  <c r="G10" i="134"/>
  <c r="F11" i="134"/>
  <c r="E12" i="134"/>
  <c r="AA16" i="142" l="1"/>
  <c r="AB16" i="142" s="1"/>
  <c r="S19" i="142"/>
  <c r="T18" i="142"/>
  <c r="U18" i="142" s="1"/>
  <c r="W18" i="142" s="1"/>
  <c r="X18" i="142" s="1"/>
  <c r="Y17" i="142"/>
  <c r="Z17" i="142" s="1"/>
  <c r="H11" i="134"/>
  <c r="G11" i="134"/>
  <c r="E13" i="134"/>
  <c r="F12" i="134"/>
  <c r="AA17" i="142" l="1"/>
  <c r="AB17" i="142" s="1"/>
  <c r="T19" i="142"/>
  <c r="U19" i="142" s="1"/>
  <c r="W19" i="142" s="1"/>
  <c r="X19" i="142" s="1"/>
  <c r="S20" i="142"/>
  <c r="Y18" i="142"/>
  <c r="Z18" i="142" s="1"/>
  <c r="H12" i="134"/>
  <c r="G12" i="134"/>
  <c r="E14" i="134"/>
  <c r="F13" i="134"/>
  <c r="AA18" i="142" l="1"/>
  <c r="AB18" i="142" s="1"/>
  <c r="Y19" i="142"/>
  <c r="Z19" i="142" s="1"/>
  <c r="S21" i="142"/>
  <c r="T20" i="142"/>
  <c r="U20" i="142" s="1"/>
  <c r="W20" i="142" s="1"/>
  <c r="X20" i="142" s="1"/>
  <c r="H13" i="134"/>
  <c r="G13" i="134"/>
  <c r="F14" i="134"/>
  <c r="E15" i="134"/>
  <c r="Y20" i="142" l="1"/>
  <c r="Z20" i="142" s="1"/>
  <c r="T21" i="142"/>
  <c r="U21" i="142" s="1"/>
  <c r="W21" i="142" s="1"/>
  <c r="X21" i="142" s="1"/>
  <c r="S22" i="142"/>
  <c r="AA19" i="142"/>
  <c r="AB19" i="142" s="1"/>
  <c r="H14" i="134"/>
  <c r="G14" i="134"/>
  <c r="F15" i="134"/>
  <c r="E16" i="134"/>
  <c r="AA20" i="142" l="1"/>
  <c r="AB20" i="142" s="1"/>
  <c r="T22" i="142"/>
  <c r="U22" i="142" s="1"/>
  <c r="W22" i="142" s="1"/>
  <c r="X22" i="142" s="1"/>
  <c r="S23" i="142"/>
  <c r="Y21" i="142"/>
  <c r="Z21" i="142" s="1"/>
  <c r="F16" i="134"/>
  <c r="H15" i="134"/>
  <c r="G15" i="134"/>
  <c r="E17" i="134"/>
  <c r="Y22" i="142" l="1"/>
  <c r="Z22" i="142" s="1"/>
  <c r="AA21" i="142"/>
  <c r="AB21" i="142" s="1"/>
  <c r="T23" i="142"/>
  <c r="U23" i="142" s="1"/>
  <c r="W23" i="142" s="1"/>
  <c r="X23" i="142" s="1"/>
  <c r="S24" i="142"/>
  <c r="H16" i="134"/>
  <c r="G16" i="134"/>
  <c r="F17" i="134"/>
  <c r="E18" i="134"/>
  <c r="T24" i="142" l="1"/>
  <c r="U24" i="142" s="1"/>
  <c r="W24" i="142" s="1"/>
  <c r="X24" i="142" s="1"/>
  <c r="S25" i="142"/>
  <c r="AA22" i="142"/>
  <c r="AB22" i="142" s="1"/>
  <c r="Y23" i="142"/>
  <c r="Z23" i="142" s="1"/>
  <c r="H17" i="134"/>
  <c r="G17" i="134"/>
  <c r="F18" i="134"/>
  <c r="E19" i="134"/>
  <c r="AA23" i="142" l="1"/>
  <c r="AB23" i="142" s="1"/>
  <c r="T25" i="142"/>
  <c r="U25" i="142" s="1"/>
  <c r="W25" i="142" s="1"/>
  <c r="X25" i="142" s="1"/>
  <c r="S26" i="142"/>
  <c r="Y24" i="142"/>
  <c r="Z24" i="142" s="1"/>
  <c r="H18" i="134"/>
  <c r="G18" i="134"/>
  <c r="E20" i="134"/>
  <c r="F19" i="134"/>
  <c r="AA24" i="142" l="1"/>
  <c r="AB24" i="142" s="1"/>
  <c r="Y25" i="142"/>
  <c r="Z25" i="142" s="1"/>
  <c r="T26" i="142"/>
  <c r="U26" i="142" s="1"/>
  <c r="W26" i="142" s="1"/>
  <c r="X26" i="142" s="1"/>
  <c r="S27" i="142"/>
  <c r="H19" i="134"/>
  <c r="G19" i="134"/>
  <c r="E21" i="134"/>
  <c r="F20" i="134"/>
  <c r="AA25" i="142" l="1"/>
  <c r="AB25" i="142" s="1"/>
  <c r="T27" i="142"/>
  <c r="U27" i="142" s="1"/>
  <c r="W27" i="142" s="1"/>
  <c r="X27" i="142" s="1"/>
  <c r="S28" i="142"/>
  <c r="Y26" i="142"/>
  <c r="Z26" i="142" s="1"/>
  <c r="H20" i="134"/>
  <c r="G20" i="134"/>
  <c r="E22" i="134"/>
  <c r="F21" i="134"/>
  <c r="Y27" i="142" l="1"/>
  <c r="Z27" i="142" s="1"/>
  <c r="AA26" i="142"/>
  <c r="AB26" i="142" s="1"/>
  <c r="S29" i="142"/>
  <c r="T28" i="142"/>
  <c r="U28" i="142" s="1"/>
  <c r="W28" i="142" s="1"/>
  <c r="X28" i="142" s="1"/>
  <c r="H21" i="134"/>
  <c r="G21" i="134"/>
  <c r="F22" i="134"/>
  <c r="E23" i="134"/>
  <c r="Y28" i="142" l="1"/>
  <c r="Z28" i="142" s="1"/>
  <c r="AA27" i="142"/>
  <c r="AB27" i="142" s="1"/>
  <c r="T29" i="142"/>
  <c r="U29" i="142" s="1"/>
  <c r="W29" i="142" s="1"/>
  <c r="X29" i="142" s="1"/>
  <c r="S30" i="142"/>
  <c r="H22" i="134"/>
  <c r="G22" i="134"/>
  <c r="F23" i="134"/>
  <c r="E24" i="134"/>
  <c r="AA28" i="142" l="1"/>
  <c r="AB28" i="142" s="1"/>
  <c r="T30" i="142"/>
  <c r="U30" i="142" s="1"/>
  <c r="W30" i="142" s="1"/>
  <c r="X30" i="142" s="1"/>
  <c r="S31" i="142"/>
  <c r="Y29" i="142"/>
  <c r="Z29" i="142" s="1"/>
  <c r="H23" i="134"/>
  <c r="G23" i="134"/>
  <c r="F24" i="134"/>
  <c r="E25" i="134"/>
  <c r="Y30" i="142" l="1"/>
  <c r="Z30" i="142" s="1"/>
  <c r="T31" i="142"/>
  <c r="U31" i="142" s="1"/>
  <c r="W31" i="142" s="1"/>
  <c r="X31" i="142" s="1"/>
  <c r="S32" i="142"/>
  <c r="AA29" i="142"/>
  <c r="AB29" i="142" s="1"/>
  <c r="H24" i="134"/>
  <c r="G24" i="134"/>
  <c r="F25" i="134"/>
  <c r="E26" i="134"/>
  <c r="AA30" i="142" l="1"/>
  <c r="AB30" i="142" s="1"/>
  <c r="Y31" i="142"/>
  <c r="Z31" i="142" s="1"/>
  <c r="T32" i="142"/>
  <c r="U32" i="142" s="1"/>
  <c r="W32" i="142" s="1"/>
  <c r="X32" i="142" s="1"/>
  <c r="S33" i="142"/>
  <c r="E27" i="134"/>
  <c r="H25" i="134"/>
  <c r="G25" i="134"/>
  <c r="F26" i="134"/>
  <c r="AA31" i="142" l="1"/>
  <c r="AB31" i="142" s="1"/>
  <c r="T33" i="142"/>
  <c r="U33" i="142" s="1"/>
  <c r="W33" i="142" s="1"/>
  <c r="X33" i="142" s="1"/>
  <c r="S34" i="142"/>
  <c r="Y32" i="142"/>
  <c r="Z32" i="142" s="1"/>
  <c r="H26" i="134"/>
  <c r="G26" i="134"/>
  <c r="F27" i="134"/>
  <c r="E28" i="134"/>
  <c r="Y33" i="142" l="1"/>
  <c r="Z33" i="142" s="1"/>
  <c r="T34" i="142"/>
  <c r="U34" i="142" s="1"/>
  <c r="W34" i="142" s="1"/>
  <c r="X34" i="142" s="1"/>
  <c r="S35" i="142"/>
  <c r="AA32" i="142"/>
  <c r="AB32" i="142" s="1"/>
  <c r="H27" i="134"/>
  <c r="G27" i="134"/>
  <c r="F28" i="134"/>
  <c r="E29" i="134"/>
  <c r="Y34" i="142" l="1"/>
  <c r="Z34" i="142" s="1"/>
  <c r="AA33" i="142"/>
  <c r="AB33" i="142" s="1"/>
  <c r="T35" i="142"/>
  <c r="U35" i="142" s="1"/>
  <c r="W35" i="142" s="1"/>
  <c r="X35" i="142" s="1"/>
  <c r="S36" i="142"/>
  <c r="H28" i="134"/>
  <c r="G28" i="134"/>
  <c r="F29" i="134"/>
  <c r="E30" i="134"/>
  <c r="S37" i="142" l="1"/>
  <c r="T36" i="142"/>
  <c r="U36" i="142" s="1"/>
  <c r="W36" i="142" s="1"/>
  <c r="X36" i="142" s="1"/>
  <c r="AA34" i="142"/>
  <c r="AB34" i="142" s="1"/>
  <c r="Y35" i="142"/>
  <c r="Z35" i="142" s="1"/>
  <c r="F30" i="134"/>
  <c r="E31" i="134"/>
  <c r="H29" i="134"/>
  <c r="G29" i="134"/>
  <c r="AA35" i="142" l="1"/>
  <c r="AB35" i="142" s="1"/>
  <c r="Y36" i="142"/>
  <c r="Z36" i="142" s="1"/>
  <c r="T37" i="142"/>
  <c r="U37" i="142" s="1"/>
  <c r="W37" i="142" s="1"/>
  <c r="X37" i="142" s="1"/>
  <c r="S38" i="142"/>
  <c r="F31" i="134"/>
  <c r="H30" i="134"/>
  <c r="G30" i="134"/>
  <c r="E32" i="134"/>
  <c r="AA36" i="142" l="1"/>
  <c r="AB36" i="142" s="1"/>
  <c r="S39" i="142"/>
  <c r="T38" i="142"/>
  <c r="U38" i="142" s="1"/>
  <c r="W38" i="142" s="1"/>
  <c r="X38" i="142" s="1"/>
  <c r="Y37" i="142"/>
  <c r="Z37" i="142" s="1"/>
  <c r="H31" i="134"/>
  <c r="G31" i="134"/>
  <c r="F32" i="134"/>
  <c r="E33" i="134"/>
  <c r="AA37" i="142" l="1"/>
  <c r="AB37" i="142" s="1"/>
  <c r="Y38" i="142"/>
  <c r="Z38" i="142" s="1"/>
  <c r="T39" i="142"/>
  <c r="U39" i="142" s="1"/>
  <c r="W39" i="142" s="1"/>
  <c r="X39" i="142" s="1"/>
  <c r="S40" i="142"/>
  <c r="H32" i="134"/>
  <c r="G32" i="134"/>
  <c r="F33" i="134"/>
  <c r="E34" i="134"/>
  <c r="T40" i="142" l="1"/>
  <c r="U40" i="142" s="1"/>
  <c r="W40" i="142" s="1"/>
  <c r="X40" i="142" s="1"/>
  <c r="S41" i="142"/>
  <c r="AA38" i="142"/>
  <c r="AB38" i="142" s="1"/>
  <c r="Y39" i="142"/>
  <c r="Z39" i="142" s="1"/>
  <c r="E35" i="134"/>
  <c r="H33" i="134"/>
  <c r="G33" i="134"/>
  <c r="F34" i="134"/>
  <c r="AA39" i="142" l="1"/>
  <c r="AB39" i="142" s="1"/>
  <c r="T41" i="142"/>
  <c r="U41" i="142" s="1"/>
  <c r="W41" i="142" s="1"/>
  <c r="X41" i="142" s="1"/>
  <c r="S42" i="142"/>
  <c r="Y40" i="142"/>
  <c r="Z40" i="142" s="1"/>
  <c r="H34" i="134"/>
  <c r="G34" i="134"/>
  <c r="F35" i="134"/>
  <c r="E36" i="134"/>
  <c r="AA40" i="142" l="1"/>
  <c r="AB40" i="142" s="1"/>
  <c r="Y41" i="142"/>
  <c r="Z41" i="142" s="1"/>
  <c r="T42" i="142"/>
  <c r="U42" i="142" s="1"/>
  <c r="W42" i="142" s="1"/>
  <c r="X42" i="142" s="1"/>
  <c r="S43" i="142"/>
  <c r="E37" i="134"/>
  <c r="F36" i="134"/>
  <c r="H35" i="134"/>
  <c r="G35" i="134"/>
  <c r="T43" i="142" l="1"/>
  <c r="U43" i="142" s="1"/>
  <c r="W43" i="142" s="1"/>
  <c r="X43" i="142" s="1"/>
  <c r="S44" i="142"/>
  <c r="AA41" i="142"/>
  <c r="AB41" i="142" s="1"/>
  <c r="Y42" i="142"/>
  <c r="Z42" i="142" s="1"/>
  <c r="E38" i="134"/>
  <c r="F37" i="134"/>
  <c r="H36" i="134"/>
  <c r="G36" i="134"/>
  <c r="AA42" i="142" l="1"/>
  <c r="AB42" i="142" s="1"/>
  <c r="S45" i="142"/>
  <c r="T44" i="142"/>
  <c r="U44" i="142" s="1"/>
  <c r="W44" i="142" s="1"/>
  <c r="X44" i="142" s="1"/>
  <c r="Y43" i="142"/>
  <c r="Z43" i="142" s="1"/>
  <c r="E39" i="134"/>
  <c r="F38" i="134"/>
  <c r="H37" i="134"/>
  <c r="G37" i="134"/>
  <c r="T45" i="142" l="1"/>
  <c r="U45" i="142" s="1"/>
  <c r="W45" i="142" s="1"/>
  <c r="X45" i="142" s="1"/>
  <c r="S46" i="142"/>
  <c r="AA43" i="142"/>
  <c r="AB43" i="142" s="1"/>
  <c r="Y44" i="142"/>
  <c r="Z44" i="142" s="1"/>
  <c r="F39" i="134"/>
  <c r="H38" i="134"/>
  <c r="G38" i="134"/>
  <c r="E40" i="134"/>
  <c r="AA44" i="142" l="1"/>
  <c r="AB44" i="142" s="1"/>
  <c r="S47" i="142"/>
  <c r="T46" i="142"/>
  <c r="U46" i="142" s="1"/>
  <c r="W46" i="142" s="1"/>
  <c r="X46" i="142" s="1"/>
  <c r="Y45" i="142"/>
  <c r="Z45" i="142" s="1"/>
  <c r="F40" i="134"/>
  <c r="H39" i="134"/>
  <c r="G39" i="134"/>
  <c r="E41" i="134"/>
  <c r="AA45" i="142" l="1"/>
  <c r="AB45" i="142" s="1"/>
  <c r="Y46" i="142"/>
  <c r="Z46" i="142" s="1"/>
  <c r="T47" i="142"/>
  <c r="U47" i="142" s="1"/>
  <c r="W47" i="142" s="1"/>
  <c r="X47" i="142" s="1"/>
  <c r="S48" i="142"/>
  <c r="H40" i="134"/>
  <c r="G40" i="134"/>
  <c r="F41" i="134"/>
  <c r="E42" i="134"/>
  <c r="AA46" i="142" l="1"/>
  <c r="AB46" i="142" s="1"/>
  <c r="T48" i="142"/>
  <c r="U48" i="142" s="1"/>
  <c r="W48" i="142" s="1"/>
  <c r="X48" i="142" s="1"/>
  <c r="S49" i="142"/>
  <c r="Y47" i="142"/>
  <c r="Z47" i="142" s="1"/>
  <c r="F42" i="134"/>
  <c r="E43" i="134"/>
  <c r="H41" i="134"/>
  <c r="G41" i="134"/>
  <c r="AA47" i="142" l="1"/>
  <c r="AB47" i="142" s="1"/>
  <c r="T49" i="142"/>
  <c r="U49" i="142" s="1"/>
  <c r="W49" i="142" s="1"/>
  <c r="X49" i="142" s="1"/>
  <c r="S50" i="142"/>
  <c r="Y48" i="142"/>
  <c r="Z48" i="142" s="1"/>
  <c r="E44" i="134"/>
  <c r="H42" i="134"/>
  <c r="G42" i="134"/>
  <c r="F43" i="134"/>
  <c r="AA48" i="142" l="1"/>
  <c r="AB48" i="142" s="1"/>
  <c r="S51" i="142"/>
  <c r="T50" i="142"/>
  <c r="U50" i="142" s="1"/>
  <c r="W50" i="142" s="1"/>
  <c r="X50" i="142" s="1"/>
  <c r="Y49" i="142"/>
  <c r="Z49" i="142" s="1"/>
  <c r="F44" i="134"/>
  <c r="H43" i="134"/>
  <c r="G43" i="134"/>
  <c r="E45" i="134"/>
  <c r="Y50" i="142" l="1"/>
  <c r="Z50" i="142" s="1"/>
  <c r="T51" i="142"/>
  <c r="U51" i="142" s="1"/>
  <c r="W51" i="142" s="1"/>
  <c r="X51" i="142" s="1"/>
  <c r="S52" i="142"/>
  <c r="AA49" i="142"/>
  <c r="AB49" i="142" s="1"/>
  <c r="H44" i="134"/>
  <c r="G44" i="134"/>
  <c r="F45" i="134"/>
  <c r="E46" i="134"/>
  <c r="AA50" i="142" l="1"/>
  <c r="AB50" i="142" s="1"/>
  <c r="S53" i="142"/>
  <c r="T52" i="142"/>
  <c r="U52" i="142" s="1"/>
  <c r="W52" i="142" s="1"/>
  <c r="X52" i="142" s="1"/>
  <c r="Y51" i="142"/>
  <c r="Z51" i="142" s="1"/>
  <c r="E47" i="134"/>
  <c r="H45" i="134"/>
  <c r="G45" i="134"/>
  <c r="F46" i="134"/>
  <c r="T53" i="142" l="1"/>
  <c r="U53" i="142" s="1"/>
  <c r="W53" i="142" s="1"/>
  <c r="X53" i="142" s="1"/>
  <c r="S54" i="142"/>
  <c r="Y52" i="142"/>
  <c r="Z52" i="142" s="1"/>
  <c r="AA51" i="142"/>
  <c r="AB51" i="142" s="1"/>
  <c r="H46" i="134"/>
  <c r="G46" i="134"/>
  <c r="F47" i="134"/>
  <c r="E48" i="134"/>
  <c r="AA52" i="142" l="1"/>
  <c r="AB52" i="142" s="1"/>
  <c r="T54" i="142"/>
  <c r="U54" i="142" s="1"/>
  <c r="W54" i="142" s="1"/>
  <c r="X54" i="142" s="1"/>
  <c r="S55" i="142"/>
  <c r="Y53" i="142"/>
  <c r="Z53" i="142" s="1"/>
  <c r="F48" i="134"/>
  <c r="E49" i="134"/>
  <c r="H47" i="134"/>
  <c r="G47" i="134"/>
  <c r="AA53" i="142" l="1"/>
  <c r="AB53" i="142" s="1"/>
  <c r="Y54" i="142"/>
  <c r="Z54" i="142" s="1"/>
  <c r="T55" i="142"/>
  <c r="U55" i="142" s="1"/>
  <c r="W55" i="142" s="1"/>
  <c r="X55" i="142" s="1"/>
  <c r="S56" i="142"/>
  <c r="E50" i="134"/>
  <c r="H48" i="134"/>
  <c r="G48" i="134"/>
  <c r="F49" i="134"/>
  <c r="AA54" i="142" l="1"/>
  <c r="AB54" i="142" s="1"/>
  <c r="T56" i="142"/>
  <c r="U56" i="142" s="1"/>
  <c r="W56" i="142" s="1"/>
  <c r="X56" i="142" s="1"/>
  <c r="S57" i="142"/>
  <c r="Y55" i="142"/>
  <c r="Z55" i="142" s="1"/>
  <c r="F50" i="134"/>
  <c r="H49" i="134"/>
  <c r="G49" i="134"/>
  <c r="E51" i="134"/>
  <c r="Y56" i="142" l="1"/>
  <c r="Z56" i="142" s="1"/>
  <c r="AA55" i="142"/>
  <c r="AB55" i="142" s="1"/>
  <c r="T57" i="142"/>
  <c r="U57" i="142" s="1"/>
  <c r="W57" i="142" s="1"/>
  <c r="X57" i="142" s="1"/>
  <c r="S58" i="142"/>
  <c r="F51" i="134"/>
  <c r="H50" i="134"/>
  <c r="G50" i="134"/>
  <c r="E52" i="134"/>
  <c r="AA56" i="142" l="1"/>
  <c r="AB56" i="142" s="1"/>
  <c r="T58" i="142"/>
  <c r="U58" i="142" s="1"/>
  <c r="W58" i="142" s="1"/>
  <c r="X58" i="142" s="1"/>
  <c r="S59" i="142"/>
  <c r="Y57" i="142"/>
  <c r="Z57" i="142" s="1"/>
  <c r="E53" i="134"/>
  <c r="H51" i="134"/>
  <c r="G51" i="134"/>
  <c r="F52" i="134"/>
  <c r="AA57" i="142" l="1"/>
  <c r="AB57" i="142" s="1"/>
  <c r="Y58" i="142"/>
  <c r="Z58" i="142" s="1"/>
  <c r="T59" i="142"/>
  <c r="U59" i="142" s="1"/>
  <c r="W59" i="142" s="1"/>
  <c r="X59" i="142" s="1"/>
  <c r="S60" i="142"/>
  <c r="F53" i="134"/>
  <c r="H52" i="134"/>
  <c r="G52" i="134"/>
  <c r="E54" i="134"/>
  <c r="AA58" i="142" l="1"/>
  <c r="AB58" i="142" s="1"/>
  <c r="S61" i="142"/>
  <c r="T60" i="142"/>
  <c r="U60" i="142" s="1"/>
  <c r="W60" i="142" s="1"/>
  <c r="X60" i="142" s="1"/>
  <c r="Y59" i="142"/>
  <c r="Z59" i="142" s="1"/>
  <c r="F54" i="134"/>
  <c r="H53" i="134"/>
  <c r="G53" i="134"/>
  <c r="E55" i="134"/>
  <c r="T61" i="142" l="1"/>
  <c r="U61" i="142" s="1"/>
  <c r="W61" i="142" s="1"/>
  <c r="X61" i="142" s="1"/>
  <c r="S62" i="142"/>
  <c r="AA59" i="142"/>
  <c r="AB59" i="142" s="1"/>
  <c r="Y60" i="142"/>
  <c r="Z60" i="142" s="1"/>
  <c r="H54" i="134"/>
  <c r="G54" i="134"/>
  <c r="F55" i="134"/>
  <c r="E56" i="134"/>
  <c r="AA60" i="142" l="1"/>
  <c r="AB60" i="142" s="1"/>
  <c r="T62" i="142"/>
  <c r="U62" i="142" s="1"/>
  <c r="W62" i="142" s="1"/>
  <c r="X62" i="142" s="1"/>
  <c r="S63" i="142"/>
  <c r="Y61" i="142"/>
  <c r="Z61" i="142" s="1"/>
  <c r="E57" i="134"/>
  <c r="H55" i="134"/>
  <c r="G55" i="134"/>
  <c r="F56" i="134"/>
  <c r="Y62" i="142" l="1"/>
  <c r="Z62" i="142" s="1"/>
  <c r="AA61" i="142"/>
  <c r="AB61" i="142" s="1"/>
  <c r="T63" i="142"/>
  <c r="U63" i="142" s="1"/>
  <c r="W63" i="142" s="1"/>
  <c r="X63" i="142" s="1"/>
  <c r="S64" i="142"/>
  <c r="H56" i="134"/>
  <c r="G56" i="134"/>
  <c r="F57" i="134"/>
  <c r="E58" i="134"/>
  <c r="AA62" i="142" l="1"/>
  <c r="AB62" i="142" s="1"/>
  <c r="T64" i="142"/>
  <c r="U64" i="142" s="1"/>
  <c r="W64" i="142" s="1"/>
  <c r="X64" i="142" s="1"/>
  <c r="S65" i="142"/>
  <c r="Y63" i="142"/>
  <c r="Z63" i="142" s="1"/>
  <c r="F58" i="134"/>
  <c r="E59" i="134"/>
  <c r="H57" i="134"/>
  <c r="G57" i="134"/>
  <c r="AA63" i="142" l="1"/>
  <c r="AB63" i="142" s="1"/>
  <c r="T65" i="142"/>
  <c r="U65" i="142" s="1"/>
  <c r="W65" i="142" s="1"/>
  <c r="X65" i="142" s="1"/>
  <c r="S66" i="142"/>
  <c r="Y64" i="142"/>
  <c r="Z64" i="142" s="1"/>
  <c r="E60" i="134"/>
  <c r="H58" i="134"/>
  <c r="G58" i="134"/>
  <c r="F59" i="134"/>
  <c r="AA64" i="142" l="1"/>
  <c r="AB64" i="142" s="1"/>
  <c r="Y65" i="142"/>
  <c r="Z65" i="142" s="1"/>
  <c r="T66" i="142"/>
  <c r="U66" i="142" s="1"/>
  <c r="W66" i="142" s="1"/>
  <c r="X66" i="142" s="1"/>
  <c r="S67" i="142"/>
  <c r="F60" i="134"/>
  <c r="H59" i="134"/>
  <c r="G59" i="134"/>
  <c r="E61" i="134"/>
  <c r="AA65" i="142" l="1"/>
  <c r="AB65" i="142" s="1"/>
  <c r="T67" i="142"/>
  <c r="U67" i="142" s="1"/>
  <c r="W67" i="142" s="1"/>
  <c r="X67" i="142" s="1"/>
  <c r="S68" i="142"/>
  <c r="Y66" i="142"/>
  <c r="Z66" i="142" s="1"/>
  <c r="H60" i="134"/>
  <c r="G60" i="134"/>
  <c r="F61" i="134"/>
  <c r="E62" i="134"/>
  <c r="AA66" i="142" l="1"/>
  <c r="AB66" i="142" s="1"/>
  <c r="S69" i="142"/>
  <c r="T68" i="142"/>
  <c r="U68" i="142" s="1"/>
  <c r="W68" i="142" s="1"/>
  <c r="X68" i="142" s="1"/>
  <c r="Y67" i="142"/>
  <c r="Z67" i="142" s="1"/>
  <c r="F62" i="134"/>
  <c r="E63" i="134"/>
  <c r="H61" i="134"/>
  <c r="G61" i="134"/>
  <c r="Y68" i="142" l="1"/>
  <c r="Z68" i="142" s="1"/>
  <c r="T69" i="142"/>
  <c r="U69" i="142" s="1"/>
  <c r="W69" i="142" s="1"/>
  <c r="X69" i="142" s="1"/>
  <c r="S70" i="142"/>
  <c r="AA67" i="142"/>
  <c r="AB67" i="142" s="1"/>
  <c r="F63" i="134"/>
  <c r="H62" i="134"/>
  <c r="G62" i="134"/>
  <c r="E64" i="134"/>
  <c r="AA68" i="142" l="1"/>
  <c r="AB68" i="142" s="1"/>
  <c r="Y69" i="142"/>
  <c r="Z69" i="142" s="1"/>
  <c r="S71" i="142"/>
  <c r="T70" i="142"/>
  <c r="U70" i="142" s="1"/>
  <c r="W70" i="142" s="1"/>
  <c r="X70" i="142" s="1"/>
  <c r="F64" i="134"/>
  <c r="H63" i="134"/>
  <c r="G63" i="134"/>
  <c r="E65" i="134"/>
  <c r="Y70" i="142" l="1"/>
  <c r="Z70" i="142" s="1"/>
  <c r="AA69" i="142"/>
  <c r="AB69" i="142" s="1"/>
  <c r="T71" i="142"/>
  <c r="U71" i="142" s="1"/>
  <c r="W71" i="142" s="1"/>
  <c r="X71" i="142" s="1"/>
  <c r="S72" i="142"/>
  <c r="H64" i="134"/>
  <c r="G64" i="134"/>
  <c r="F65" i="134"/>
  <c r="E66" i="134"/>
  <c r="AA70" i="142" l="1"/>
  <c r="AB70" i="142" s="1"/>
  <c r="T72" i="142"/>
  <c r="U72" i="142" s="1"/>
  <c r="W72" i="142" s="1"/>
  <c r="X72" i="142" s="1"/>
  <c r="S73" i="142"/>
  <c r="Y71" i="142"/>
  <c r="Z71" i="142" s="1"/>
  <c r="F66" i="134"/>
  <c r="E67" i="134"/>
  <c r="H65" i="134"/>
  <c r="G65" i="134"/>
  <c r="T73" i="142" l="1"/>
  <c r="U73" i="142" s="1"/>
  <c r="W73" i="142" s="1"/>
  <c r="X73" i="142" s="1"/>
  <c r="S74" i="142"/>
  <c r="Y72" i="142"/>
  <c r="Z72" i="142" s="1"/>
  <c r="AA71" i="142"/>
  <c r="AB71" i="142" s="1"/>
  <c r="E68" i="134"/>
  <c r="H66" i="134"/>
  <c r="G66" i="134"/>
  <c r="F67" i="134"/>
  <c r="AA72" i="142" l="1"/>
  <c r="AB72" i="142" s="1"/>
  <c r="S75" i="142"/>
  <c r="T74" i="142"/>
  <c r="U74" i="142" s="1"/>
  <c r="W74" i="142" s="1"/>
  <c r="X74" i="142" s="1"/>
  <c r="Y73" i="142"/>
  <c r="Z73" i="142" s="1"/>
  <c r="F68" i="134"/>
  <c r="H67" i="134"/>
  <c r="G67" i="134"/>
  <c r="E69" i="134"/>
  <c r="AA73" i="142" l="1"/>
  <c r="AB73" i="142" s="1"/>
  <c r="Y74" i="142"/>
  <c r="Z74" i="142" s="1"/>
  <c r="T75" i="142"/>
  <c r="U75" i="142" s="1"/>
  <c r="W75" i="142" s="1"/>
  <c r="X75" i="142" s="1"/>
  <c r="S76" i="142"/>
  <c r="H68" i="134"/>
  <c r="G68" i="134"/>
  <c r="F69" i="134"/>
  <c r="E70" i="134"/>
  <c r="AA74" i="142" l="1"/>
  <c r="AB74" i="142" s="1"/>
  <c r="S77" i="142"/>
  <c r="T76" i="142"/>
  <c r="U76" i="142" s="1"/>
  <c r="W76" i="142" s="1"/>
  <c r="X76" i="142" s="1"/>
  <c r="Y75" i="142"/>
  <c r="Z75" i="142" s="1"/>
  <c r="E71" i="134"/>
  <c r="H69" i="134"/>
  <c r="G69" i="134"/>
  <c r="F70" i="134"/>
  <c r="T77" i="142" l="1"/>
  <c r="U77" i="142" s="1"/>
  <c r="W77" i="142" s="1"/>
  <c r="X77" i="142" s="1"/>
  <c r="S78" i="142"/>
  <c r="AA75" i="142"/>
  <c r="AB75" i="142" s="1"/>
  <c r="Y76" i="142"/>
  <c r="Z76" i="142" s="1"/>
  <c r="H70" i="134"/>
  <c r="G70" i="134"/>
  <c r="F71" i="134"/>
  <c r="E72" i="134"/>
  <c r="AA76" i="142" l="1"/>
  <c r="AB76" i="142" s="1"/>
  <c r="S79" i="142"/>
  <c r="T78" i="142"/>
  <c r="U78" i="142" s="1"/>
  <c r="W78" i="142" s="1"/>
  <c r="X78" i="142" s="1"/>
  <c r="Y77" i="142"/>
  <c r="Z77" i="142" s="1"/>
  <c r="F72" i="134"/>
  <c r="E73" i="134"/>
  <c r="H71" i="134"/>
  <c r="G71" i="134"/>
  <c r="Y78" i="142" l="1"/>
  <c r="Z78" i="142" s="1"/>
  <c r="T79" i="142"/>
  <c r="U79" i="142" s="1"/>
  <c r="W79" i="142" s="1"/>
  <c r="X79" i="142" s="1"/>
  <c r="S80" i="142"/>
  <c r="AA77" i="142"/>
  <c r="AB77" i="142" s="1"/>
  <c r="E74" i="134"/>
  <c r="H72" i="134"/>
  <c r="G72" i="134"/>
  <c r="F73" i="134"/>
  <c r="AA78" i="142" l="1"/>
  <c r="AB78" i="142" s="1"/>
  <c r="Y79" i="142"/>
  <c r="Z79" i="142" s="1"/>
  <c r="T80" i="142"/>
  <c r="U80" i="142" s="1"/>
  <c r="W80" i="142" s="1"/>
  <c r="X80" i="142" s="1"/>
  <c r="S81" i="142"/>
  <c r="E75" i="134"/>
  <c r="H73" i="134"/>
  <c r="G73" i="134"/>
  <c r="F74" i="134"/>
  <c r="AA79" i="142" l="1"/>
  <c r="AB79" i="142" s="1"/>
  <c r="T81" i="142"/>
  <c r="U81" i="142" s="1"/>
  <c r="W81" i="142" s="1"/>
  <c r="X81" i="142" s="1"/>
  <c r="S82" i="142"/>
  <c r="Y80" i="142"/>
  <c r="Z80" i="142" s="1"/>
  <c r="F75" i="134"/>
  <c r="E76" i="134"/>
  <c r="H74" i="134"/>
  <c r="G74" i="134"/>
  <c r="AA80" i="142" l="1"/>
  <c r="AB80" i="142" s="1"/>
  <c r="Y81" i="142"/>
  <c r="Z81" i="142" s="1"/>
  <c r="S83" i="142"/>
  <c r="T82" i="142"/>
  <c r="U82" i="142" s="1"/>
  <c r="W82" i="142" s="1"/>
  <c r="X82" i="142" s="1"/>
  <c r="E77" i="134"/>
  <c r="F76" i="134"/>
  <c r="H75" i="134"/>
  <c r="G75" i="134"/>
  <c r="Y82" i="142" l="1"/>
  <c r="Z82" i="142" s="1"/>
  <c r="AA81" i="142"/>
  <c r="AB81" i="142" s="1"/>
  <c r="T83" i="142"/>
  <c r="U83" i="142" s="1"/>
  <c r="W83" i="142" s="1"/>
  <c r="X83" i="142" s="1"/>
  <c r="S84" i="142"/>
  <c r="F77" i="134"/>
  <c r="E78" i="134"/>
  <c r="H76" i="134"/>
  <c r="G76" i="134"/>
  <c r="S85" i="142" l="1"/>
  <c r="T84" i="142"/>
  <c r="U84" i="142" s="1"/>
  <c r="W84" i="142" s="1"/>
  <c r="X84" i="142" s="1"/>
  <c r="AA82" i="142"/>
  <c r="AB82" i="142" s="1"/>
  <c r="Y83" i="142"/>
  <c r="Z83" i="142" s="1"/>
  <c r="E79" i="134"/>
  <c r="F78" i="134"/>
  <c r="H77" i="134"/>
  <c r="G77" i="134"/>
  <c r="AA83" i="142" l="1"/>
  <c r="AB83" i="142" s="1"/>
  <c r="Y84" i="142"/>
  <c r="Z84" i="142" s="1"/>
  <c r="T85" i="142"/>
  <c r="U85" i="142" s="1"/>
  <c r="W85" i="142" s="1"/>
  <c r="X85" i="142" s="1"/>
  <c r="S86" i="142"/>
  <c r="E80" i="134"/>
  <c r="F79" i="134"/>
  <c r="H78" i="134"/>
  <c r="G78" i="134"/>
  <c r="AA84" i="142" l="1"/>
  <c r="AB84" i="142" s="1"/>
  <c r="T86" i="142"/>
  <c r="U86" i="142" s="1"/>
  <c r="W86" i="142" s="1"/>
  <c r="X86" i="142" s="1"/>
  <c r="S87" i="142"/>
  <c r="Y85" i="142"/>
  <c r="Z85" i="142" s="1"/>
  <c r="E81" i="134"/>
  <c r="F80" i="134"/>
  <c r="H79" i="134"/>
  <c r="G79" i="134"/>
  <c r="AA85" i="142" l="1"/>
  <c r="AB85" i="142" s="1"/>
  <c r="Y86" i="142"/>
  <c r="Z86" i="142" s="1"/>
  <c r="T87" i="142"/>
  <c r="U87" i="142" s="1"/>
  <c r="W87" i="142" s="1"/>
  <c r="X87" i="142" s="1"/>
  <c r="S88" i="142"/>
  <c r="E82" i="134"/>
  <c r="F81" i="134"/>
  <c r="H80" i="134"/>
  <c r="G80" i="134"/>
  <c r="AA86" i="142" l="1"/>
  <c r="AB86" i="142" s="1"/>
  <c r="T88" i="142"/>
  <c r="U88" i="142" s="1"/>
  <c r="W88" i="142" s="1"/>
  <c r="X88" i="142" s="1"/>
  <c r="S89" i="142"/>
  <c r="Y87" i="142"/>
  <c r="Z87" i="142" s="1"/>
  <c r="E83" i="134"/>
  <c r="H81" i="134"/>
  <c r="G81" i="134"/>
  <c r="F82" i="134"/>
  <c r="T89" i="142" l="1"/>
  <c r="U89" i="142" s="1"/>
  <c r="W89" i="142" s="1"/>
  <c r="X89" i="142" s="1"/>
  <c r="S90" i="142"/>
  <c r="Y88" i="142"/>
  <c r="Z88" i="142" s="1"/>
  <c r="AA87" i="142"/>
  <c r="AB87" i="142" s="1"/>
  <c r="H82" i="134"/>
  <c r="G82" i="134"/>
  <c r="F83" i="134"/>
  <c r="E84" i="134"/>
  <c r="AA88" i="142" l="1"/>
  <c r="AB88" i="142" s="1"/>
  <c r="T90" i="142"/>
  <c r="U90" i="142" s="1"/>
  <c r="W90" i="142" s="1"/>
  <c r="X90" i="142" s="1"/>
  <c r="S91" i="142"/>
  <c r="Y89" i="142"/>
  <c r="Z89" i="142" s="1"/>
  <c r="F84" i="134"/>
  <c r="E85" i="134"/>
  <c r="H83" i="134"/>
  <c r="G83" i="134"/>
  <c r="Y90" i="142" l="1"/>
  <c r="Z90" i="142" s="1"/>
  <c r="AA89" i="142"/>
  <c r="AB89" i="142" s="1"/>
  <c r="T91" i="142"/>
  <c r="U91" i="142" s="1"/>
  <c r="W91" i="142" s="1"/>
  <c r="X91" i="142" s="1"/>
  <c r="S92" i="142"/>
  <c r="E86" i="134"/>
  <c r="H84" i="134"/>
  <c r="G84" i="134"/>
  <c r="F85" i="134"/>
  <c r="S93" i="142" l="1"/>
  <c r="T92" i="142"/>
  <c r="U92" i="142" s="1"/>
  <c r="W92" i="142" s="1"/>
  <c r="X92" i="142" s="1"/>
  <c r="AA90" i="142"/>
  <c r="AB90" i="142" s="1"/>
  <c r="Y91" i="142"/>
  <c r="Z91" i="142" s="1"/>
  <c r="E87" i="134"/>
  <c r="F86" i="134"/>
  <c r="H85" i="134"/>
  <c r="G85" i="134"/>
  <c r="AA91" i="142" l="1"/>
  <c r="AB91" i="142" s="1"/>
  <c r="Y92" i="142"/>
  <c r="Z92" i="142" s="1"/>
  <c r="T93" i="142"/>
  <c r="U93" i="142" s="1"/>
  <c r="W93" i="142" s="1"/>
  <c r="X93" i="142" s="1"/>
  <c r="S94" i="142"/>
  <c r="F87" i="134"/>
  <c r="H86" i="134"/>
  <c r="G86" i="134"/>
  <c r="E88" i="134"/>
  <c r="AA92" i="142" l="1"/>
  <c r="AB92" i="142" s="1"/>
  <c r="T94" i="142"/>
  <c r="U94" i="142" s="1"/>
  <c r="W94" i="142" s="1"/>
  <c r="X94" i="142" s="1"/>
  <c r="S95" i="142"/>
  <c r="Y93" i="142"/>
  <c r="Z93" i="142" s="1"/>
  <c r="F88" i="134"/>
  <c r="H87" i="134"/>
  <c r="G87" i="134"/>
  <c r="E89" i="134"/>
  <c r="Y94" i="142" l="1"/>
  <c r="Z94" i="142" s="1"/>
  <c r="T95" i="142"/>
  <c r="U95" i="142" s="1"/>
  <c r="W95" i="142" s="1"/>
  <c r="X95" i="142" s="1"/>
  <c r="S96" i="142"/>
  <c r="AA93" i="142"/>
  <c r="AB93" i="142" s="1"/>
  <c r="H88" i="134"/>
  <c r="G88" i="134"/>
  <c r="F89" i="134"/>
  <c r="E90" i="134"/>
  <c r="AA94" i="142" l="1"/>
  <c r="AB94" i="142" s="1"/>
  <c r="Y95" i="142"/>
  <c r="Z95" i="142" s="1"/>
  <c r="T96" i="142"/>
  <c r="U96" i="142" s="1"/>
  <c r="W96" i="142" s="1"/>
  <c r="X96" i="142" s="1"/>
  <c r="S97" i="142"/>
  <c r="E91" i="134"/>
  <c r="H89" i="134"/>
  <c r="G89" i="134"/>
  <c r="F90" i="134"/>
  <c r="AA95" i="142" l="1"/>
  <c r="AB95" i="142" s="1"/>
  <c r="T97" i="142"/>
  <c r="U97" i="142" s="1"/>
  <c r="W97" i="142" s="1"/>
  <c r="X97" i="142" s="1"/>
  <c r="S98" i="142"/>
  <c r="Y96" i="142"/>
  <c r="Z96" i="142" s="1"/>
  <c r="F91" i="134"/>
  <c r="H90" i="134"/>
  <c r="G90" i="134"/>
  <c r="E92" i="134"/>
  <c r="AA96" i="142" l="1"/>
  <c r="AB96" i="142" s="1"/>
  <c r="Y97" i="142"/>
  <c r="Z97" i="142" s="1"/>
  <c r="S99" i="142"/>
  <c r="T98" i="142"/>
  <c r="U98" i="142" s="1"/>
  <c r="W98" i="142" s="1"/>
  <c r="X98" i="142" s="1"/>
  <c r="F92" i="134"/>
  <c r="H91" i="134"/>
  <c r="G91" i="134"/>
  <c r="E93" i="134"/>
  <c r="AA97" i="142" l="1"/>
  <c r="AB97" i="142" s="1"/>
  <c r="Y98" i="142"/>
  <c r="Z98" i="142" s="1"/>
  <c r="T99" i="142"/>
  <c r="U99" i="142" s="1"/>
  <c r="W99" i="142" s="1"/>
  <c r="X99" i="142" s="1"/>
  <c r="S100" i="142"/>
  <c r="H92" i="134"/>
  <c r="G92" i="134"/>
  <c r="F93" i="134"/>
  <c r="E94" i="134"/>
  <c r="S101" i="142" l="1"/>
  <c r="T100" i="142"/>
  <c r="U100" i="142" s="1"/>
  <c r="W100" i="142" s="1"/>
  <c r="X100" i="142" s="1"/>
  <c r="AA98" i="142"/>
  <c r="AB98" i="142" s="1"/>
  <c r="Y99" i="142"/>
  <c r="Z99" i="142" s="1"/>
  <c r="E95" i="134"/>
  <c r="H93" i="134"/>
  <c r="G93" i="134"/>
  <c r="F94" i="134"/>
  <c r="AA99" i="142" l="1"/>
  <c r="AB99" i="142" s="1"/>
  <c r="Y100" i="142"/>
  <c r="Z100" i="142" s="1"/>
  <c r="T101" i="142"/>
  <c r="U101" i="142" s="1"/>
  <c r="W101" i="142" s="1"/>
  <c r="X101" i="142" s="1"/>
  <c r="S102" i="142"/>
  <c r="F95" i="134"/>
  <c r="E96" i="134"/>
  <c r="H94" i="134"/>
  <c r="G94" i="134"/>
  <c r="AA100" i="142" l="1"/>
  <c r="AB100" i="142" s="1"/>
  <c r="S103" i="142"/>
  <c r="T102" i="142"/>
  <c r="U102" i="142" s="1"/>
  <c r="W102" i="142" s="1"/>
  <c r="X102" i="142" s="1"/>
  <c r="Y101" i="142"/>
  <c r="Z101" i="142" s="1"/>
  <c r="E97" i="134"/>
  <c r="F96" i="134"/>
  <c r="H95" i="134"/>
  <c r="G95" i="134"/>
  <c r="T103" i="142" l="1"/>
  <c r="U103" i="142" s="1"/>
  <c r="W103" i="142" s="1"/>
  <c r="X103" i="142" s="1"/>
  <c r="S104" i="142"/>
  <c r="Y102" i="142"/>
  <c r="Z102" i="142" s="1"/>
  <c r="AA101" i="142"/>
  <c r="AB101" i="142" s="1"/>
  <c r="E98" i="134"/>
  <c r="F97" i="134"/>
  <c r="H96" i="134"/>
  <c r="G96" i="134"/>
  <c r="AA102" i="142" l="1"/>
  <c r="AB102" i="142" s="1"/>
  <c r="T104" i="142"/>
  <c r="U104" i="142" s="1"/>
  <c r="W104" i="142" s="1"/>
  <c r="X104" i="142" s="1"/>
  <c r="S105" i="142"/>
  <c r="Y103" i="142"/>
  <c r="Z103" i="142" s="1"/>
  <c r="E99" i="134"/>
  <c r="H97" i="134"/>
  <c r="G97" i="134"/>
  <c r="F98" i="134"/>
  <c r="AA103" i="142" l="1"/>
  <c r="AB103" i="142" s="1"/>
  <c r="Y104" i="142"/>
  <c r="Z104" i="142" s="1"/>
  <c r="T105" i="142"/>
  <c r="U105" i="142" s="1"/>
  <c r="W105" i="142" s="1"/>
  <c r="X105" i="142" s="1"/>
  <c r="S106" i="142"/>
  <c r="F99" i="134"/>
  <c r="H98" i="134"/>
  <c r="G98" i="134"/>
  <c r="E100" i="134"/>
  <c r="AA104" i="142" l="1"/>
  <c r="AB104" i="142" s="1"/>
  <c r="T106" i="142"/>
  <c r="U106" i="142" s="1"/>
  <c r="W106" i="142" s="1"/>
  <c r="X106" i="142" s="1"/>
  <c r="S107" i="142"/>
  <c r="Y105" i="142"/>
  <c r="Z105" i="142" s="1"/>
  <c r="E101" i="134"/>
  <c r="E2" i="134" s="1"/>
  <c r="H99" i="134"/>
  <c r="G99" i="134"/>
  <c r="F100" i="134"/>
  <c r="Y106" i="142" l="1"/>
  <c r="Z106" i="142" s="1"/>
  <c r="AA105" i="142"/>
  <c r="AB105" i="142" s="1"/>
  <c r="T107" i="142"/>
  <c r="U107" i="142" s="1"/>
  <c r="W107" i="142" s="1"/>
  <c r="X107" i="142" s="1"/>
  <c r="S108" i="142"/>
  <c r="H100" i="134"/>
  <c r="G100" i="134"/>
  <c r="F101" i="134"/>
  <c r="AA106" i="142" l="1"/>
  <c r="AB106" i="142" s="1"/>
  <c r="S109" i="142"/>
  <c r="T108" i="142"/>
  <c r="U108" i="142" s="1"/>
  <c r="W108" i="142" s="1"/>
  <c r="X108" i="142" s="1"/>
  <c r="Y107" i="142"/>
  <c r="Z107" i="142" s="1"/>
  <c r="H101" i="134"/>
  <c r="G101" i="134"/>
  <c r="Y108" i="142" l="1"/>
  <c r="Z108" i="142" s="1"/>
  <c r="T109" i="142"/>
  <c r="U109" i="142" s="1"/>
  <c r="W109" i="142" s="1"/>
  <c r="X109" i="142" s="1"/>
  <c r="S110" i="142"/>
  <c r="AA107" i="142"/>
  <c r="AB107" i="142" s="1"/>
  <c r="AA108" i="142" l="1"/>
  <c r="AB108" i="142" s="1"/>
  <c r="Y109" i="142"/>
  <c r="Z109" i="142" s="1"/>
  <c r="S111" i="142"/>
  <c r="T110" i="142"/>
  <c r="U110" i="142" s="1"/>
  <c r="W110" i="142" s="1"/>
  <c r="X110" i="142" s="1"/>
  <c r="AA109" i="142" l="1"/>
  <c r="AB109" i="142" s="1"/>
  <c r="Y110" i="142"/>
  <c r="Z110" i="142" s="1"/>
  <c r="T111" i="142"/>
  <c r="U111" i="142" s="1"/>
  <c r="W111" i="142" s="1"/>
  <c r="X111" i="142" s="1"/>
  <c r="S112" i="142"/>
  <c r="AA110" i="142" l="1"/>
  <c r="AB110" i="142" s="1"/>
  <c r="T112" i="142"/>
  <c r="U112" i="142" s="1"/>
  <c r="W112" i="142" s="1"/>
  <c r="X112" i="142" s="1"/>
  <c r="S113" i="142"/>
  <c r="Y111" i="142"/>
  <c r="Z111" i="142" s="1"/>
  <c r="AA111" i="142" l="1"/>
  <c r="AB111" i="142" s="1"/>
  <c r="T113" i="142"/>
  <c r="U113" i="142" s="1"/>
  <c r="W113" i="142" s="1"/>
  <c r="X113" i="142" s="1"/>
  <c r="S114" i="142"/>
  <c r="Y112" i="142"/>
  <c r="Z112" i="142" s="1"/>
  <c r="AA112" i="142" l="1"/>
  <c r="AB112" i="142" s="1"/>
  <c r="Y113" i="142"/>
  <c r="Z113" i="142" s="1"/>
  <c r="S115" i="142"/>
  <c r="T114" i="142"/>
  <c r="U114" i="142" s="1"/>
  <c r="W114" i="142" s="1"/>
  <c r="X114" i="142" s="1"/>
  <c r="AA113" i="142" l="1"/>
  <c r="AB113" i="142" s="1"/>
  <c r="Y114" i="142"/>
  <c r="Z114" i="142" s="1"/>
  <c r="T115" i="142"/>
  <c r="U115" i="142" s="1"/>
  <c r="W115" i="142" s="1"/>
  <c r="X115" i="142" s="1"/>
  <c r="S116" i="142"/>
  <c r="AA114" i="142" l="1"/>
  <c r="AB114" i="142" s="1"/>
  <c r="S117" i="142"/>
  <c r="T116" i="142"/>
  <c r="U116" i="142" s="1"/>
  <c r="W116" i="142" s="1"/>
  <c r="X116" i="142" s="1"/>
  <c r="Y115" i="142"/>
  <c r="Z115" i="142" s="1"/>
  <c r="AA115" i="142" l="1"/>
  <c r="AB115" i="142" s="1"/>
  <c r="Y116" i="142"/>
  <c r="Z116" i="142" s="1"/>
  <c r="T117" i="142"/>
  <c r="U117" i="142" s="1"/>
  <c r="W117" i="142" s="1"/>
  <c r="X117" i="142" s="1"/>
  <c r="S118" i="142"/>
  <c r="AA116" i="142" l="1"/>
  <c r="AB116" i="142" s="1"/>
  <c r="S119" i="142"/>
  <c r="T118" i="142"/>
  <c r="U118" i="142" s="1"/>
  <c r="W118" i="142" s="1"/>
  <c r="X118" i="142" s="1"/>
  <c r="Y117" i="142"/>
  <c r="Z117" i="142" s="1"/>
  <c r="Y118" i="142" l="1"/>
  <c r="Z118" i="142" s="1"/>
  <c r="T119" i="142"/>
  <c r="U119" i="142" s="1"/>
  <c r="W119" i="142" s="1"/>
  <c r="X119" i="142" s="1"/>
  <c r="S120" i="142"/>
  <c r="AA117" i="142"/>
  <c r="AB117" i="142" s="1"/>
  <c r="T120" i="142" l="1"/>
  <c r="U120" i="142" s="1"/>
  <c r="W120" i="142" s="1"/>
  <c r="X120" i="142" s="1"/>
  <c r="S121" i="142"/>
  <c r="AA118" i="142"/>
  <c r="AB118" i="142" s="1"/>
  <c r="Y119" i="142"/>
  <c r="Z119" i="142" s="1"/>
  <c r="AA119" i="142" l="1"/>
  <c r="AB119" i="142" s="1"/>
  <c r="T121" i="142"/>
  <c r="U121" i="142" s="1"/>
  <c r="W121" i="142" s="1"/>
  <c r="X121" i="142" s="1"/>
  <c r="S122" i="142"/>
  <c r="Y120" i="142"/>
  <c r="Z120" i="142" s="1"/>
  <c r="AA120" i="142" l="1"/>
  <c r="AB120" i="142" s="1"/>
  <c r="Y121" i="142"/>
  <c r="Z121" i="142" s="1"/>
  <c r="S123" i="142"/>
  <c r="T122" i="142"/>
  <c r="U122" i="142" s="1"/>
  <c r="W122" i="142" s="1"/>
  <c r="X122" i="142" s="1"/>
  <c r="AA121" i="142" l="1"/>
  <c r="AB121" i="142" s="1"/>
  <c r="Y122" i="142"/>
  <c r="Z122" i="142" s="1"/>
  <c r="T123" i="142"/>
  <c r="U123" i="142" s="1"/>
  <c r="W123" i="142" s="1"/>
  <c r="X123" i="142" s="1"/>
  <c r="S124" i="142"/>
  <c r="AA122" i="142" l="1"/>
  <c r="AB122" i="142" s="1"/>
  <c r="S125" i="142"/>
  <c r="T124" i="142"/>
  <c r="U124" i="142" s="1"/>
  <c r="W124" i="142" s="1"/>
  <c r="X124" i="142" s="1"/>
  <c r="Y123" i="142"/>
  <c r="Z123" i="142" s="1"/>
  <c r="Y124" i="142" l="1"/>
  <c r="Z124" i="142" s="1"/>
  <c r="T125" i="142"/>
  <c r="U125" i="142" s="1"/>
  <c r="W125" i="142" s="1"/>
  <c r="X125" i="142" s="1"/>
  <c r="S126" i="142"/>
  <c r="AA123" i="142"/>
  <c r="AB123" i="142" s="1"/>
  <c r="AA124" i="142" l="1"/>
  <c r="AB124" i="142" s="1"/>
  <c r="Y125" i="142"/>
  <c r="Z125" i="142" s="1"/>
  <c r="S127" i="142"/>
  <c r="T126" i="142"/>
  <c r="U126" i="142" s="1"/>
  <c r="W126" i="142" s="1"/>
  <c r="X126" i="142" s="1"/>
  <c r="AA125" i="142" l="1"/>
  <c r="AB125" i="142" s="1"/>
  <c r="Y126" i="142"/>
  <c r="Z126" i="142" s="1"/>
  <c r="T127" i="142"/>
  <c r="U127" i="142" s="1"/>
  <c r="W127" i="142" s="1"/>
  <c r="X127" i="142" s="1"/>
  <c r="S128" i="142"/>
  <c r="AA126" i="142" l="1"/>
  <c r="AB126" i="142" s="1"/>
  <c r="T128" i="142"/>
  <c r="U128" i="142" s="1"/>
  <c r="W128" i="142" s="1"/>
  <c r="X128" i="142" s="1"/>
  <c r="S129" i="142"/>
  <c r="Y127" i="142"/>
  <c r="Z127" i="142" s="1"/>
  <c r="Y128" i="142" l="1"/>
  <c r="Z128" i="142" s="1"/>
  <c r="AA127" i="142"/>
  <c r="AB127" i="142" s="1"/>
  <c r="T129" i="142"/>
  <c r="U129" i="142" s="1"/>
  <c r="W129" i="142" s="1"/>
  <c r="X129" i="142" s="1"/>
  <c r="S130" i="142"/>
  <c r="AA128" i="142" l="1"/>
  <c r="AB128" i="142" s="1"/>
  <c r="T130" i="142"/>
  <c r="U130" i="142" s="1"/>
  <c r="W130" i="142" s="1"/>
  <c r="X130" i="142" s="1"/>
  <c r="S131" i="142"/>
  <c r="Y129" i="142"/>
  <c r="Z129" i="142" s="1"/>
  <c r="Y130" i="142" l="1"/>
  <c r="Z130" i="142" s="1"/>
  <c r="AA129" i="142"/>
  <c r="AB129" i="142" s="1"/>
  <c r="T131" i="142"/>
  <c r="U131" i="142" s="1"/>
  <c r="W131" i="142" s="1"/>
  <c r="X131" i="142" s="1"/>
  <c r="S132" i="142"/>
  <c r="S133" i="142" l="1"/>
  <c r="T132" i="142"/>
  <c r="U132" i="142" s="1"/>
  <c r="W132" i="142" s="1"/>
  <c r="X132" i="142" s="1"/>
  <c r="AA130" i="142"/>
  <c r="AB130" i="142" s="1"/>
  <c r="Y131" i="142"/>
  <c r="Z131" i="142" s="1"/>
  <c r="Y132" i="142" l="1"/>
  <c r="Z132" i="142" s="1"/>
  <c r="AA131" i="142"/>
  <c r="AB131" i="142" s="1"/>
  <c r="T133" i="142"/>
  <c r="U133" i="142" s="1"/>
  <c r="W133" i="142" s="1"/>
  <c r="X133" i="142" s="1"/>
  <c r="S134" i="142"/>
  <c r="AA132" i="142" l="1"/>
  <c r="AB132" i="142" s="1"/>
  <c r="S135" i="142"/>
  <c r="T134" i="142"/>
  <c r="U134" i="142" s="1"/>
  <c r="W134" i="142" s="1"/>
  <c r="X134" i="142" s="1"/>
  <c r="Y133" i="142"/>
  <c r="Z133" i="142" s="1"/>
  <c r="AA133" i="142" l="1"/>
  <c r="AB133" i="142" s="1"/>
  <c r="Y134" i="142"/>
  <c r="Z134" i="142" s="1"/>
  <c r="T135" i="142"/>
  <c r="U135" i="142" s="1"/>
  <c r="W135" i="142" s="1"/>
  <c r="X135" i="142" s="1"/>
  <c r="S136" i="142"/>
  <c r="AA134" i="142" l="1"/>
  <c r="AB134" i="142" s="1"/>
  <c r="T136" i="142"/>
  <c r="U136" i="142" s="1"/>
  <c r="W136" i="142" s="1"/>
  <c r="X136" i="142" s="1"/>
  <c r="S137" i="142"/>
  <c r="Y135" i="142"/>
  <c r="Z135" i="142" s="1"/>
  <c r="AA135" i="142" l="1"/>
  <c r="AB135" i="142" s="1"/>
  <c r="T137" i="142"/>
  <c r="U137" i="142" s="1"/>
  <c r="W137" i="142" s="1"/>
  <c r="X137" i="142" s="1"/>
  <c r="S138" i="142"/>
  <c r="Y136" i="142"/>
  <c r="Z136" i="142" s="1"/>
  <c r="AA136" i="142" l="1"/>
  <c r="AB136" i="142" s="1"/>
  <c r="Y137" i="142"/>
  <c r="Z137" i="142" s="1"/>
  <c r="T138" i="142"/>
  <c r="U138" i="142" s="1"/>
  <c r="W138" i="142" s="1"/>
  <c r="X138" i="142" s="1"/>
  <c r="S139" i="142"/>
  <c r="AA137" i="142" l="1"/>
  <c r="AB137" i="142" s="1"/>
  <c r="S140" i="142"/>
  <c r="T139" i="142"/>
  <c r="U139" i="142" s="1"/>
  <c r="W139" i="142" s="1"/>
  <c r="X139" i="142" s="1"/>
  <c r="Y138" i="142"/>
  <c r="Z138" i="142" s="1"/>
  <c r="AA138" i="142" l="1"/>
  <c r="AB138" i="142" s="1"/>
  <c r="Y139" i="142"/>
  <c r="Z139" i="142" s="1"/>
  <c r="T140" i="142"/>
  <c r="U140" i="142" s="1"/>
  <c r="W140" i="142" s="1"/>
  <c r="X140" i="142" s="1"/>
  <c r="S141" i="142"/>
  <c r="AA139" i="142" l="1"/>
  <c r="AB139" i="142" s="1"/>
  <c r="S142" i="142"/>
  <c r="T141" i="142"/>
  <c r="U141" i="142" s="1"/>
  <c r="W141" i="142" s="1"/>
  <c r="X141" i="142" s="1"/>
  <c r="Y140" i="142"/>
  <c r="Z140" i="142" s="1"/>
  <c r="AA140" i="142" l="1"/>
  <c r="AB140" i="142" s="1"/>
  <c r="Y141" i="142"/>
  <c r="Z141" i="142" s="1"/>
  <c r="S143" i="142"/>
  <c r="T142" i="142"/>
  <c r="U142" i="142" s="1"/>
  <c r="W142" i="142" s="1"/>
  <c r="X142" i="142" s="1"/>
  <c r="AA141" i="142" l="1"/>
  <c r="AB141" i="142" s="1"/>
  <c r="Y142" i="142"/>
  <c r="Z142" i="142" s="1"/>
  <c r="S144" i="142"/>
  <c r="T143" i="142"/>
  <c r="U143" i="142" s="1"/>
  <c r="W143" i="142" s="1"/>
  <c r="X143" i="142" s="1"/>
  <c r="AA142" i="142" l="1"/>
  <c r="AB142" i="142" s="1"/>
  <c r="Y143" i="142"/>
  <c r="Z143" i="142" s="1"/>
  <c r="T144" i="142"/>
  <c r="U144" i="142" s="1"/>
  <c r="W144" i="142" s="1"/>
  <c r="X144" i="142" s="1"/>
  <c r="S145" i="142"/>
  <c r="AA143" i="142" l="1"/>
  <c r="AB143" i="142" s="1"/>
  <c r="S146" i="142"/>
  <c r="T145" i="142"/>
  <c r="U145" i="142" s="1"/>
  <c r="W145" i="142" s="1"/>
  <c r="X145" i="142" s="1"/>
  <c r="Y144" i="142"/>
  <c r="Z144" i="142" s="1"/>
  <c r="T146" i="142" l="1"/>
  <c r="U146" i="142" s="1"/>
  <c r="W146" i="142" s="1"/>
  <c r="X146" i="142" s="1"/>
  <c r="S147" i="142"/>
  <c r="AA144" i="142"/>
  <c r="AB144" i="142" s="1"/>
  <c r="Y145" i="142"/>
  <c r="Z145" i="142" s="1"/>
  <c r="S148" i="142" l="1"/>
  <c r="T147" i="142"/>
  <c r="U147" i="142" s="1"/>
  <c r="W147" i="142" s="1"/>
  <c r="X147" i="142" s="1"/>
  <c r="AA145" i="142"/>
  <c r="AB145" i="142" s="1"/>
  <c r="Y146" i="142"/>
  <c r="Z146" i="142" s="1"/>
  <c r="AA146" i="142" l="1"/>
  <c r="AB146" i="142" s="1"/>
  <c r="Y147" i="142"/>
  <c r="Z147" i="142" s="1"/>
  <c r="T148" i="142"/>
  <c r="U148" i="142" s="1"/>
  <c r="W148" i="142" s="1"/>
  <c r="X148" i="142" s="1"/>
  <c r="S149" i="142"/>
  <c r="AA147" i="142" l="1"/>
  <c r="AB147" i="142" s="1"/>
  <c r="S150" i="142"/>
  <c r="T149" i="142"/>
  <c r="U149" i="142" s="1"/>
  <c r="W149" i="142" s="1"/>
  <c r="X149" i="142" s="1"/>
  <c r="Y148" i="142"/>
  <c r="Z148" i="142" s="1"/>
  <c r="Y149" i="142" l="1"/>
  <c r="Z149" i="142" s="1"/>
  <c r="S151" i="142"/>
  <c r="T150" i="142"/>
  <c r="U150" i="142" s="1"/>
  <c r="W150" i="142" s="1"/>
  <c r="X150" i="142" s="1"/>
  <c r="AA148" i="142"/>
  <c r="AB148" i="142" s="1"/>
  <c r="AA149" i="142" l="1"/>
  <c r="AB149" i="142" s="1"/>
  <c r="Y150" i="142"/>
  <c r="Z150" i="142" s="1"/>
  <c r="S152" i="142"/>
  <c r="T151" i="142"/>
  <c r="U151" i="142" s="1"/>
  <c r="W151" i="142" s="1"/>
  <c r="X151" i="142" s="1"/>
  <c r="AA150" i="142" l="1"/>
  <c r="AB150" i="142" s="1"/>
  <c r="Y151" i="142"/>
  <c r="Z151" i="142" s="1"/>
  <c r="T152" i="142"/>
  <c r="U152" i="142" s="1"/>
  <c r="W152" i="142" s="1"/>
  <c r="X152" i="142" s="1"/>
  <c r="S153" i="142"/>
  <c r="AA151" i="142" l="1"/>
  <c r="AB151" i="142" s="1"/>
  <c r="S154" i="142"/>
  <c r="T153" i="142"/>
  <c r="U153" i="142" s="1"/>
  <c r="W153" i="142" s="1"/>
  <c r="X153" i="142" s="1"/>
  <c r="Y152" i="142"/>
  <c r="Z152" i="142" s="1"/>
  <c r="Y153" i="142" l="1"/>
  <c r="Z153" i="142" s="1"/>
  <c r="S155" i="142"/>
  <c r="T154" i="142"/>
  <c r="U154" i="142" s="1"/>
  <c r="W154" i="142" s="1"/>
  <c r="X154" i="142" s="1"/>
  <c r="AA152" i="142"/>
  <c r="AB152" i="142" s="1"/>
  <c r="AA153" i="142" l="1"/>
  <c r="AB153" i="142" s="1"/>
  <c r="S156" i="142"/>
  <c r="T155" i="142"/>
  <c r="U155" i="142" s="1"/>
  <c r="W155" i="142" s="1"/>
  <c r="X155" i="142" s="1"/>
  <c r="Y154" i="142"/>
  <c r="Z154" i="142" s="1"/>
  <c r="AA154" i="142" l="1"/>
  <c r="AB154" i="142" s="1"/>
  <c r="Y155" i="142"/>
  <c r="Z155" i="142" s="1"/>
  <c r="T156" i="142"/>
  <c r="U156" i="142" s="1"/>
  <c r="W156" i="142" s="1"/>
  <c r="X156" i="142" s="1"/>
  <c r="S157" i="142"/>
  <c r="AA155" i="142" l="1"/>
  <c r="AB155" i="142" s="1"/>
  <c r="S158" i="142"/>
  <c r="T157" i="142"/>
  <c r="U157" i="142" s="1"/>
  <c r="W157" i="142" s="1"/>
  <c r="X157" i="142" s="1"/>
  <c r="Y156" i="142"/>
  <c r="Z156" i="142" s="1"/>
  <c r="Y157" i="142" l="1"/>
  <c r="Z157" i="142" s="1"/>
  <c r="S159" i="142"/>
  <c r="T158" i="142"/>
  <c r="U158" i="142" s="1"/>
  <c r="W158" i="142" s="1"/>
  <c r="X158" i="142" s="1"/>
  <c r="AA156" i="142"/>
  <c r="AB156" i="142" s="1"/>
  <c r="AA157" i="142" l="1"/>
  <c r="AB157" i="142" s="1"/>
  <c r="S160" i="142"/>
  <c r="T159" i="142"/>
  <c r="U159" i="142" s="1"/>
  <c r="W159" i="142" s="1"/>
  <c r="X159" i="142" s="1"/>
  <c r="Y158" i="142"/>
  <c r="Z158" i="142" s="1"/>
  <c r="AA158" i="142" l="1"/>
  <c r="AB158" i="142" s="1"/>
  <c r="Y159" i="142"/>
  <c r="Z159" i="142" s="1"/>
  <c r="T160" i="142"/>
  <c r="U160" i="142" s="1"/>
  <c r="W160" i="142" s="1"/>
  <c r="X160" i="142" s="1"/>
  <c r="S161" i="142"/>
  <c r="AA159" i="142" l="1"/>
  <c r="AB159" i="142" s="1"/>
  <c r="S162" i="142"/>
  <c r="T161" i="142"/>
  <c r="U161" i="142" s="1"/>
  <c r="W161" i="142" s="1"/>
  <c r="X161" i="142" s="1"/>
  <c r="Y160" i="142"/>
  <c r="Z160" i="142" s="1"/>
  <c r="Y161" i="142" l="1"/>
  <c r="Z161" i="142" s="1"/>
  <c r="T162" i="142"/>
  <c r="U162" i="142" s="1"/>
  <c r="W162" i="142" s="1"/>
  <c r="X162" i="142" s="1"/>
  <c r="S163" i="142"/>
  <c r="AA160" i="142"/>
  <c r="AB160" i="142" s="1"/>
  <c r="AA161" i="142" l="1"/>
  <c r="AB161" i="142" s="1"/>
  <c r="Y162" i="142"/>
  <c r="Z162" i="142" s="1"/>
  <c r="S164" i="142"/>
  <c r="T163" i="142"/>
  <c r="U163" i="142" s="1"/>
  <c r="W163" i="142" s="1"/>
  <c r="X163" i="142" s="1"/>
  <c r="AA162" i="142" l="1"/>
  <c r="AB162" i="142" s="1"/>
  <c r="Y163" i="142"/>
  <c r="Z163" i="142" s="1"/>
  <c r="T164" i="142"/>
  <c r="U164" i="142" s="1"/>
  <c r="W164" i="142" s="1"/>
  <c r="X164" i="142" s="1"/>
  <c r="S165" i="142"/>
  <c r="AA163" i="142" l="1"/>
  <c r="AB163" i="142" s="1"/>
  <c r="S166" i="142"/>
  <c r="T165" i="142"/>
  <c r="U165" i="142" s="1"/>
  <c r="W165" i="142" s="1"/>
  <c r="X165" i="142" s="1"/>
  <c r="Y164" i="142"/>
  <c r="Z164" i="142" s="1"/>
  <c r="Y165" i="142" l="1"/>
  <c r="Z165" i="142" s="1"/>
  <c r="S167" i="142"/>
  <c r="T166" i="142"/>
  <c r="U166" i="142" s="1"/>
  <c r="W166" i="142" s="1"/>
  <c r="X166" i="142" s="1"/>
  <c r="AA164" i="142"/>
  <c r="AB164" i="142" s="1"/>
  <c r="AA165" i="142" l="1"/>
  <c r="AB165" i="142" s="1"/>
  <c r="S168" i="142"/>
  <c r="T167" i="142"/>
  <c r="U167" i="142" s="1"/>
  <c r="W167" i="142" s="1"/>
  <c r="X167" i="142" s="1"/>
  <c r="Y166" i="142"/>
  <c r="Z166" i="142" s="1"/>
  <c r="AA166" i="142" l="1"/>
  <c r="AB166" i="142" s="1"/>
  <c r="Y167" i="142"/>
  <c r="Z167" i="142" s="1"/>
  <c r="T168" i="142"/>
  <c r="U168" i="142" s="1"/>
  <c r="W168" i="142" s="1"/>
  <c r="X168" i="142" s="1"/>
  <c r="S169" i="142"/>
  <c r="AA167" i="142" l="1"/>
  <c r="AB167" i="142" s="1"/>
  <c r="S170" i="142"/>
  <c r="T169" i="142"/>
  <c r="U169" i="142" s="1"/>
  <c r="W169" i="142" s="1"/>
  <c r="X169" i="142" s="1"/>
  <c r="Y168" i="142"/>
  <c r="Z168" i="142" s="1"/>
  <c r="Y169" i="142" l="1"/>
  <c r="Z169" i="142" s="1"/>
  <c r="T170" i="142"/>
  <c r="U170" i="142" s="1"/>
  <c r="W170" i="142" s="1"/>
  <c r="X170" i="142" s="1"/>
  <c r="S171" i="142"/>
  <c r="AA168" i="142"/>
  <c r="AB168" i="142" s="1"/>
  <c r="AA169" i="142" l="1"/>
  <c r="AB169" i="142" s="1"/>
  <c r="Y170" i="142"/>
  <c r="Z170" i="142" s="1"/>
  <c r="S172" i="142"/>
  <c r="T171" i="142"/>
  <c r="U171" i="142" s="1"/>
  <c r="W171" i="142" s="1"/>
  <c r="X171" i="142" s="1"/>
  <c r="AA170" i="142" l="1"/>
  <c r="AB170" i="142" s="1"/>
  <c r="Y171" i="142"/>
  <c r="Z171" i="142" s="1"/>
  <c r="T172" i="142"/>
  <c r="U172" i="142" s="1"/>
  <c r="W172" i="142" s="1"/>
  <c r="X172" i="142" s="1"/>
  <c r="S173" i="142"/>
  <c r="AA171" i="142" l="1"/>
  <c r="AB171" i="142" s="1"/>
  <c r="S174" i="142"/>
  <c r="T173" i="142"/>
  <c r="U173" i="142" s="1"/>
  <c r="W173" i="142" s="1"/>
  <c r="X173" i="142" s="1"/>
  <c r="Y172" i="142"/>
  <c r="Z172" i="142" s="1"/>
  <c r="AA172" i="142" l="1"/>
  <c r="AB172" i="142" s="1"/>
  <c r="Y173" i="142"/>
  <c r="Z173" i="142" s="1"/>
  <c r="S175" i="142"/>
  <c r="T174" i="142"/>
  <c r="U174" i="142" s="1"/>
  <c r="W174" i="142" s="1"/>
  <c r="X174" i="142" s="1"/>
  <c r="AA173" i="142" l="1"/>
  <c r="AB173" i="142" s="1"/>
  <c r="Y174" i="142"/>
  <c r="Z174" i="142" s="1"/>
  <c r="S176" i="142"/>
  <c r="T175" i="142"/>
  <c r="U175" i="142" s="1"/>
  <c r="W175" i="142" s="1"/>
  <c r="X175" i="142" s="1"/>
  <c r="AA174" i="142" l="1"/>
  <c r="AB174" i="142" s="1"/>
  <c r="Y175" i="142"/>
  <c r="Z175" i="142" s="1"/>
  <c r="T176" i="142"/>
  <c r="U176" i="142" s="1"/>
  <c r="W176" i="142" s="1"/>
  <c r="X176" i="142" s="1"/>
  <c r="S177" i="142"/>
  <c r="AA175" i="142" l="1"/>
  <c r="AB175" i="142" s="1"/>
  <c r="S178" i="142"/>
  <c r="T177" i="142"/>
  <c r="U177" i="142" s="1"/>
  <c r="W177" i="142" s="1"/>
  <c r="X177" i="142" s="1"/>
  <c r="Y176" i="142"/>
  <c r="Z176" i="142" s="1"/>
  <c r="Y177" i="142" l="1"/>
  <c r="Z177" i="142" s="1"/>
  <c r="T178" i="142"/>
  <c r="U178" i="142" s="1"/>
  <c r="W178" i="142" s="1"/>
  <c r="X178" i="142" s="1"/>
  <c r="S179" i="142"/>
  <c r="AA176" i="142"/>
  <c r="AB176" i="142" s="1"/>
  <c r="AA177" i="142" l="1"/>
  <c r="AB177" i="142" s="1"/>
  <c r="Y178" i="142"/>
  <c r="Z178" i="142" s="1"/>
  <c r="S180" i="142"/>
  <c r="T179" i="142"/>
  <c r="U179" i="142" s="1"/>
  <c r="W179" i="142" s="1"/>
  <c r="X179" i="142" s="1"/>
  <c r="AA178" i="142" l="1"/>
  <c r="AB178" i="142" s="1"/>
  <c r="Y179" i="142"/>
  <c r="Z179" i="142" s="1"/>
  <c r="T180" i="142"/>
  <c r="U180" i="142" s="1"/>
  <c r="W180" i="142" s="1"/>
  <c r="X180" i="142" s="1"/>
  <c r="S181" i="142"/>
  <c r="AA179" i="142" l="1"/>
  <c r="AB179" i="142" s="1"/>
  <c r="S182" i="142"/>
  <c r="T181" i="142"/>
  <c r="U181" i="142" s="1"/>
  <c r="W181" i="142" s="1"/>
  <c r="X181" i="142" s="1"/>
  <c r="Y180" i="142"/>
  <c r="Z180" i="142" s="1"/>
  <c r="Y181" i="142" l="1"/>
  <c r="Z181" i="142" s="1"/>
  <c r="S183" i="142"/>
  <c r="T182" i="142"/>
  <c r="U182" i="142" s="1"/>
  <c r="W182" i="142" s="1"/>
  <c r="X182" i="142" s="1"/>
  <c r="AA180" i="142"/>
  <c r="AB180" i="142" s="1"/>
  <c r="AA181" i="142" l="1"/>
  <c r="AB181" i="142" s="1"/>
  <c r="Y182" i="142"/>
  <c r="Z182" i="142" s="1"/>
  <c r="S184" i="142"/>
  <c r="T183" i="142"/>
  <c r="U183" i="142" s="1"/>
  <c r="W183" i="142" s="1"/>
  <c r="X183" i="142" s="1"/>
  <c r="AA182" i="142" l="1"/>
  <c r="AB182" i="142" s="1"/>
  <c r="Y183" i="142"/>
  <c r="Z183" i="142" s="1"/>
  <c r="T184" i="142"/>
  <c r="U184" i="142" s="1"/>
  <c r="W184" i="142" s="1"/>
  <c r="X184" i="142" s="1"/>
  <c r="S185" i="142"/>
  <c r="AA183" i="142" l="1"/>
  <c r="AB183" i="142" s="1"/>
  <c r="S186" i="142"/>
  <c r="T185" i="142"/>
  <c r="U185" i="142" s="1"/>
  <c r="W185" i="142" s="1"/>
  <c r="X185" i="142" s="1"/>
  <c r="Y184" i="142"/>
  <c r="Z184" i="142" s="1"/>
  <c r="S187" i="142" l="1"/>
  <c r="T186" i="142"/>
  <c r="U186" i="142" s="1"/>
  <c r="W186" i="142" s="1"/>
  <c r="X186" i="142" s="1"/>
  <c r="Y185" i="142"/>
  <c r="Z185" i="142" s="1"/>
  <c r="AA184" i="142"/>
  <c r="AB184" i="142" s="1"/>
  <c r="AA185" i="142" l="1"/>
  <c r="AB185" i="142" s="1"/>
  <c r="Y186" i="142"/>
  <c r="Z186" i="142" s="1"/>
  <c r="S188" i="142"/>
  <c r="T187" i="142"/>
  <c r="U187" i="142" s="1"/>
  <c r="W187" i="142" s="1"/>
  <c r="X187" i="142" s="1"/>
  <c r="AA186" i="142" l="1"/>
  <c r="AB186" i="142" s="1"/>
  <c r="Y187" i="142"/>
  <c r="Z187" i="142" s="1"/>
  <c r="T188" i="142"/>
  <c r="U188" i="142" s="1"/>
  <c r="W188" i="142" s="1"/>
  <c r="X188" i="142" s="1"/>
  <c r="S189" i="142"/>
  <c r="AA187" i="142" l="1"/>
  <c r="AB187" i="142" s="1"/>
  <c r="S190" i="142"/>
  <c r="T189" i="142"/>
  <c r="U189" i="142" s="1"/>
  <c r="W189" i="142" s="1"/>
  <c r="X189" i="142" s="1"/>
  <c r="Y188" i="142"/>
  <c r="Z188" i="142" s="1"/>
  <c r="AA188" i="142" l="1"/>
  <c r="AB188" i="142" s="1"/>
  <c r="Y189" i="142"/>
  <c r="Z189" i="142" s="1"/>
  <c r="S191" i="142"/>
  <c r="T190" i="142"/>
  <c r="U190" i="142" s="1"/>
  <c r="W190" i="142" s="1"/>
  <c r="X190" i="142" s="1"/>
  <c r="AA189" i="142" l="1"/>
  <c r="AB189" i="142" s="1"/>
  <c r="Y190" i="142"/>
  <c r="Z190" i="142" s="1"/>
  <c r="S192" i="142"/>
  <c r="T191" i="142"/>
  <c r="U191" i="142" s="1"/>
  <c r="W191" i="142" s="1"/>
  <c r="X191" i="142" s="1"/>
  <c r="AA190" i="142" l="1"/>
  <c r="AB190" i="142" s="1"/>
  <c r="Y191" i="142"/>
  <c r="Z191" i="142" s="1"/>
  <c r="S193" i="142"/>
  <c r="T192" i="142"/>
  <c r="U192" i="142" s="1"/>
  <c r="W192" i="142" s="1"/>
  <c r="X192" i="142" s="1"/>
  <c r="AA191" i="142" l="1"/>
  <c r="AB191" i="142" s="1"/>
  <c r="Y192" i="142"/>
  <c r="Z192" i="142" s="1"/>
  <c r="S194" i="142"/>
  <c r="T193" i="142"/>
  <c r="U193" i="142" s="1"/>
  <c r="W193" i="142" s="1"/>
  <c r="X193" i="142" s="1"/>
  <c r="Y193" i="142" l="1"/>
  <c r="Z193" i="142" s="1"/>
  <c r="AA192" i="142"/>
  <c r="AB192" i="142" s="1"/>
  <c r="T194" i="142"/>
  <c r="U194" i="142" s="1"/>
  <c r="W194" i="142" s="1"/>
  <c r="X194" i="142" s="1"/>
  <c r="S195" i="142"/>
  <c r="AA193" i="142" l="1"/>
  <c r="AB193" i="142" s="1"/>
  <c r="S196" i="142"/>
  <c r="T195" i="142"/>
  <c r="U195" i="142" s="1"/>
  <c r="W195" i="142" s="1"/>
  <c r="X195" i="142" s="1"/>
  <c r="Y194" i="142"/>
  <c r="Z194" i="142" s="1"/>
  <c r="AA194" i="142" l="1"/>
  <c r="AB194" i="142" s="1"/>
  <c r="Y195" i="142"/>
  <c r="Z195" i="142" s="1"/>
  <c r="T196" i="142"/>
  <c r="U196" i="142" s="1"/>
  <c r="W196" i="142" s="1"/>
  <c r="X196" i="142" s="1"/>
  <c r="S197" i="142"/>
  <c r="AA195" i="142" l="1"/>
  <c r="AB195" i="142" s="1"/>
  <c r="S198" i="142"/>
  <c r="T197" i="142"/>
  <c r="U197" i="142" s="1"/>
  <c r="W197" i="142" s="1"/>
  <c r="X197" i="142" s="1"/>
  <c r="Y196" i="142"/>
  <c r="Z196" i="142" s="1"/>
  <c r="Y197" i="142" l="1"/>
  <c r="Z197" i="142" s="1"/>
  <c r="S199" i="142"/>
  <c r="T198" i="142"/>
  <c r="U198" i="142" s="1"/>
  <c r="W198" i="142" s="1"/>
  <c r="X198" i="142" s="1"/>
  <c r="AA196" i="142"/>
  <c r="AB196" i="142" s="1"/>
  <c r="AA197" i="142" l="1"/>
  <c r="AB197" i="142" s="1"/>
  <c r="S200" i="142"/>
  <c r="T199" i="142"/>
  <c r="U199" i="142" s="1"/>
  <c r="W199" i="142" s="1"/>
  <c r="X199" i="142" s="1"/>
  <c r="Y198" i="142"/>
  <c r="Z198" i="142" s="1"/>
  <c r="AA198" i="142" l="1"/>
  <c r="AB198" i="142" s="1"/>
  <c r="T200" i="142"/>
  <c r="U200" i="142" s="1"/>
  <c r="W200" i="142" s="1"/>
  <c r="X200" i="142" s="1"/>
  <c r="S201" i="142"/>
  <c r="Y199" i="142"/>
  <c r="Z199" i="142" s="1"/>
  <c r="AA199" i="142" l="1"/>
  <c r="AB199" i="142" s="1"/>
  <c r="Y200" i="142"/>
  <c r="Z200" i="142" s="1"/>
  <c r="S202" i="142"/>
  <c r="T201" i="142"/>
  <c r="U201" i="142" s="1"/>
  <c r="W201" i="142" s="1"/>
  <c r="X201" i="142" s="1"/>
  <c r="AA200" i="142" l="1"/>
  <c r="AB200" i="142" s="1"/>
  <c r="Y201" i="142"/>
  <c r="Z201" i="142" s="1"/>
  <c r="S203" i="142"/>
  <c r="T202" i="142"/>
  <c r="U202" i="142" s="1"/>
  <c r="W202" i="142" s="1"/>
  <c r="X202" i="142" s="1"/>
  <c r="AA201" i="142" l="1"/>
  <c r="AB201" i="142" s="1"/>
  <c r="Y202" i="142"/>
  <c r="Z202" i="142" s="1"/>
  <c r="S204" i="142"/>
  <c r="T203" i="142"/>
  <c r="U203" i="142" s="1"/>
  <c r="W203" i="142" s="1"/>
  <c r="X203" i="142" s="1"/>
  <c r="AA202" i="142" l="1"/>
  <c r="AB202" i="142" s="1"/>
  <c r="Y203" i="142"/>
  <c r="Z203" i="142" s="1"/>
  <c r="T204" i="142"/>
  <c r="U204" i="142" s="1"/>
  <c r="W204" i="142" s="1"/>
  <c r="X204" i="142" s="1"/>
  <c r="S205" i="142"/>
  <c r="AA203" i="142" l="1"/>
  <c r="AB203" i="142" s="1"/>
  <c r="S206" i="142"/>
  <c r="T205" i="142"/>
  <c r="U205" i="142" s="1"/>
  <c r="W205" i="142" s="1"/>
  <c r="X205" i="142" s="1"/>
  <c r="Y204" i="142"/>
  <c r="Z204" i="142" s="1"/>
  <c r="Y205" i="142" l="1"/>
  <c r="Z205" i="142" s="1"/>
  <c r="S207" i="142"/>
  <c r="T206" i="142"/>
  <c r="U206" i="142" s="1"/>
  <c r="W206" i="142" s="1"/>
  <c r="X206" i="142" s="1"/>
  <c r="AA204" i="142"/>
  <c r="AB204" i="142" s="1"/>
  <c r="AA205" i="142" l="1"/>
  <c r="AB205" i="142" s="1"/>
  <c r="S208" i="142"/>
  <c r="T207" i="142"/>
  <c r="U207" i="142" s="1"/>
  <c r="W207" i="142" s="1"/>
  <c r="X207" i="142" s="1"/>
  <c r="Y206" i="142"/>
  <c r="Z206" i="142" s="1"/>
  <c r="AA206" i="142" l="1"/>
  <c r="AB206" i="142" s="1"/>
  <c r="Y207" i="142"/>
  <c r="Z207" i="142" s="1"/>
  <c r="T208" i="142"/>
  <c r="U208" i="142" s="1"/>
  <c r="W208" i="142" s="1"/>
  <c r="X208" i="142" s="1"/>
  <c r="S209" i="142"/>
  <c r="AA207" i="142" l="1"/>
  <c r="AB207" i="142" s="1"/>
  <c r="S210" i="142"/>
  <c r="T209" i="142"/>
  <c r="U209" i="142" s="1"/>
  <c r="W209" i="142" s="1"/>
  <c r="X209" i="142" s="1"/>
  <c r="Y208" i="142"/>
  <c r="Z208" i="142" s="1"/>
  <c r="T210" i="142" l="1"/>
  <c r="U210" i="142" s="1"/>
  <c r="W210" i="142" s="1"/>
  <c r="X210" i="142" s="1"/>
  <c r="S211" i="142"/>
  <c r="AA208" i="142"/>
  <c r="AB208" i="142" s="1"/>
  <c r="Y209" i="142"/>
  <c r="Z209" i="142" s="1"/>
  <c r="S212" i="142" l="1"/>
  <c r="T211" i="142"/>
  <c r="U211" i="142" s="1"/>
  <c r="W211" i="142" s="1"/>
  <c r="X211" i="142" s="1"/>
  <c r="AA209" i="142"/>
  <c r="AB209" i="142" s="1"/>
  <c r="Y210" i="142"/>
  <c r="Z210" i="142" s="1"/>
  <c r="AA210" i="142" l="1"/>
  <c r="AB210" i="142" s="1"/>
  <c r="Y211" i="142"/>
  <c r="Z211" i="142" s="1"/>
  <c r="T212" i="142"/>
  <c r="U212" i="142" s="1"/>
  <c r="W212" i="142" s="1"/>
  <c r="X212" i="142" s="1"/>
  <c r="S213" i="142"/>
  <c r="AA211" i="142" l="1"/>
  <c r="AB211" i="142" s="1"/>
  <c r="S214" i="142"/>
  <c r="T213" i="142"/>
  <c r="U213" i="142" s="1"/>
  <c r="W213" i="142" s="1"/>
  <c r="X213" i="142" s="1"/>
  <c r="Y212" i="142"/>
  <c r="Z212" i="142" s="1"/>
  <c r="AA212" i="142" l="1"/>
  <c r="AB212" i="142" s="1"/>
  <c r="Y213" i="142"/>
  <c r="Z213" i="142" s="1"/>
  <c r="S215" i="142"/>
  <c r="T214" i="142"/>
  <c r="U214" i="142" s="1"/>
  <c r="W214" i="142" s="1"/>
  <c r="X214" i="142" s="1"/>
  <c r="AA213" i="142" l="1"/>
  <c r="AB213" i="142" s="1"/>
  <c r="Y214" i="142"/>
  <c r="Z214" i="142" s="1"/>
  <c r="S216" i="142"/>
  <c r="T215" i="142"/>
  <c r="U215" i="142" s="1"/>
  <c r="W215" i="142" s="1"/>
  <c r="X215" i="142" s="1"/>
  <c r="AA214" i="142" l="1"/>
  <c r="AB214" i="142" s="1"/>
  <c r="Y215" i="142"/>
  <c r="Z215" i="142" s="1"/>
  <c r="T216" i="142"/>
  <c r="U216" i="142" s="1"/>
  <c r="W216" i="142" s="1"/>
  <c r="X216" i="142" s="1"/>
  <c r="S217" i="142"/>
  <c r="AA215" i="142" l="1"/>
  <c r="AB215" i="142" s="1"/>
  <c r="S218" i="142"/>
  <c r="T217" i="142"/>
  <c r="U217" i="142" s="1"/>
  <c r="W217" i="142" s="1"/>
  <c r="X217" i="142" s="1"/>
  <c r="Y216" i="142"/>
  <c r="Z216" i="142" s="1"/>
  <c r="Y217" i="142" l="1"/>
  <c r="Z217" i="142" s="1"/>
  <c r="S219" i="142"/>
  <c r="T218" i="142"/>
  <c r="U218" i="142" s="1"/>
  <c r="W218" i="142" s="1"/>
  <c r="X218" i="142" s="1"/>
  <c r="AA216" i="142"/>
  <c r="AB216" i="142" s="1"/>
  <c r="AA217" i="142" l="1"/>
  <c r="AB217" i="142" s="1"/>
  <c r="S220" i="142"/>
  <c r="T219" i="142"/>
  <c r="U219" i="142" s="1"/>
  <c r="W219" i="142" s="1"/>
  <c r="X219" i="142" s="1"/>
  <c r="Y218" i="142"/>
  <c r="Z218" i="142" s="1"/>
  <c r="AA218" i="142" l="1"/>
  <c r="AB218" i="142" s="1"/>
  <c r="Y219" i="142"/>
  <c r="Z219" i="142" s="1"/>
  <c r="T220" i="142"/>
  <c r="U220" i="142" s="1"/>
  <c r="W220" i="142" s="1"/>
  <c r="X220" i="142" s="1"/>
  <c r="S221" i="142"/>
  <c r="AA219" i="142" l="1"/>
  <c r="AB219" i="142" s="1"/>
  <c r="S222" i="142"/>
  <c r="T221" i="142"/>
  <c r="U221" i="142" s="1"/>
  <c r="W221" i="142" s="1"/>
  <c r="X221" i="142" s="1"/>
  <c r="Y220" i="142"/>
  <c r="Z220" i="142" s="1"/>
  <c r="Y221" i="142" l="1"/>
  <c r="Z221" i="142" s="1"/>
  <c r="S223" i="142"/>
  <c r="T222" i="142"/>
  <c r="U222" i="142" s="1"/>
  <c r="W222" i="142" s="1"/>
  <c r="X222" i="142" s="1"/>
  <c r="AA220" i="142"/>
  <c r="AB220" i="142" s="1"/>
  <c r="AA221" i="142" l="1"/>
  <c r="AB221" i="142" s="1"/>
  <c r="S224" i="142"/>
  <c r="T223" i="142"/>
  <c r="U223" i="142" s="1"/>
  <c r="W223" i="142" s="1"/>
  <c r="X223" i="142" s="1"/>
  <c r="Y222" i="142"/>
  <c r="Z222" i="142" s="1"/>
  <c r="AA222" i="142" l="1"/>
  <c r="AB222" i="142" s="1"/>
  <c r="Y223" i="142"/>
  <c r="Z223" i="142" s="1"/>
  <c r="T224" i="142"/>
  <c r="U224" i="142" s="1"/>
  <c r="W224" i="142" s="1"/>
  <c r="X224" i="142" s="1"/>
  <c r="S225" i="142"/>
  <c r="AA223" i="142" l="1"/>
  <c r="AB223" i="142" s="1"/>
  <c r="S226" i="142"/>
  <c r="T225" i="142"/>
  <c r="U225" i="142" s="1"/>
  <c r="W225" i="142" s="1"/>
  <c r="X225" i="142" s="1"/>
  <c r="Y224" i="142"/>
  <c r="Z224" i="142" s="1"/>
  <c r="Y225" i="142" l="1"/>
  <c r="Z225" i="142" s="1"/>
  <c r="S227" i="142"/>
  <c r="T226" i="142"/>
  <c r="U226" i="142" s="1"/>
  <c r="W226" i="142" s="1"/>
  <c r="X226" i="142" s="1"/>
  <c r="AA224" i="142"/>
  <c r="AB224" i="142" s="1"/>
  <c r="AA225" i="142" l="1"/>
  <c r="AB225" i="142" s="1"/>
  <c r="S228" i="142"/>
  <c r="T227" i="142"/>
  <c r="U227" i="142" s="1"/>
  <c r="W227" i="142" s="1"/>
  <c r="X227" i="142" s="1"/>
  <c r="Y226" i="142"/>
  <c r="Z226" i="142" s="1"/>
  <c r="Y227" i="142" l="1"/>
  <c r="Z227" i="142" s="1"/>
  <c r="T228" i="142"/>
  <c r="U228" i="142" s="1"/>
  <c r="W228" i="142" s="1"/>
  <c r="X228" i="142" s="1"/>
  <c r="S229" i="142"/>
  <c r="AA226" i="142"/>
  <c r="AB226" i="142" s="1"/>
  <c r="AA227" i="142" l="1"/>
  <c r="AB227" i="142" s="1"/>
  <c r="Y228" i="142"/>
  <c r="Z228" i="142" s="1"/>
  <c r="S230" i="142"/>
  <c r="T229" i="142"/>
  <c r="U229" i="142" s="1"/>
  <c r="W229" i="142" s="1"/>
  <c r="X229" i="142" s="1"/>
  <c r="AA228" i="142" l="1"/>
  <c r="AB228" i="142" s="1"/>
  <c r="Y229" i="142"/>
  <c r="Z229" i="142" s="1"/>
  <c r="S231" i="142"/>
  <c r="T230" i="142"/>
  <c r="U230" i="142" s="1"/>
  <c r="W230" i="142" s="1"/>
  <c r="X230" i="142" s="1"/>
  <c r="AA229" i="142" l="1"/>
  <c r="AB229" i="142" s="1"/>
  <c r="Y230" i="142"/>
  <c r="Z230" i="142" s="1"/>
  <c r="S232" i="142"/>
  <c r="T231" i="142"/>
  <c r="U231" i="142" s="1"/>
  <c r="W231" i="142" s="1"/>
  <c r="X231" i="142" s="1"/>
  <c r="AA230" i="142" l="1"/>
  <c r="AB230" i="142" s="1"/>
  <c r="Y231" i="142"/>
  <c r="Z231" i="142" s="1"/>
  <c r="T232" i="142"/>
  <c r="U232" i="142" s="1"/>
  <c r="W232" i="142" s="1"/>
  <c r="X232" i="142" s="1"/>
  <c r="S233" i="142"/>
  <c r="AA231" i="142" l="1"/>
  <c r="AB231" i="142" s="1"/>
  <c r="S234" i="142"/>
  <c r="T233" i="142"/>
  <c r="U233" i="142" s="1"/>
  <c r="W233" i="142" s="1"/>
  <c r="X233" i="142" s="1"/>
  <c r="Y232" i="142"/>
  <c r="Z232" i="142" s="1"/>
  <c r="Y233" i="142" l="1"/>
  <c r="Z233" i="142" s="1"/>
  <c r="S235" i="142"/>
  <c r="T234" i="142"/>
  <c r="U234" i="142" s="1"/>
  <c r="W234" i="142" s="1"/>
  <c r="X234" i="142" s="1"/>
  <c r="AA232" i="142"/>
  <c r="AB232" i="142" s="1"/>
  <c r="AA233" i="142" l="1"/>
  <c r="AB233" i="142" s="1"/>
  <c r="S236" i="142"/>
  <c r="T235" i="142"/>
  <c r="U235" i="142" s="1"/>
  <c r="W235" i="142" s="1"/>
  <c r="X235" i="142" s="1"/>
  <c r="Y234" i="142"/>
  <c r="Z234" i="142" s="1"/>
  <c r="AA234" i="142" l="1"/>
  <c r="AB234" i="142" s="1"/>
  <c r="T236" i="142"/>
  <c r="U236" i="142" s="1"/>
  <c r="W236" i="142" s="1"/>
  <c r="X236" i="142" s="1"/>
  <c r="S237" i="142"/>
  <c r="Y235" i="142"/>
  <c r="Z235" i="142" s="1"/>
  <c r="AA235" i="142" l="1"/>
  <c r="AB235" i="142" s="1"/>
  <c r="S238" i="142"/>
  <c r="T237" i="142"/>
  <c r="U237" i="142" s="1"/>
  <c r="W237" i="142" s="1"/>
  <c r="X237" i="142" s="1"/>
  <c r="Y236" i="142"/>
  <c r="Z236" i="142" s="1"/>
  <c r="AA236" i="142" l="1"/>
  <c r="AB236" i="142" s="1"/>
  <c r="Y237" i="142"/>
  <c r="Z237" i="142" s="1"/>
  <c r="S239" i="142"/>
  <c r="T238" i="142"/>
  <c r="U238" i="142" s="1"/>
  <c r="W238" i="142" s="1"/>
  <c r="X238" i="142" s="1"/>
  <c r="AA237" i="142" l="1"/>
  <c r="AB237" i="142" s="1"/>
  <c r="Y238" i="142"/>
  <c r="Z238" i="142" s="1"/>
  <c r="S240" i="142"/>
  <c r="T239" i="142"/>
  <c r="U239" i="142" s="1"/>
  <c r="W239" i="142" s="1"/>
  <c r="X239" i="142" s="1"/>
  <c r="AA238" i="142" l="1"/>
  <c r="AB238" i="142" s="1"/>
  <c r="Y239" i="142"/>
  <c r="Z239" i="142" s="1"/>
  <c r="S241" i="142"/>
  <c r="T240" i="142"/>
  <c r="U240" i="142" s="1"/>
  <c r="W240" i="142" s="1"/>
  <c r="X240" i="142" s="1"/>
  <c r="AA239" i="142" l="1"/>
  <c r="AB239" i="142" s="1"/>
  <c r="Y240" i="142"/>
  <c r="Z240" i="142" s="1"/>
  <c r="S242" i="142"/>
  <c r="T241" i="142"/>
  <c r="U241" i="142" s="1"/>
  <c r="W241" i="142" s="1"/>
  <c r="X241" i="142" s="1"/>
  <c r="Y241" i="142" l="1"/>
  <c r="Z241" i="142" s="1"/>
  <c r="AA240" i="142"/>
  <c r="AB240" i="142" s="1"/>
  <c r="T242" i="142"/>
  <c r="U242" i="142" s="1"/>
  <c r="W242" i="142" s="1"/>
  <c r="X242" i="142" s="1"/>
  <c r="S243" i="142"/>
  <c r="AA241" i="142" l="1"/>
  <c r="AB241" i="142" s="1"/>
  <c r="S244" i="142"/>
  <c r="T243" i="142"/>
  <c r="U243" i="142" s="1"/>
  <c r="W243" i="142" s="1"/>
  <c r="X243" i="142" s="1"/>
  <c r="Y242" i="142"/>
  <c r="Z242" i="142" s="1"/>
  <c r="AA242" i="142" l="1"/>
  <c r="AB242" i="142" s="1"/>
  <c r="Y243" i="142"/>
  <c r="Z243" i="142" s="1"/>
  <c r="T244" i="142"/>
  <c r="U244" i="142" s="1"/>
  <c r="W244" i="142" s="1"/>
  <c r="X244" i="142" s="1"/>
  <c r="S245" i="142"/>
  <c r="AA243" i="142" l="1"/>
  <c r="AB243" i="142" s="1"/>
  <c r="S246" i="142"/>
  <c r="T245" i="142"/>
  <c r="U245" i="142" s="1"/>
  <c r="W245" i="142" s="1"/>
  <c r="X245" i="142" s="1"/>
  <c r="Y244" i="142"/>
  <c r="Z244" i="142" s="1"/>
  <c r="Y245" i="142" l="1"/>
  <c r="Z245" i="142" s="1"/>
  <c r="AA244" i="142"/>
  <c r="AB244" i="142" s="1"/>
  <c r="S247" i="142"/>
  <c r="T246" i="142"/>
  <c r="U246" i="142" s="1"/>
  <c r="W246" i="142" s="1"/>
  <c r="X246" i="142" s="1"/>
  <c r="AA245" i="142" l="1"/>
  <c r="AB245" i="142" s="1"/>
  <c r="Y246" i="142"/>
  <c r="Z246" i="142" s="1"/>
  <c r="S248" i="142"/>
  <c r="T247" i="142"/>
  <c r="U247" i="142" s="1"/>
  <c r="W247" i="142" s="1"/>
  <c r="X247" i="142" s="1"/>
  <c r="AA246" i="142" l="1"/>
  <c r="AB246" i="142" s="1"/>
  <c r="Y247" i="142"/>
  <c r="Z247" i="142" s="1"/>
  <c r="T248" i="142"/>
  <c r="U248" i="142" s="1"/>
  <c r="W248" i="142" s="1"/>
  <c r="X248" i="142" s="1"/>
  <c r="S249" i="142"/>
  <c r="AA247" i="142" l="1"/>
  <c r="AB247" i="142" s="1"/>
  <c r="S250" i="142"/>
  <c r="T249" i="142"/>
  <c r="U249" i="142" s="1"/>
  <c r="W249" i="142" s="1"/>
  <c r="X249" i="142" s="1"/>
  <c r="Y248" i="142"/>
  <c r="Z248" i="142" s="1"/>
  <c r="AA248" i="142" l="1"/>
  <c r="AB248" i="142" s="1"/>
  <c r="S251" i="142"/>
  <c r="T250" i="142"/>
  <c r="U250" i="142" s="1"/>
  <c r="W250" i="142" s="1"/>
  <c r="X250" i="142" s="1"/>
  <c r="Y249" i="142"/>
  <c r="Z249" i="142" s="1"/>
  <c r="AA249" i="142" l="1"/>
  <c r="AB249" i="142" s="1"/>
  <c r="Y250" i="142"/>
  <c r="Z250" i="142" s="1"/>
  <c r="S252" i="142"/>
  <c r="T251" i="142"/>
  <c r="U251" i="142" s="1"/>
  <c r="W251" i="142" s="1"/>
  <c r="X251" i="142" s="1"/>
  <c r="AA250" i="142" l="1"/>
  <c r="AB250" i="142" s="1"/>
  <c r="Y251" i="142"/>
  <c r="Z251" i="142" s="1"/>
  <c r="T252" i="142"/>
  <c r="U252" i="142" s="1"/>
  <c r="W252" i="142" s="1"/>
  <c r="X252" i="142" s="1"/>
  <c r="S253" i="142"/>
  <c r="AA251" i="142" l="1"/>
  <c r="AB251" i="142" s="1"/>
  <c r="S254" i="142"/>
  <c r="T253" i="142"/>
  <c r="U253" i="142" s="1"/>
  <c r="W253" i="142" s="1"/>
  <c r="X253" i="142" s="1"/>
  <c r="Y252" i="142"/>
  <c r="Z252" i="142" s="1"/>
  <c r="AA252" i="142" l="1"/>
  <c r="AB252" i="142" s="1"/>
  <c r="Y253" i="142"/>
  <c r="Z253" i="142" s="1"/>
  <c r="S255" i="142"/>
  <c r="T254" i="142"/>
  <c r="U254" i="142" s="1"/>
  <c r="W254" i="142" s="1"/>
  <c r="X254" i="142" s="1"/>
  <c r="AA253" i="142" l="1"/>
  <c r="AB253" i="142" s="1"/>
  <c r="Y254" i="142"/>
  <c r="Z254" i="142" s="1"/>
  <c r="S256" i="142"/>
  <c r="T255" i="142"/>
  <c r="U255" i="142" s="1"/>
  <c r="W255" i="142" s="1"/>
  <c r="X255" i="142" s="1"/>
  <c r="AA254" i="142" l="1"/>
  <c r="AB254" i="142" s="1"/>
  <c r="Y255" i="142"/>
  <c r="Z255" i="142" s="1"/>
  <c r="S257" i="142"/>
  <c r="T256" i="142"/>
  <c r="U256" i="142" s="1"/>
  <c r="W256" i="142" s="1"/>
  <c r="X256" i="142" s="1"/>
  <c r="AA255" i="142" l="1"/>
  <c r="AB255" i="142" s="1"/>
  <c r="Y256" i="142"/>
  <c r="Z256" i="142" s="1"/>
  <c r="S258" i="142"/>
  <c r="T257" i="142"/>
  <c r="U257" i="142" s="1"/>
  <c r="W257" i="142" s="1"/>
  <c r="X257" i="142" s="1"/>
  <c r="AA256" i="142" l="1"/>
  <c r="AB256" i="142" s="1"/>
  <c r="Y257" i="142"/>
  <c r="Z257" i="142" s="1"/>
  <c r="T258" i="142"/>
  <c r="U258" i="142" s="1"/>
  <c r="W258" i="142" s="1"/>
  <c r="X258" i="142" s="1"/>
  <c r="S259" i="142"/>
  <c r="AA257" i="142" l="1"/>
  <c r="AB257" i="142" s="1"/>
  <c r="S260" i="142"/>
  <c r="T259" i="142"/>
  <c r="U259" i="142" s="1"/>
  <c r="W259" i="142" s="1"/>
  <c r="X259" i="142" s="1"/>
  <c r="Y258" i="142"/>
  <c r="Z258" i="142" s="1"/>
  <c r="AA258" i="142" l="1"/>
  <c r="AB258" i="142" s="1"/>
  <c r="T260" i="142"/>
  <c r="U260" i="142" s="1"/>
  <c r="W260" i="142" s="1"/>
  <c r="X260" i="142" s="1"/>
  <c r="S261" i="142"/>
  <c r="Y259" i="142"/>
  <c r="Z259" i="142" s="1"/>
  <c r="AA259" i="142" l="1"/>
  <c r="AB259" i="142" s="1"/>
  <c r="Y260" i="142"/>
  <c r="Z260" i="142" s="1"/>
  <c r="S262" i="142"/>
  <c r="T261" i="142"/>
  <c r="U261" i="142" s="1"/>
  <c r="W261" i="142" s="1"/>
  <c r="X261" i="142" s="1"/>
  <c r="AA260" i="142" l="1"/>
  <c r="AB260" i="142" s="1"/>
  <c r="Y261" i="142"/>
  <c r="Z261" i="142" s="1"/>
  <c r="S263" i="142"/>
  <c r="T262" i="142"/>
  <c r="U262" i="142" s="1"/>
  <c r="W262" i="142" s="1"/>
  <c r="X262" i="142" s="1"/>
  <c r="AA261" i="142" l="1"/>
  <c r="AB261" i="142" s="1"/>
  <c r="Y262" i="142"/>
  <c r="Z262" i="142" s="1"/>
  <c r="S264" i="142"/>
  <c r="T263" i="142"/>
  <c r="U263" i="142" s="1"/>
  <c r="W263" i="142" s="1"/>
  <c r="X263" i="142" s="1"/>
  <c r="AA262" i="142" l="1"/>
  <c r="AB262" i="142" s="1"/>
  <c r="Y263" i="142"/>
  <c r="Z263" i="142" s="1"/>
  <c r="S265" i="142"/>
  <c r="T264" i="142"/>
  <c r="U264" i="142" s="1"/>
  <c r="W264" i="142" s="1"/>
  <c r="X264" i="142" s="1"/>
  <c r="AA263" i="142" l="1"/>
  <c r="AB263" i="142" s="1"/>
  <c r="Y264" i="142"/>
  <c r="Z264" i="142" s="1"/>
  <c r="S266" i="142"/>
  <c r="T265" i="142"/>
  <c r="U265" i="142" s="1"/>
  <c r="W265" i="142" s="1"/>
  <c r="X265" i="142" s="1"/>
  <c r="AA264" i="142" l="1"/>
  <c r="AB264" i="142" s="1"/>
  <c r="Y265" i="142"/>
  <c r="Z265" i="142" s="1"/>
  <c r="T266" i="142"/>
  <c r="U266" i="142" s="1"/>
  <c r="W266" i="142" s="1"/>
  <c r="X266" i="142" s="1"/>
  <c r="S267" i="142"/>
  <c r="AA265" i="142" l="1"/>
  <c r="AB265" i="142" s="1"/>
  <c r="S268" i="142"/>
  <c r="T267" i="142"/>
  <c r="U267" i="142" s="1"/>
  <c r="W267" i="142" s="1"/>
  <c r="X267" i="142" s="1"/>
  <c r="Y266" i="142"/>
  <c r="Z266" i="142" s="1"/>
  <c r="AA266" i="142" l="1"/>
  <c r="AB266" i="142" s="1"/>
  <c r="Y267" i="142"/>
  <c r="Z267" i="142" s="1"/>
  <c r="S269" i="142"/>
  <c r="T268" i="142"/>
  <c r="U268" i="142" s="1"/>
  <c r="W268" i="142" s="1"/>
  <c r="X268" i="142" s="1"/>
  <c r="AA267" i="142" l="1"/>
  <c r="AB267" i="142" s="1"/>
  <c r="Y268" i="142"/>
  <c r="Z268" i="142" s="1"/>
  <c r="S270" i="142"/>
  <c r="T269" i="142"/>
  <c r="U269" i="142" s="1"/>
  <c r="W269" i="142" s="1"/>
  <c r="X269" i="142" s="1"/>
  <c r="AA268" i="142" l="1"/>
  <c r="AB268" i="142" s="1"/>
  <c r="Y269" i="142"/>
  <c r="Z269" i="142" s="1"/>
  <c r="S271" i="142"/>
  <c r="T270" i="142"/>
  <c r="U270" i="142" s="1"/>
  <c r="W270" i="142" s="1"/>
  <c r="X270" i="142" s="1"/>
  <c r="AA269" i="142" l="1"/>
  <c r="AB269" i="142" s="1"/>
  <c r="Y270" i="142"/>
  <c r="Z270" i="142" s="1"/>
  <c r="S272" i="142"/>
  <c r="T271" i="142"/>
  <c r="U271" i="142" s="1"/>
  <c r="W271" i="142" s="1"/>
  <c r="X271" i="142" s="1"/>
  <c r="AA270" i="142" l="1"/>
  <c r="AB270" i="142" s="1"/>
  <c r="Y271" i="142"/>
  <c r="Z271" i="142" s="1"/>
  <c r="S273" i="142"/>
  <c r="T272" i="142"/>
  <c r="U272" i="142" s="1"/>
  <c r="W272" i="142" s="1"/>
  <c r="X272" i="142" s="1"/>
  <c r="AA271" i="142" l="1"/>
  <c r="AB271" i="142" s="1"/>
  <c r="Y272" i="142"/>
  <c r="Z272" i="142" s="1"/>
  <c r="S274" i="142"/>
  <c r="T273" i="142"/>
  <c r="U273" i="142" s="1"/>
  <c r="W273" i="142" s="1"/>
  <c r="X273" i="142" s="1"/>
  <c r="AA272" i="142" l="1"/>
  <c r="AB272" i="142" s="1"/>
  <c r="Y273" i="142"/>
  <c r="Z273" i="142" s="1"/>
  <c r="S275" i="142"/>
  <c r="T274" i="142"/>
  <c r="U274" i="142" s="1"/>
  <c r="W274" i="142" s="1"/>
  <c r="X274" i="142" s="1"/>
  <c r="AA273" i="142" l="1"/>
  <c r="AB273" i="142" s="1"/>
  <c r="Y274" i="142"/>
  <c r="Z274" i="142" s="1"/>
  <c r="S276" i="142"/>
  <c r="T275" i="142"/>
  <c r="U275" i="142" s="1"/>
  <c r="W275" i="142" s="1"/>
  <c r="X275" i="142" s="1"/>
  <c r="AA274" i="142" l="1"/>
  <c r="AB274" i="142" s="1"/>
  <c r="Y275" i="142"/>
  <c r="Z275" i="142" s="1"/>
  <c r="S277" i="142"/>
  <c r="T276" i="142"/>
  <c r="U276" i="142" s="1"/>
  <c r="W276" i="142" s="1"/>
  <c r="X276" i="142" s="1"/>
  <c r="AA275" i="142" l="1"/>
  <c r="AB275" i="142" s="1"/>
  <c r="Y276" i="142"/>
  <c r="Z276" i="142" s="1"/>
  <c r="S278" i="142"/>
  <c r="T277" i="142"/>
  <c r="U277" i="142" s="1"/>
  <c r="W277" i="142" s="1"/>
  <c r="X277" i="142" s="1"/>
  <c r="AA276" i="142" l="1"/>
  <c r="AB276" i="142" s="1"/>
  <c r="Y277" i="142"/>
  <c r="Z277" i="142" s="1"/>
  <c r="S279" i="142"/>
  <c r="T278" i="142"/>
  <c r="U278" i="142" s="1"/>
  <c r="W278" i="142" s="1"/>
  <c r="X278" i="142" s="1"/>
  <c r="AA277" i="142" l="1"/>
  <c r="AB277" i="142" s="1"/>
  <c r="Y278" i="142"/>
  <c r="Z278" i="142" s="1"/>
  <c r="S280" i="142"/>
  <c r="T279" i="142"/>
  <c r="U279" i="142" s="1"/>
  <c r="W279" i="142" s="1"/>
  <c r="X279" i="142" s="1"/>
  <c r="AA278" i="142" l="1"/>
  <c r="AB278" i="142" s="1"/>
  <c r="Y279" i="142"/>
  <c r="Z279" i="142" s="1"/>
  <c r="T280" i="142"/>
  <c r="U280" i="142" s="1"/>
  <c r="W280" i="142" s="1"/>
  <c r="X280" i="142" s="1"/>
  <c r="S281" i="142"/>
  <c r="AA279" i="142" l="1"/>
  <c r="AB279" i="142" s="1"/>
  <c r="S282" i="142"/>
  <c r="T281" i="142"/>
  <c r="U281" i="142" s="1"/>
  <c r="W281" i="142" s="1"/>
  <c r="X281" i="142" s="1"/>
  <c r="Y280" i="142"/>
  <c r="Z280" i="142" s="1"/>
  <c r="T282" i="142" l="1"/>
  <c r="U282" i="142" s="1"/>
  <c r="W282" i="142" s="1"/>
  <c r="X282" i="142" s="1"/>
  <c r="S283" i="142"/>
  <c r="AA280" i="142"/>
  <c r="AB280" i="142" s="1"/>
  <c r="Y281" i="142"/>
  <c r="Z281" i="142" s="1"/>
  <c r="S284" i="142" l="1"/>
  <c r="T283" i="142"/>
  <c r="U283" i="142" s="1"/>
  <c r="W283" i="142" s="1"/>
  <c r="X283" i="142" s="1"/>
  <c r="AA281" i="142"/>
  <c r="AB281" i="142" s="1"/>
  <c r="Y282" i="142"/>
  <c r="Z282" i="142" s="1"/>
  <c r="Y283" i="142" l="1"/>
  <c r="Z283" i="142" s="1"/>
  <c r="AA282" i="142"/>
  <c r="AB282" i="142" s="1"/>
  <c r="T284" i="142"/>
  <c r="U284" i="142" s="1"/>
  <c r="W284" i="142" s="1"/>
  <c r="X284" i="142" s="1"/>
  <c r="S285" i="142"/>
  <c r="AA283" i="142" l="1"/>
  <c r="AB283" i="142" s="1"/>
  <c r="S286" i="142"/>
  <c r="T285" i="142"/>
  <c r="U285" i="142" s="1"/>
  <c r="W285" i="142" s="1"/>
  <c r="X285" i="142" s="1"/>
  <c r="Y284" i="142"/>
  <c r="Z284" i="142" s="1"/>
  <c r="Y285" i="142" l="1"/>
  <c r="Z285" i="142" s="1"/>
  <c r="T286" i="142"/>
  <c r="U286" i="142" s="1"/>
  <c r="W286" i="142" s="1"/>
  <c r="X286" i="142" s="1"/>
  <c r="S287" i="142"/>
  <c r="AA284" i="142"/>
  <c r="AB284" i="142" s="1"/>
  <c r="AA285" i="142" l="1"/>
  <c r="AB285" i="142" s="1"/>
  <c r="Y286" i="142"/>
  <c r="Z286" i="142" s="1"/>
  <c r="S288" i="142"/>
  <c r="T287" i="142"/>
  <c r="U287" i="142" s="1"/>
  <c r="W287" i="142" s="1"/>
  <c r="X287" i="142" s="1"/>
  <c r="AA286" i="142" l="1"/>
  <c r="AB286" i="142" s="1"/>
  <c r="Y287" i="142"/>
  <c r="Z287" i="142" s="1"/>
  <c r="T288" i="142"/>
  <c r="U288" i="142" s="1"/>
  <c r="W288" i="142" s="1"/>
  <c r="X288" i="142" s="1"/>
  <c r="S289" i="142"/>
  <c r="AA287" i="142" l="1"/>
  <c r="AB287" i="142" s="1"/>
  <c r="S290" i="142"/>
  <c r="T289" i="142"/>
  <c r="U289" i="142" s="1"/>
  <c r="W289" i="142" s="1"/>
  <c r="X289" i="142" s="1"/>
  <c r="Y288" i="142"/>
  <c r="Z288" i="142" s="1"/>
  <c r="Y289" i="142" l="1"/>
  <c r="Z289" i="142" s="1"/>
  <c r="T290" i="142"/>
  <c r="U290" i="142" s="1"/>
  <c r="W290" i="142" s="1"/>
  <c r="X290" i="142" s="1"/>
  <c r="S291" i="142"/>
  <c r="AA288" i="142"/>
  <c r="AB288" i="142" s="1"/>
  <c r="AA289" i="142" l="1"/>
  <c r="AB289" i="142" s="1"/>
  <c r="Y290" i="142"/>
  <c r="Z290" i="142" s="1"/>
  <c r="S292" i="142"/>
  <c r="T291" i="142"/>
  <c r="U291" i="142" s="1"/>
  <c r="W291" i="142" s="1"/>
  <c r="X291" i="142" s="1"/>
  <c r="AA290" i="142" l="1"/>
  <c r="AB290" i="142" s="1"/>
  <c r="Y291" i="142"/>
  <c r="Z291" i="142" s="1"/>
  <c r="T292" i="142"/>
  <c r="U292" i="142" s="1"/>
  <c r="W292" i="142" s="1"/>
  <c r="X292" i="142" s="1"/>
  <c r="S293" i="142"/>
  <c r="AA291" i="142" l="1"/>
  <c r="AB291" i="142" s="1"/>
  <c r="S294" i="142"/>
  <c r="T293" i="142"/>
  <c r="U293" i="142" s="1"/>
  <c r="W293" i="142" s="1"/>
  <c r="X293" i="142" s="1"/>
  <c r="Y292" i="142"/>
  <c r="Z292" i="142" s="1"/>
  <c r="Y293" i="142" l="1"/>
  <c r="Z293" i="142" s="1"/>
  <c r="T294" i="142"/>
  <c r="U294" i="142" s="1"/>
  <c r="W294" i="142" s="1"/>
  <c r="X294" i="142" s="1"/>
  <c r="S295" i="142"/>
  <c r="AA292" i="142"/>
  <c r="AB292" i="142" s="1"/>
  <c r="AA293" i="142" l="1"/>
  <c r="AB293" i="142" s="1"/>
  <c r="Y294" i="142"/>
  <c r="Z294" i="142" s="1"/>
  <c r="S296" i="142"/>
  <c r="T295" i="142"/>
  <c r="U295" i="142" s="1"/>
  <c r="W295" i="142" s="1"/>
  <c r="X295" i="142" s="1"/>
  <c r="AA294" i="142" l="1"/>
  <c r="AB294" i="142" s="1"/>
  <c r="Y295" i="142"/>
  <c r="Z295" i="142" s="1"/>
  <c r="T296" i="142"/>
  <c r="U296" i="142" s="1"/>
  <c r="W296" i="142" s="1"/>
  <c r="X296" i="142" s="1"/>
  <c r="S297" i="142"/>
  <c r="AA295" i="142" l="1"/>
  <c r="AB295" i="142" s="1"/>
  <c r="S298" i="142"/>
  <c r="T297" i="142"/>
  <c r="U297" i="142" s="1"/>
  <c r="W297" i="142" s="1"/>
  <c r="X297" i="142" s="1"/>
  <c r="Y296" i="142"/>
  <c r="Z296" i="142" s="1"/>
  <c r="AA296" i="142" l="1"/>
  <c r="AB296" i="142" s="1"/>
  <c r="Y297" i="142"/>
  <c r="Z297" i="142" s="1"/>
  <c r="T298" i="142"/>
  <c r="U298" i="142" s="1"/>
  <c r="W298" i="142" s="1"/>
  <c r="X298" i="142" s="1"/>
  <c r="S299" i="142"/>
  <c r="AA297" i="142" l="1"/>
  <c r="AB297" i="142" s="1"/>
  <c r="S300" i="142"/>
  <c r="T299" i="142"/>
  <c r="U299" i="142" s="1"/>
  <c r="W299" i="142" s="1"/>
  <c r="X299" i="142" s="1"/>
  <c r="Y298" i="142"/>
  <c r="Z298" i="142" s="1"/>
  <c r="AA298" i="142" l="1"/>
  <c r="AB298" i="142" s="1"/>
  <c r="T300" i="142"/>
  <c r="U300" i="142" s="1"/>
  <c r="W300" i="142" s="1"/>
  <c r="X300" i="142" s="1"/>
  <c r="S301" i="142"/>
  <c r="Y299" i="142"/>
  <c r="Z299" i="142" s="1"/>
  <c r="AA299" i="142" l="1"/>
  <c r="AB299" i="142" s="1"/>
  <c r="Y300" i="142"/>
  <c r="Z300" i="142" s="1"/>
  <c r="S302" i="142"/>
  <c r="T301" i="142"/>
  <c r="U301" i="142" s="1"/>
  <c r="W301" i="142" s="1"/>
  <c r="X301" i="142" s="1"/>
  <c r="AA300" i="142" l="1"/>
  <c r="AB300" i="142" s="1"/>
  <c r="Y301" i="142"/>
  <c r="Z301" i="142" s="1"/>
  <c r="T302" i="142"/>
  <c r="U302" i="142" s="1"/>
  <c r="W302" i="142" s="1"/>
  <c r="X302" i="142" s="1"/>
  <c r="S303" i="142"/>
  <c r="AA301" i="142" l="1"/>
  <c r="AB301" i="142" s="1"/>
  <c r="S304" i="142"/>
  <c r="T303" i="142"/>
  <c r="U303" i="142" s="1"/>
  <c r="W303" i="142" s="1"/>
  <c r="X303" i="142" s="1"/>
  <c r="Y302" i="142"/>
  <c r="Z302" i="142" s="1"/>
  <c r="Y303" i="142" l="1"/>
  <c r="Z303" i="142" s="1"/>
  <c r="T304" i="142"/>
  <c r="U304" i="142" s="1"/>
  <c r="W304" i="142" s="1"/>
  <c r="X304" i="142" s="1"/>
  <c r="S305" i="142"/>
  <c r="AA302" i="142"/>
  <c r="AB302" i="142" s="1"/>
  <c r="AA303" i="142" l="1"/>
  <c r="AB303" i="142" s="1"/>
  <c r="Y304" i="142"/>
  <c r="Z304" i="142" s="1"/>
  <c r="S306" i="142"/>
  <c r="T305" i="142"/>
  <c r="U305" i="142" s="1"/>
  <c r="W305" i="142" s="1"/>
  <c r="X305" i="142" s="1"/>
  <c r="AA304" i="142" l="1"/>
  <c r="AB304" i="142" s="1"/>
  <c r="Y305" i="142"/>
  <c r="Z305" i="142" s="1"/>
  <c r="T306" i="142"/>
  <c r="U306" i="142" s="1"/>
  <c r="W306" i="142" s="1"/>
  <c r="X306" i="142" s="1"/>
  <c r="S307" i="142"/>
  <c r="AA305" i="142" l="1"/>
  <c r="AB305" i="142" s="1"/>
  <c r="S308" i="142"/>
  <c r="T307" i="142"/>
  <c r="U307" i="142" s="1"/>
  <c r="W307" i="142" s="1"/>
  <c r="X307" i="142" s="1"/>
  <c r="Y306" i="142"/>
  <c r="Z306" i="142" s="1"/>
  <c r="Y307" i="142" l="1"/>
  <c r="Z307" i="142" s="1"/>
  <c r="T308" i="142"/>
  <c r="U308" i="142" s="1"/>
  <c r="W308" i="142" s="1"/>
  <c r="X308" i="142" s="1"/>
  <c r="S309" i="142"/>
  <c r="AA306" i="142"/>
  <c r="AB306" i="142" s="1"/>
  <c r="AA307" i="142" l="1"/>
  <c r="AB307" i="142" s="1"/>
  <c r="S310" i="142"/>
  <c r="T309" i="142"/>
  <c r="U309" i="142" s="1"/>
  <c r="W309" i="142" s="1"/>
  <c r="X309" i="142" s="1"/>
  <c r="Y308" i="142"/>
  <c r="Z308" i="142" s="1"/>
  <c r="AA308" i="142" l="1"/>
  <c r="AB308" i="142" s="1"/>
  <c r="Y309" i="142"/>
  <c r="Z309" i="142" s="1"/>
  <c r="T310" i="142"/>
  <c r="U310" i="142" s="1"/>
  <c r="W310" i="142" s="1"/>
  <c r="X310" i="142" s="1"/>
  <c r="S311" i="142"/>
  <c r="AA309" i="142" l="1"/>
  <c r="AB309" i="142" s="1"/>
  <c r="S312" i="142"/>
  <c r="T311" i="142"/>
  <c r="U311" i="142" s="1"/>
  <c r="W311" i="142" s="1"/>
  <c r="X311" i="142" s="1"/>
  <c r="Y310" i="142"/>
  <c r="Z310" i="142" s="1"/>
  <c r="AA310" i="142" l="1"/>
  <c r="AB310" i="142" s="1"/>
  <c r="Y311" i="142"/>
  <c r="Z311" i="142" s="1"/>
  <c r="T312" i="142"/>
  <c r="U312" i="142" s="1"/>
  <c r="W312" i="142" s="1"/>
  <c r="X312" i="142" s="1"/>
  <c r="S313" i="142"/>
  <c r="AA311" i="142" l="1"/>
  <c r="AB311" i="142" s="1"/>
  <c r="S314" i="142"/>
  <c r="T313" i="142"/>
  <c r="U313" i="142" s="1"/>
  <c r="W313" i="142" s="1"/>
  <c r="X313" i="142" s="1"/>
  <c r="Y312" i="142"/>
  <c r="Z312" i="142" s="1"/>
  <c r="Y313" i="142" l="1"/>
  <c r="Z313" i="142" s="1"/>
  <c r="T314" i="142"/>
  <c r="U314" i="142" s="1"/>
  <c r="W314" i="142" s="1"/>
  <c r="X314" i="142" s="1"/>
  <c r="S315" i="142"/>
  <c r="AA312" i="142"/>
  <c r="AB312" i="142" s="1"/>
  <c r="AA313" i="142" l="1"/>
  <c r="AB313" i="142" s="1"/>
  <c r="Y314" i="142"/>
  <c r="Z314" i="142" s="1"/>
  <c r="S316" i="142"/>
  <c r="T315" i="142"/>
  <c r="U315" i="142" s="1"/>
  <c r="W315" i="142" s="1"/>
  <c r="X315" i="142" s="1"/>
  <c r="Y315" i="142" l="1"/>
  <c r="Z315" i="142" s="1"/>
  <c r="AA314" i="142"/>
  <c r="AB314" i="142" s="1"/>
  <c r="T316" i="142"/>
  <c r="U316" i="142" s="1"/>
  <c r="W316" i="142" s="1"/>
  <c r="X316" i="142" s="1"/>
  <c r="S317" i="142"/>
  <c r="AA315" i="142" l="1"/>
  <c r="AB315" i="142" s="1"/>
  <c r="S318" i="142"/>
  <c r="T317" i="142"/>
  <c r="U317" i="142" s="1"/>
  <c r="W317" i="142" s="1"/>
  <c r="X317" i="142" s="1"/>
  <c r="Y316" i="142"/>
  <c r="Z316" i="142" s="1"/>
  <c r="Y317" i="142" l="1"/>
  <c r="Z317" i="142" s="1"/>
  <c r="T318" i="142"/>
  <c r="U318" i="142" s="1"/>
  <c r="W318" i="142" s="1"/>
  <c r="X318" i="142" s="1"/>
  <c r="S319" i="142"/>
  <c r="AA316" i="142"/>
  <c r="AB316" i="142" s="1"/>
  <c r="AA317" i="142" l="1"/>
  <c r="AB317" i="142" s="1"/>
  <c r="S320" i="142"/>
  <c r="T319" i="142"/>
  <c r="U319" i="142" s="1"/>
  <c r="W319" i="142" s="1"/>
  <c r="X319" i="142" s="1"/>
  <c r="Y318" i="142"/>
  <c r="Z318" i="142" s="1"/>
  <c r="Y319" i="142" l="1"/>
  <c r="Z319" i="142" s="1"/>
  <c r="T320" i="142"/>
  <c r="U320" i="142" s="1"/>
  <c r="W320" i="142" s="1"/>
  <c r="X320" i="142" s="1"/>
  <c r="S321" i="142"/>
  <c r="AA318" i="142"/>
  <c r="AB318" i="142" s="1"/>
  <c r="AA319" i="142" l="1"/>
  <c r="AB319" i="142" s="1"/>
  <c r="S322" i="142"/>
  <c r="T321" i="142"/>
  <c r="U321" i="142" s="1"/>
  <c r="W321" i="142" s="1"/>
  <c r="X321" i="142" s="1"/>
  <c r="Y320" i="142"/>
  <c r="Z320" i="142" s="1"/>
  <c r="Y321" i="142" l="1"/>
  <c r="Z321" i="142" s="1"/>
  <c r="T322" i="142"/>
  <c r="U322" i="142" s="1"/>
  <c r="W322" i="142" s="1"/>
  <c r="X322" i="142" s="1"/>
  <c r="S323" i="142"/>
  <c r="AA320" i="142"/>
  <c r="AB320" i="142" s="1"/>
  <c r="AA321" i="142" l="1"/>
  <c r="AB321" i="142" s="1"/>
  <c r="S324" i="142"/>
  <c r="T323" i="142"/>
  <c r="U323" i="142" s="1"/>
  <c r="W323" i="142" s="1"/>
  <c r="X323" i="142" s="1"/>
  <c r="Y322" i="142"/>
  <c r="Z322" i="142" s="1"/>
  <c r="Y323" i="142" l="1"/>
  <c r="Z323" i="142" s="1"/>
  <c r="T324" i="142"/>
  <c r="U324" i="142" s="1"/>
  <c r="W324" i="142" s="1"/>
  <c r="X324" i="142" s="1"/>
  <c r="S325" i="142"/>
  <c r="AA322" i="142"/>
  <c r="AB322" i="142" s="1"/>
  <c r="AA323" i="142" l="1"/>
  <c r="AB323" i="142" s="1"/>
  <c r="S326" i="142"/>
  <c r="T325" i="142"/>
  <c r="U325" i="142" s="1"/>
  <c r="W325" i="142" s="1"/>
  <c r="X325" i="142" s="1"/>
  <c r="Y324" i="142"/>
  <c r="Z324" i="142" s="1"/>
  <c r="Y325" i="142" l="1"/>
  <c r="Z325" i="142" s="1"/>
  <c r="AA324" i="142"/>
  <c r="AB324" i="142" s="1"/>
  <c r="T326" i="142"/>
  <c r="U326" i="142" s="1"/>
  <c r="W326" i="142" s="1"/>
  <c r="X326" i="142" s="1"/>
  <c r="S327" i="142"/>
  <c r="AA325" i="142" l="1"/>
  <c r="AB325" i="142" s="1"/>
  <c r="S328" i="142"/>
  <c r="T327" i="142"/>
  <c r="U327" i="142" s="1"/>
  <c r="W327" i="142" s="1"/>
  <c r="X327" i="142" s="1"/>
  <c r="Y326" i="142"/>
  <c r="Z326" i="142" s="1"/>
  <c r="Y327" i="142" l="1"/>
  <c r="Z327" i="142" s="1"/>
  <c r="T328" i="142"/>
  <c r="U328" i="142" s="1"/>
  <c r="W328" i="142" s="1"/>
  <c r="X328" i="142" s="1"/>
  <c r="S329" i="142"/>
  <c r="AA326" i="142"/>
  <c r="AB326" i="142" s="1"/>
  <c r="Y328" i="142" l="1"/>
  <c r="Z328" i="142" s="1"/>
  <c r="S330" i="142"/>
  <c r="T329" i="142"/>
  <c r="U329" i="142" s="1"/>
  <c r="W329" i="142" s="1"/>
  <c r="X329" i="142" s="1"/>
  <c r="AA327" i="142"/>
  <c r="AB327" i="142" s="1"/>
  <c r="T330" i="142" l="1"/>
  <c r="U330" i="142" s="1"/>
  <c r="W330" i="142" s="1"/>
  <c r="X330" i="142" s="1"/>
  <c r="S331" i="142"/>
  <c r="AA328" i="142"/>
  <c r="AB328" i="142" s="1"/>
  <c r="Y329" i="142"/>
  <c r="Z329" i="142" s="1"/>
  <c r="AA329" i="142" l="1"/>
  <c r="AB329" i="142" s="1"/>
  <c r="S332" i="142"/>
  <c r="T331" i="142"/>
  <c r="U331" i="142" s="1"/>
  <c r="W331" i="142" s="1"/>
  <c r="X331" i="142" s="1"/>
  <c r="Y330" i="142"/>
  <c r="Z330" i="142" s="1"/>
  <c r="Y331" i="142" l="1"/>
  <c r="Z331" i="142" s="1"/>
  <c r="T332" i="142"/>
  <c r="U332" i="142" s="1"/>
  <c r="W332" i="142" s="1"/>
  <c r="X332" i="142" s="1"/>
  <c r="S333" i="142"/>
  <c r="AA330" i="142"/>
  <c r="AB330" i="142" s="1"/>
  <c r="AA331" i="142" l="1"/>
  <c r="AB331" i="142" s="1"/>
  <c r="Y332" i="142"/>
  <c r="Z332" i="142" s="1"/>
  <c r="S334" i="142"/>
  <c r="T333" i="142"/>
  <c r="U333" i="142" s="1"/>
  <c r="W333" i="142" s="1"/>
  <c r="X333" i="142" s="1"/>
  <c r="AA332" i="142" l="1"/>
  <c r="AB332" i="142" s="1"/>
  <c r="Y333" i="142"/>
  <c r="Z333" i="142" s="1"/>
  <c r="T334" i="142"/>
  <c r="U334" i="142" s="1"/>
  <c r="W334" i="142" s="1"/>
  <c r="X334" i="142" s="1"/>
  <c r="S335" i="142"/>
  <c r="AA333" i="142" l="1"/>
  <c r="AB333" i="142" s="1"/>
  <c r="S336" i="142"/>
  <c r="T335" i="142"/>
  <c r="U335" i="142" s="1"/>
  <c r="W335" i="142" s="1"/>
  <c r="X335" i="142" s="1"/>
  <c r="Y334" i="142"/>
  <c r="Z334" i="142" s="1"/>
  <c r="Y335" i="142" l="1"/>
  <c r="Z335" i="142" s="1"/>
  <c r="T336" i="142"/>
  <c r="U336" i="142" s="1"/>
  <c r="W336" i="142" s="1"/>
  <c r="X336" i="142" s="1"/>
  <c r="S337" i="142"/>
  <c r="AA334" i="142"/>
  <c r="AB334" i="142" s="1"/>
  <c r="AA335" i="142" l="1"/>
  <c r="AB335" i="142" s="1"/>
  <c r="Y336" i="142"/>
  <c r="Z336" i="142" s="1"/>
  <c r="S338" i="142"/>
  <c r="T337" i="142"/>
  <c r="U337" i="142" s="1"/>
  <c r="W337" i="142" s="1"/>
  <c r="X337" i="142" s="1"/>
  <c r="AA336" i="142" l="1"/>
  <c r="AB336" i="142" s="1"/>
  <c r="Y337" i="142"/>
  <c r="Z337" i="142" s="1"/>
  <c r="T338" i="142"/>
  <c r="U338" i="142" s="1"/>
  <c r="W338" i="142" s="1"/>
  <c r="X338" i="142" s="1"/>
  <c r="S339" i="142"/>
  <c r="AA337" i="142" l="1"/>
  <c r="AB337" i="142" s="1"/>
  <c r="S340" i="142"/>
  <c r="T339" i="142"/>
  <c r="U339" i="142" s="1"/>
  <c r="W339" i="142" s="1"/>
  <c r="X339" i="142" s="1"/>
  <c r="Y338" i="142"/>
  <c r="Z338" i="142" s="1"/>
  <c r="Y339" i="142" l="1"/>
  <c r="Z339" i="142" s="1"/>
  <c r="T340" i="142"/>
  <c r="U340" i="142" s="1"/>
  <c r="W340" i="142" s="1"/>
  <c r="X340" i="142" s="1"/>
  <c r="S341" i="142"/>
  <c r="AA338" i="142"/>
  <c r="AB338" i="142" s="1"/>
  <c r="AA339" i="142" l="1"/>
  <c r="AB339" i="142" s="1"/>
  <c r="Y340" i="142"/>
  <c r="Z340" i="142" s="1"/>
  <c r="S342" i="142"/>
  <c r="T341" i="142"/>
  <c r="U341" i="142" s="1"/>
  <c r="W341" i="142" s="1"/>
  <c r="X341" i="142" s="1"/>
  <c r="AA340" i="142" l="1"/>
  <c r="AB340" i="142" s="1"/>
  <c r="Y341" i="142"/>
  <c r="Z341" i="142" s="1"/>
  <c r="T342" i="142"/>
  <c r="U342" i="142" s="1"/>
  <c r="W342" i="142" s="1"/>
  <c r="X342" i="142" s="1"/>
  <c r="S343" i="142"/>
  <c r="AA341" i="142" l="1"/>
  <c r="AB341" i="142" s="1"/>
  <c r="S344" i="142"/>
  <c r="T343" i="142"/>
  <c r="U343" i="142" s="1"/>
  <c r="W343" i="142" s="1"/>
  <c r="X343" i="142" s="1"/>
  <c r="Y342" i="142"/>
  <c r="Z342" i="142" s="1"/>
  <c r="Y343" i="142" l="1"/>
  <c r="Z343" i="142" s="1"/>
  <c r="T344" i="142"/>
  <c r="U344" i="142" s="1"/>
  <c r="W344" i="142" s="1"/>
  <c r="X344" i="142" s="1"/>
  <c r="S345" i="142"/>
  <c r="AA342" i="142"/>
  <c r="AB342" i="142" s="1"/>
  <c r="AA343" i="142" l="1"/>
  <c r="AB343" i="142" s="1"/>
  <c r="Y344" i="142"/>
  <c r="Z344" i="142" s="1"/>
  <c r="S346" i="142"/>
  <c r="T345" i="142"/>
  <c r="U345" i="142" s="1"/>
  <c r="W345" i="142" s="1"/>
  <c r="X345" i="142" s="1"/>
  <c r="AA344" i="142" l="1"/>
  <c r="AB344" i="142" s="1"/>
  <c r="Y345" i="142"/>
  <c r="Z345" i="142" s="1"/>
  <c r="T346" i="142"/>
  <c r="U346" i="142" s="1"/>
  <c r="W346" i="142" s="1"/>
  <c r="X346" i="142" s="1"/>
  <c r="S347" i="142"/>
  <c r="AA345" i="142" l="1"/>
  <c r="AB345" i="142" s="1"/>
  <c r="S348" i="142"/>
  <c r="T347" i="142"/>
  <c r="U347" i="142" s="1"/>
  <c r="W347" i="142" s="1"/>
  <c r="X347" i="142" s="1"/>
  <c r="Y346" i="142"/>
  <c r="Z346" i="142" s="1"/>
  <c r="AA346" i="142" l="1"/>
  <c r="AB346" i="142" s="1"/>
  <c r="Y347" i="142"/>
  <c r="Z347" i="142" s="1"/>
  <c r="T348" i="142"/>
  <c r="U348" i="142" s="1"/>
  <c r="W348" i="142" s="1"/>
  <c r="X348" i="142" s="1"/>
  <c r="S349" i="142"/>
  <c r="AA347" i="142" l="1"/>
  <c r="AB347" i="142" s="1"/>
  <c r="S350" i="142"/>
  <c r="T349" i="142"/>
  <c r="U349" i="142" s="1"/>
  <c r="W349" i="142" s="1"/>
  <c r="X349" i="142" s="1"/>
  <c r="Y348" i="142"/>
  <c r="Z348" i="142" s="1"/>
  <c r="Y349" i="142" l="1"/>
  <c r="Z349" i="142" s="1"/>
  <c r="T350" i="142"/>
  <c r="U350" i="142" s="1"/>
  <c r="W350" i="142" s="1"/>
  <c r="X350" i="142" s="1"/>
  <c r="S351" i="142"/>
  <c r="AA348" i="142"/>
  <c r="AB348" i="142" s="1"/>
  <c r="AA349" i="142" l="1"/>
  <c r="AB349" i="142" s="1"/>
  <c r="Y350" i="142"/>
  <c r="Z350" i="142" s="1"/>
  <c r="S352" i="142"/>
  <c r="T351" i="142"/>
  <c r="U351" i="142" s="1"/>
  <c r="W351" i="142" s="1"/>
  <c r="X351" i="142" s="1"/>
  <c r="AA350" i="142" l="1"/>
  <c r="AB350" i="142" s="1"/>
  <c r="Y351" i="142"/>
  <c r="Z351" i="142" s="1"/>
  <c r="T352" i="142"/>
  <c r="U352" i="142" s="1"/>
  <c r="W352" i="142" s="1"/>
  <c r="X352" i="142" s="1"/>
  <c r="S353" i="142"/>
  <c r="AA351" i="142" l="1"/>
  <c r="AB351" i="142" s="1"/>
  <c r="S354" i="142"/>
  <c r="T353" i="142"/>
  <c r="U353" i="142" s="1"/>
  <c r="W353" i="142" s="1"/>
  <c r="X353" i="142" s="1"/>
  <c r="Y352" i="142"/>
  <c r="Z352" i="142" s="1"/>
  <c r="Y353" i="142" l="1"/>
  <c r="Z353" i="142" s="1"/>
  <c r="T354" i="142"/>
  <c r="U354" i="142" s="1"/>
  <c r="W354" i="142" s="1"/>
  <c r="X354" i="142" s="1"/>
  <c r="S355" i="142"/>
  <c r="AA352" i="142"/>
  <c r="AB352" i="142" s="1"/>
  <c r="AA353" i="142" l="1"/>
  <c r="AB353" i="142" s="1"/>
  <c r="Y354" i="142"/>
  <c r="Z354" i="142" s="1"/>
  <c r="S356" i="142"/>
  <c r="T355" i="142"/>
  <c r="U355" i="142" s="1"/>
  <c r="W355" i="142" s="1"/>
  <c r="X355" i="142" s="1"/>
  <c r="Y355" i="142" l="1"/>
  <c r="Z355" i="142" s="1"/>
  <c r="AA354" i="142"/>
  <c r="AB354" i="142" s="1"/>
  <c r="T356" i="142"/>
  <c r="U356" i="142" s="1"/>
  <c r="W356" i="142" s="1"/>
  <c r="X356" i="142" s="1"/>
  <c r="S357" i="142"/>
  <c r="AA355" i="142" l="1"/>
  <c r="AB355" i="142" s="1"/>
  <c r="S358" i="142"/>
  <c r="T357" i="142"/>
  <c r="U357" i="142" s="1"/>
  <c r="W357" i="142" s="1"/>
  <c r="X357" i="142" s="1"/>
  <c r="Y356" i="142"/>
  <c r="Z356" i="142" s="1"/>
  <c r="AA356" i="142" l="1"/>
  <c r="AB356" i="142" s="1"/>
  <c r="Y357" i="142"/>
  <c r="Z357" i="142" s="1"/>
  <c r="T358" i="142"/>
  <c r="U358" i="142" s="1"/>
  <c r="W358" i="142" s="1"/>
  <c r="X358" i="142" s="1"/>
  <c r="S359" i="142"/>
  <c r="AA357" i="142" l="1"/>
  <c r="AB357" i="142" s="1"/>
  <c r="S360" i="142"/>
  <c r="T359" i="142"/>
  <c r="U359" i="142" s="1"/>
  <c r="W359" i="142" s="1"/>
  <c r="X359" i="142" s="1"/>
  <c r="Y358" i="142"/>
  <c r="Z358" i="142" s="1"/>
  <c r="Y359" i="142" l="1"/>
  <c r="Z359" i="142" s="1"/>
  <c r="T360" i="142"/>
  <c r="U360" i="142" s="1"/>
  <c r="W360" i="142" s="1"/>
  <c r="X360" i="142" s="1"/>
  <c r="S361" i="142"/>
  <c r="AA358" i="142"/>
  <c r="AB358" i="142" s="1"/>
  <c r="AA359" i="142" l="1"/>
  <c r="AB359" i="142" s="1"/>
  <c r="Y360" i="142"/>
  <c r="Z360" i="142" s="1"/>
  <c r="S362" i="142"/>
  <c r="T361" i="142"/>
  <c r="U361" i="142" s="1"/>
  <c r="W361" i="142" s="1"/>
  <c r="X361" i="142" s="1"/>
  <c r="AA360" i="142" l="1"/>
  <c r="AB360" i="142" s="1"/>
  <c r="Y361" i="142"/>
  <c r="Z361" i="142" s="1"/>
  <c r="T362" i="142"/>
  <c r="U362" i="142" s="1"/>
  <c r="W362" i="142" s="1"/>
  <c r="X362" i="142" s="1"/>
  <c r="S363" i="142"/>
  <c r="AA361" i="142" l="1"/>
  <c r="AB361" i="142" s="1"/>
  <c r="S364" i="142"/>
  <c r="T363" i="142"/>
  <c r="U363" i="142" s="1"/>
  <c r="W363" i="142" s="1"/>
  <c r="X363" i="142" s="1"/>
  <c r="Y362" i="142"/>
  <c r="Z362" i="142" s="1"/>
  <c r="Y363" i="142" l="1"/>
  <c r="Z363" i="142" s="1"/>
  <c r="T364" i="142"/>
  <c r="U364" i="142" s="1"/>
  <c r="W364" i="142" s="1"/>
  <c r="X364" i="142" s="1"/>
  <c r="S365" i="142"/>
  <c r="AA362" i="142"/>
  <c r="AB362" i="142" s="1"/>
  <c r="AA363" i="142" l="1"/>
  <c r="AB363" i="142" s="1"/>
  <c r="S366" i="142"/>
  <c r="T365" i="142"/>
  <c r="U365" i="142" s="1"/>
  <c r="W365" i="142" s="1"/>
  <c r="X365" i="142" s="1"/>
  <c r="Y364" i="142"/>
  <c r="Z364" i="142" s="1"/>
  <c r="AA364" i="142" l="1"/>
  <c r="AB364" i="142" s="1"/>
  <c r="T366" i="142"/>
  <c r="U366" i="142" s="1"/>
  <c r="W366" i="142" s="1"/>
  <c r="X366" i="142" s="1"/>
  <c r="S367" i="142"/>
  <c r="Y365" i="142"/>
  <c r="Z365" i="142" s="1"/>
  <c r="AA365" i="142" l="1"/>
  <c r="AB365" i="142" s="1"/>
  <c r="Y366" i="142"/>
  <c r="Z366" i="142" s="1"/>
  <c r="S368" i="142"/>
  <c r="T367" i="142"/>
  <c r="U367" i="142" s="1"/>
  <c r="W367" i="142" s="1"/>
  <c r="X367" i="142" s="1"/>
  <c r="AA366" i="142" l="1"/>
  <c r="AB366" i="142" s="1"/>
  <c r="Y367" i="142"/>
  <c r="Z367" i="142" s="1"/>
  <c r="T368" i="142"/>
  <c r="U368" i="142" s="1"/>
  <c r="W368" i="142" s="1"/>
  <c r="X368" i="142" s="1"/>
  <c r="S369" i="142"/>
  <c r="AA367" i="142" l="1"/>
  <c r="AB367" i="142" s="1"/>
  <c r="S370" i="142"/>
  <c r="T369" i="142"/>
  <c r="U369" i="142" s="1"/>
  <c r="W369" i="142" s="1"/>
  <c r="X369" i="142" s="1"/>
  <c r="Y368" i="142"/>
  <c r="Z368" i="142" s="1"/>
  <c r="Y369" i="142" l="1"/>
  <c r="Z369" i="142" s="1"/>
  <c r="T370" i="142"/>
  <c r="U370" i="142" s="1"/>
  <c r="W370" i="142" s="1"/>
  <c r="X370" i="142" s="1"/>
  <c r="S371" i="142"/>
  <c r="AA368" i="142"/>
  <c r="AB368" i="142" s="1"/>
  <c r="AA369" i="142" l="1"/>
  <c r="AB369" i="142" s="1"/>
  <c r="S372" i="142"/>
  <c r="T371" i="142"/>
  <c r="U371" i="142" s="1"/>
  <c r="W371" i="142" s="1"/>
  <c r="X371" i="142" s="1"/>
  <c r="Y370" i="142"/>
  <c r="Z370" i="142" s="1"/>
  <c r="AA370" i="142" l="1"/>
  <c r="AB370" i="142" s="1"/>
  <c r="Y371" i="142"/>
  <c r="Z371" i="142" s="1"/>
  <c r="T372" i="142"/>
  <c r="U372" i="142" s="1"/>
  <c r="W372" i="142" s="1"/>
  <c r="X372" i="142" s="1"/>
  <c r="S373" i="142"/>
  <c r="AA371" i="142" l="1"/>
  <c r="AB371" i="142" s="1"/>
  <c r="S374" i="142"/>
  <c r="T373" i="142"/>
  <c r="U373" i="142" s="1"/>
  <c r="W373" i="142" s="1"/>
  <c r="X373" i="142" s="1"/>
  <c r="Y372" i="142"/>
  <c r="Z372" i="142" s="1"/>
  <c r="Y373" i="142" l="1"/>
  <c r="Z373" i="142" s="1"/>
  <c r="T374" i="142"/>
  <c r="U374" i="142" s="1"/>
  <c r="W374" i="142" s="1"/>
  <c r="X374" i="142" s="1"/>
  <c r="S375" i="142"/>
  <c r="AA372" i="142"/>
  <c r="AB372" i="142" s="1"/>
  <c r="AA373" i="142" l="1"/>
  <c r="AB373" i="142" s="1"/>
  <c r="Y374" i="142"/>
  <c r="Z374" i="142" s="1"/>
  <c r="S376" i="142"/>
  <c r="T375" i="142"/>
  <c r="U375" i="142" s="1"/>
  <c r="W375" i="142" s="1"/>
  <c r="X375" i="142" s="1"/>
  <c r="AA374" i="142" l="1"/>
  <c r="AB374" i="142" s="1"/>
  <c r="Y375" i="142"/>
  <c r="Z375" i="142" s="1"/>
  <c r="T376" i="142"/>
  <c r="U376" i="142" s="1"/>
  <c r="W376" i="142" s="1"/>
  <c r="X376" i="142" s="1"/>
  <c r="S377" i="142"/>
  <c r="AA375" i="142" l="1"/>
  <c r="AB375" i="142" s="1"/>
  <c r="S378" i="142"/>
  <c r="T377" i="142"/>
  <c r="U377" i="142" s="1"/>
  <c r="W377" i="142" s="1"/>
  <c r="X377" i="142" s="1"/>
  <c r="Y376" i="142"/>
  <c r="Z376" i="142" s="1"/>
  <c r="AA376" i="142" l="1"/>
  <c r="AB376" i="142" s="1"/>
  <c r="Y377" i="142"/>
  <c r="Z377" i="142" s="1"/>
  <c r="T378" i="142"/>
  <c r="U378" i="142" s="1"/>
  <c r="W378" i="142" s="1"/>
  <c r="X378" i="142" s="1"/>
  <c r="S379" i="142"/>
  <c r="AA377" i="142" l="1"/>
  <c r="AB377" i="142" s="1"/>
  <c r="S380" i="142"/>
  <c r="T379" i="142"/>
  <c r="U379" i="142" s="1"/>
  <c r="W379" i="142" s="1"/>
  <c r="X379" i="142" s="1"/>
  <c r="Y378" i="142"/>
  <c r="Z378" i="142" s="1"/>
  <c r="Y379" i="142" l="1"/>
  <c r="Z379" i="142" s="1"/>
  <c r="T380" i="142"/>
  <c r="U380" i="142" s="1"/>
  <c r="W380" i="142" s="1"/>
  <c r="X380" i="142" s="1"/>
  <c r="S381" i="142"/>
  <c r="AA378" i="142"/>
  <c r="AB378" i="142" s="1"/>
  <c r="AA379" i="142" l="1"/>
  <c r="AB379" i="142" s="1"/>
  <c r="Y380" i="142"/>
  <c r="Z380" i="142" s="1"/>
  <c r="S382" i="142"/>
  <c r="T381" i="142"/>
  <c r="U381" i="142" s="1"/>
  <c r="W381" i="142" s="1"/>
  <c r="X381" i="142" s="1"/>
  <c r="AA380" i="142" l="1"/>
  <c r="AB380" i="142" s="1"/>
  <c r="Y381" i="142"/>
  <c r="Z381" i="142" s="1"/>
  <c r="T382" i="142"/>
  <c r="U382" i="142" s="1"/>
  <c r="W382" i="142" s="1"/>
  <c r="X382" i="142" s="1"/>
  <c r="S383" i="142"/>
  <c r="AA381" i="142" l="1"/>
  <c r="AB381" i="142" s="1"/>
  <c r="S384" i="142"/>
  <c r="T383" i="142"/>
  <c r="U383" i="142" s="1"/>
  <c r="W383" i="142" s="1"/>
  <c r="X383" i="142" s="1"/>
  <c r="Y382" i="142"/>
  <c r="Z382" i="142" s="1"/>
  <c r="Y383" i="142" l="1"/>
  <c r="Z383" i="142" s="1"/>
  <c r="T384" i="142"/>
  <c r="U384" i="142" s="1"/>
  <c r="W384" i="142" s="1"/>
  <c r="X384" i="142" s="1"/>
  <c r="S385" i="142"/>
  <c r="AA382" i="142"/>
  <c r="AB382" i="142" s="1"/>
  <c r="AA383" i="142" l="1"/>
  <c r="AB383" i="142" s="1"/>
  <c r="Y384" i="142"/>
  <c r="Z384" i="142" s="1"/>
  <c r="S386" i="142"/>
  <c r="T385" i="142"/>
  <c r="U385" i="142" s="1"/>
  <c r="W385" i="142" s="1"/>
  <c r="X385" i="142" s="1"/>
  <c r="AA384" i="142" l="1"/>
  <c r="AB384" i="142" s="1"/>
  <c r="Y385" i="142"/>
  <c r="Z385" i="142" s="1"/>
  <c r="T386" i="142"/>
  <c r="U386" i="142" s="1"/>
  <c r="W386" i="142" s="1"/>
  <c r="X386" i="142" s="1"/>
  <c r="S387" i="142"/>
  <c r="AA385" i="142" l="1"/>
  <c r="AB385" i="142" s="1"/>
  <c r="S388" i="142"/>
  <c r="T387" i="142"/>
  <c r="U387" i="142" s="1"/>
  <c r="W387" i="142" s="1"/>
  <c r="X387" i="142" s="1"/>
  <c r="Y386" i="142"/>
  <c r="Z386" i="142" s="1"/>
  <c r="AA386" i="142" l="1"/>
  <c r="AB386" i="142" s="1"/>
  <c r="Y387" i="142"/>
  <c r="Z387" i="142" s="1"/>
  <c r="T388" i="142"/>
  <c r="U388" i="142" s="1"/>
  <c r="W388" i="142" s="1"/>
  <c r="X388" i="142" s="1"/>
  <c r="S389" i="142"/>
  <c r="AA387" i="142" l="1"/>
  <c r="AB387" i="142" s="1"/>
  <c r="S390" i="142"/>
  <c r="T389" i="142"/>
  <c r="U389" i="142" s="1"/>
  <c r="W389" i="142" s="1"/>
  <c r="X389" i="142" s="1"/>
  <c r="Y388" i="142"/>
  <c r="Z388" i="142" s="1"/>
  <c r="Y389" i="142" l="1"/>
  <c r="Z389" i="142" s="1"/>
  <c r="T390" i="142"/>
  <c r="U390" i="142" s="1"/>
  <c r="W390" i="142" s="1"/>
  <c r="X390" i="142" s="1"/>
  <c r="S391" i="142"/>
  <c r="AA388" i="142"/>
  <c r="AB388" i="142" s="1"/>
  <c r="AA389" i="142" l="1"/>
  <c r="AB389" i="142" s="1"/>
  <c r="Y390" i="142"/>
  <c r="Z390" i="142" s="1"/>
  <c r="S392" i="142"/>
  <c r="T391" i="142"/>
  <c r="U391" i="142" s="1"/>
  <c r="W391" i="142" s="1"/>
  <c r="X391" i="142" s="1"/>
  <c r="AA390" i="142" l="1"/>
  <c r="AB390" i="142" s="1"/>
  <c r="Y391" i="142"/>
  <c r="Z391" i="142" s="1"/>
  <c r="T392" i="142"/>
  <c r="U392" i="142" s="1"/>
  <c r="W392" i="142" s="1"/>
  <c r="X392" i="142" s="1"/>
  <c r="S393" i="142"/>
  <c r="AA391" i="142" l="1"/>
  <c r="AB391" i="142" s="1"/>
  <c r="S394" i="142"/>
  <c r="T393" i="142"/>
  <c r="U393" i="142" s="1"/>
  <c r="W393" i="142" s="1"/>
  <c r="X393" i="142" s="1"/>
  <c r="Y392" i="142"/>
  <c r="Z392" i="142" s="1"/>
  <c r="Y393" i="142" l="1"/>
  <c r="Z393" i="142" s="1"/>
  <c r="T394" i="142"/>
  <c r="U394" i="142" s="1"/>
  <c r="W394" i="142" s="1"/>
  <c r="X394" i="142" s="1"/>
  <c r="S395" i="142"/>
  <c r="AA392" i="142"/>
  <c r="AB392" i="142" s="1"/>
  <c r="AA393" i="142" l="1"/>
  <c r="AB393" i="142" s="1"/>
  <c r="Y394" i="142"/>
  <c r="Z394" i="142" s="1"/>
  <c r="S396" i="142"/>
  <c r="T395" i="142"/>
  <c r="U395" i="142" s="1"/>
  <c r="W395" i="142" s="1"/>
  <c r="X395" i="142" s="1"/>
  <c r="AA394" i="142" l="1"/>
  <c r="AB394" i="142" s="1"/>
  <c r="Y395" i="142"/>
  <c r="Z395" i="142" s="1"/>
  <c r="T396" i="142"/>
  <c r="U396" i="142" s="1"/>
  <c r="W396" i="142" s="1"/>
  <c r="X396" i="142" s="1"/>
  <c r="S397" i="142"/>
  <c r="AA395" i="142" l="1"/>
  <c r="AB395" i="142" s="1"/>
  <c r="S398" i="142"/>
  <c r="T397" i="142"/>
  <c r="U397" i="142" s="1"/>
  <c r="W397" i="142" s="1"/>
  <c r="X397" i="142" s="1"/>
  <c r="Y396" i="142"/>
  <c r="Z396" i="142" s="1"/>
  <c r="AA396" i="142" l="1"/>
  <c r="AB396" i="142" s="1"/>
  <c r="Y397" i="142"/>
  <c r="Z397" i="142" s="1"/>
  <c r="T398" i="142"/>
  <c r="U398" i="142" s="1"/>
  <c r="W398" i="142" s="1"/>
  <c r="X398" i="142" s="1"/>
  <c r="S399" i="142"/>
  <c r="AA397" i="142" l="1"/>
  <c r="AB397" i="142" s="1"/>
  <c r="S400" i="142"/>
  <c r="T399" i="142"/>
  <c r="U399" i="142" s="1"/>
  <c r="W399" i="142" s="1"/>
  <c r="X399" i="142" s="1"/>
  <c r="Y398" i="142"/>
  <c r="Z398" i="142" s="1"/>
  <c r="AA398" i="142" l="1"/>
  <c r="AB398" i="142" s="1"/>
  <c r="Y399" i="142"/>
  <c r="Z399" i="142" s="1"/>
  <c r="T400" i="142"/>
  <c r="U400" i="142" s="1"/>
  <c r="W400" i="142" s="1"/>
  <c r="X400" i="142" s="1"/>
  <c r="S401" i="142"/>
  <c r="AA399" i="142" l="1"/>
  <c r="AB399" i="142" s="1"/>
  <c r="S402" i="142"/>
  <c r="T401" i="142"/>
  <c r="U401" i="142" s="1"/>
  <c r="W401" i="142" s="1"/>
  <c r="X401" i="142" s="1"/>
  <c r="Y400" i="142"/>
  <c r="Z400" i="142" s="1"/>
  <c r="Y401" i="142" l="1"/>
  <c r="Z401" i="142" s="1"/>
  <c r="T402" i="142"/>
  <c r="U402" i="142" s="1"/>
  <c r="W402" i="142" s="1"/>
  <c r="X402" i="142" s="1"/>
  <c r="S403" i="142"/>
  <c r="AA400" i="142"/>
  <c r="AB400" i="142" s="1"/>
  <c r="AA401" i="142" l="1"/>
  <c r="AB401" i="142" s="1"/>
  <c r="Y402" i="142"/>
  <c r="Z402" i="142" s="1"/>
  <c r="S404" i="142"/>
  <c r="T403" i="142"/>
  <c r="U403" i="142" s="1"/>
  <c r="W403" i="142" s="1"/>
  <c r="X403" i="142" s="1"/>
  <c r="AA402" i="142" l="1"/>
  <c r="AB402" i="142" s="1"/>
  <c r="Y403" i="142"/>
  <c r="Z403" i="142" s="1"/>
  <c r="T404" i="142"/>
  <c r="U404" i="142" s="1"/>
  <c r="W404" i="142" s="1"/>
  <c r="X404" i="142" s="1"/>
  <c r="S405" i="142"/>
  <c r="AA403" i="142" l="1"/>
  <c r="AB403" i="142" s="1"/>
  <c r="T405" i="142"/>
  <c r="U405" i="142" s="1"/>
  <c r="W405" i="142" s="1"/>
  <c r="X405" i="142" s="1"/>
  <c r="S406" i="142"/>
  <c r="Y404" i="142"/>
  <c r="Z404" i="142" s="1"/>
  <c r="S407" i="142" l="1"/>
  <c r="T406" i="142"/>
  <c r="U406" i="142" s="1"/>
  <c r="W406" i="142" s="1"/>
  <c r="X406" i="142" s="1"/>
  <c r="Y405" i="142"/>
  <c r="Z405" i="142" s="1"/>
  <c r="AA404" i="142"/>
  <c r="AB404" i="142" s="1"/>
  <c r="AA405" i="142" l="1"/>
  <c r="AB405" i="142" s="1"/>
  <c r="Y406" i="142"/>
  <c r="Z406" i="142" s="1"/>
  <c r="T407" i="142"/>
  <c r="U407" i="142" s="1"/>
  <c r="W407" i="142" s="1"/>
  <c r="X407" i="142" s="1"/>
  <c r="S408" i="142"/>
  <c r="AA406" i="142" l="1"/>
  <c r="AB406" i="142" s="1"/>
  <c r="S409" i="142"/>
  <c r="T408" i="142"/>
  <c r="U408" i="142" s="1"/>
  <c r="W408" i="142" s="1"/>
  <c r="X408" i="142" s="1"/>
  <c r="Y407" i="142"/>
  <c r="Z407" i="142" s="1"/>
  <c r="AA407" i="142" l="1"/>
  <c r="AB407" i="142" s="1"/>
  <c r="S410" i="142"/>
  <c r="T409" i="142"/>
  <c r="U409" i="142" s="1"/>
  <c r="W409" i="142" s="1"/>
  <c r="X409" i="142" s="1"/>
  <c r="Y408" i="142"/>
  <c r="Z408" i="142" s="1"/>
  <c r="AA408" i="142" l="1"/>
  <c r="AB408" i="142" s="1"/>
  <c r="Y409" i="142"/>
  <c r="Z409" i="142" s="1"/>
  <c r="S411" i="142"/>
  <c r="T410" i="142"/>
  <c r="U410" i="142" s="1"/>
  <c r="W410" i="142" s="1"/>
  <c r="X410" i="142" s="1"/>
  <c r="AA409" i="142" l="1"/>
  <c r="AB409" i="142" s="1"/>
  <c r="Y410" i="142"/>
  <c r="Z410" i="142" s="1"/>
  <c r="S412" i="142"/>
  <c r="T411" i="142"/>
  <c r="U411" i="142" s="1"/>
  <c r="W411" i="142" s="1"/>
  <c r="X411" i="142" s="1"/>
  <c r="AA410" i="142" l="1"/>
  <c r="AB410" i="142" s="1"/>
  <c r="Y411" i="142"/>
  <c r="Z411" i="142" s="1"/>
  <c r="S413" i="142"/>
  <c r="T412" i="142"/>
  <c r="U412" i="142" s="1"/>
  <c r="W412" i="142" s="1"/>
  <c r="X412" i="142" s="1"/>
  <c r="AA411" i="142" l="1"/>
  <c r="AB411" i="142" s="1"/>
  <c r="Y412" i="142"/>
  <c r="Z412" i="142" s="1"/>
  <c r="T413" i="142"/>
  <c r="U413" i="142" s="1"/>
  <c r="W413" i="142" s="1"/>
  <c r="X413" i="142" s="1"/>
  <c r="S414" i="142"/>
  <c r="AA412" i="142" l="1"/>
  <c r="AB412" i="142" s="1"/>
  <c r="S415" i="142"/>
  <c r="T414" i="142"/>
  <c r="U414" i="142" s="1"/>
  <c r="W414" i="142" s="1"/>
  <c r="X414" i="142" s="1"/>
  <c r="Y413" i="142"/>
  <c r="Z413" i="142" s="1"/>
  <c r="AA413" i="142" l="1"/>
  <c r="AB413" i="142" s="1"/>
  <c r="T415" i="142"/>
  <c r="U415" i="142" s="1"/>
  <c r="W415" i="142" s="1"/>
  <c r="X415" i="142" s="1"/>
  <c r="S416" i="142"/>
  <c r="Y414" i="142"/>
  <c r="Z414" i="142" s="1"/>
  <c r="AA414" i="142" l="1"/>
  <c r="AB414" i="142" s="1"/>
  <c r="Y415" i="142"/>
  <c r="Z415" i="142" s="1"/>
  <c r="S417" i="142"/>
  <c r="T416" i="142"/>
  <c r="U416" i="142" s="1"/>
  <c r="W416" i="142" s="1"/>
  <c r="X416" i="142" s="1"/>
  <c r="AA415" i="142" l="1"/>
  <c r="AB415" i="142" s="1"/>
  <c r="Y416" i="142"/>
  <c r="Z416" i="142" s="1"/>
  <c r="S418" i="142"/>
  <c r="T417" i="142"/>
  <c r="U417" i="142" s="1"/>
  <c r="W417" i="142" s="1"/>
  <c r="X417" i="142" s="1"/>
  <c r="AA416" i="142" l="1"/>
  <c r="AB416" i="142" s="1"/>
  <c r="Y417" i="142"/>
  <c r="Z417" i="142" s="1"/>
  <c r="S419" i="142"/>
  <c r="T418" i="142"/>
  <c r="U418" i="142" s="1"/>
  <c r="W418" i="142" s="1"/>
  <c r="X418" i="142" s="1"/>
  <c r="AA417" i="142" l="1"/>
  <c r="AB417" i="142" s="1"/>
  <c r="Y418" i="142"/>
  <c r="Z418" i="142" s="1"/>
  <c r="S420" i="142"/>
  <c r="T419" i="142"/>
  <c r="U419" i="142" s="1"/>
  <c r="W419" i="142" s="1"/>
  <c r="X419" i="142" s="1"/>
  <c r="AA418" i="142" l="1"/>
  <c r="AB418" i="142" s="1"/>
  <c r="Y419" i="142"/>
  <c r="Z419" i="142" s="1"/>
  <c r="S421" i="142"/>
  <c r="T420" i="142"/>
  <c r="U420" i="142" s="1"/>
  <c r="W420" i="142" s="1"/>
  <c r="X420" i="142" s="1"/>
  <c r="AA419" i="142" l="1"/>
  <c r="AB419" i="142" s="1"/>
  <c r="Y420" i="142"/>
  <c r="Z420" i="142" s="1"/>
  <c r="T421" i="142"/>
  <c r="U421" i="142" s="1"/>
  <c r="W421" i="142" s="1"/>
  <c r="X421" i="142" s="1"/>
  <c r="S422" i="142"/>
  <c r="AA420" i="142" l="1"/>
  <c r="AB420" i="142" s="1"/>
  <c r="S423" i="142"/>
  <c r="T422" i="142"/>
  <c r="U422" i="142" s="1"/>
  <c r="W422" i="142" s="1"/>
  <c r="X422" i="142" s="1"/>
  <c r="Y421" i="142"/>
  <c r="Z421" i="142" s="1"/>
  <c r="AA421" i="142" l="1"/>
  <c r="AB421" i="142" s="1"/>
  <c r="Y422" i="142"/>
  <c r="Z422" i="142" s="1"/>
  <c r="T423" i="142"/>
  <c r="U423" i="142" s="1"/>
  <c r="W423" i="142" s="1"/>
  <c r="X423" i="142" s="1"/>
  <c r="S424" i="142"/>
  <c r="AA422" i="142" l="1"/>
  <c r="AB422" i="142" s="1"/>
  <c r="S425" i="142"/>
  <c r="T424" i="142"/>
  <c r="U424" i="142" s="1"/>
  <c r="W424" i="142" s="1"/>
  <c r="X424" i="142" s="1"/>
  <c r="Y423" i="142"/>
  <c r="Z423" i="142" s="1"/>
  <c r="AA423" i="142" l="1"/>
  <c r="AB423" i="142" s="1"/>
  <c r="Y424" i="142"/>
  <c r="Z424" i="142" s="1"/>
  <c r="S426" i="142"/>
  <c r="T425" i="142"/>
  <c r="U425" i="142" s="1"/>
  <c r="W425" i="142" s="1"/>
  <c r="X425" i="142" s="1"/>
  <c r="AA424" i="142" l="1"/>
  <c r="AB424" i="142" s="1"/>
  <c r="Y425" i="142"/>
  <c r="Z425" i="142" s="1"/>
  <c r="S427" i="142"/>
  <c r="T426" i="142"/>
  <c r="U426" i="142" s="1"/>
  <c r="W426" i="142" s="1"/>
  <c r="X426" i="142" s="1"/>
  <c r="AA425" i="142" l="1"/>
  <c r="AB425" i="142" s="1"/>
  <c r="Y426" i="142"/>
  <c r="Z426" i="142" s="1"/>
  <c r="S428" i="142"/>
  <c r="T427" i="142"/>
  <c r="U427" i="142" s="1"/>
  <c r="W427" i="142" s="1"/>
  <c r="X427" i="142" s="1"/>
  <c r="AA426" i="142" l="1"/>
  <c r="AB426" i="142" s="1"/>
  <c r="Y427" i="142"/>
  <c r="Z427" i="142" s="1"/>
  <c r="S429" i="142"/>
  <c r="T428" i="142"/>
  <c r="U428" i="142" s="1"/>
  <c r="W428" i="142" s="1"/>
  <c r="X428" i="142" s="1"/>
  <c r="AA427" i="142" l="1"/>
  <c r="AB427" i="142" s="1"/>
  <c r="Y428" i="142"/>
  <c r="Z428" i="142" s="1"/>
  <c r="T429" i="142"/>
  <c r="U429" i="142" s="1"/>
  <c r="W429" i="142" s="1"/>
  <c r="X429" i="142" s="1"/>
  <c r="S430" i="142"/>
  <c r="AA428" i="142" l="1"/>
  <c r="AB428" i="142" s="1"/>
  <c r="S431" i="142"/>
  <c r="T430" i="142"/>
  <c r="U430" i="142" s="1"/>
  <c r="W430" i="142" s="1"/>
  <c r="X430" i="142" s="1"/>
  <c r="Y429" i="142"/>
  <c r="Z429" i="142" s="1"/>
  <c r="AA429" i="142" l="1"/>
  <c r="AB429" i="142" s="1"/>
  <c r="T431" i="142"/>
  <c r="U431" i="142" s="1"/>
  <c r="W431" i="142" s="1"/>
  <c r="X431" i="142" s="1"/>
  <c r="S432" i="142"/>
  <c r="Y430" i="142"/>
  <c r="Z430" i="142" s="1"/>
  <c r="AA430" i="142" l="1"/>
  <c r="AB430" i="142" s="1"/>
  <c r="Y431" i="142"/>
  <c r="Z431" i="142" s="1"/>
  <c r="S433" i="142"/>
  <c r="T432" i="142"/>
  <c r="U432" i="142" s="1"/>
  <c r="W432" i="142" s="1"/>
  <c r="X432" i="142" s="1"/>
  <c r="AA431" i="142" l="1"/>
  <c r="AB431" i="142" s="1"/>
  <c r="Y432" i="142"/>
  <c r="Z432" i="142" s="1"/>
  <c r="S434" i="142"/>
  <c r="T433" i="142"/>
  <c r="U433" i="142" s="1"/>
  <c r="W433" i="142" s="1"/>
  <c r="X433" i="142" s="1"/>
  <c r="AA432" i="142" l="1"/>
  <c r="AB432" i="142" s="1"/>
  <c r="Y433" i="142"/>
  <c r="Z433" i="142" s="1"/>
  <c r="S435" i="142"/>
  <c r="T434" i="142"/>
  <c r="U434" i="142" s="1"/>
  <c r="W434" i="142" s="1"/>
  <c r="X434" i="142" s="1"/>
  <c r="AA433" i="142" l="1"/>
  <c r="AB433" i="142" s="1"/>
  <c r="Y434" i="142"/>
  <c r="Z434" i="142" s="1"/>
  <c r="S436" i="142"/>
  <c r="T435" i="142"/>
  <c r="U435" i="142" s="1"/>
  <c r="W435" i="142" s="1"/>
  <c r="X435" i="142" s="1"/>
  <c r="AA434" i="142" l="1"/>
  <c r="AB434" i="142" s="1"/>
  <c r="Y435" i="142"/>
  <c r="Z435" i="142" s="1"/>
  <c r="S437" i="142"/>
  <c r="T436" i="142"/>
  <c r="U436" i="142" s="1"/>
  <c r="W436" i="142" s="1"/>
  <c r="X436" i="142" s="1"/>
  <c r="AA435" i="142" l="1"/>
  <c r="AB435" i="142" s="1"/>
  <c r="Y436" i="142"/>
  <c r="Z436" i="142" s="1"/>
  <c r="T437" i="142"/>
  <c r="U437" i="142" s="1"/>
  <c r="W437" i="142" s="1"/>
  <c r="X437" i="142" s="1"/>
  <c r="S438" i="142"/>
  <c r="AA436" i="142" l="1"/>
  <c r="AB436" i="142" s="1"/>
  <c r="S439" i="142"/>
  <c r="T438" i="142"/>
  <c r="U438" i="142" s="1"/>
  <c r="W438" i="142" s="1"/>
  <c r="X438" i="142" s="1"/>
  <c r="Y437" i="142"/>
  <c r="Z437" i="142" s="1"/>
  <c r="AA437" i="142" l="1"/>
  <c r="AB437" i="142" s="1"/>
  <c r="Y438" i="142"/>
  <c r="Z438" i="142" s="1"/>
  <c r="T439" i="142"/>
  <c r="U439" i="142" s="1"/>
  <c r="W439" i="142" s="1"/>
  <c r="X439" i="142" s="1"/>
  <c r="S440" i="142"/>
  <c r="AA438" i="142" l="1"/>
  <c r="AB438" i="142" s="1"/>
  <c r="S441" i="142"/>
  <c r="T440" i="142"/>
  <c r="U440" i="142" s="1"/>
  <c r="W440" i="142" s="1"/>
  <c r="X440" i="142" s="1"/>
  <c r="Y439" i="142"/>
  <c r="Z439" i="142" s="1"/>
  <c r="AA439" i="142" l="1"/>
  <c r="AB439" i="142" s="1"/>
  <c r="Y440" i="142"/>
  <c r="Z440" i="142" s="1"/>
  <c r="S442" i="142"/>
  <c r="T441" i="142"/>
  <c r="U441" i="142" s="1"/>
  <c r="W441" i="142" s="1"/>
  <c r="X441" i="142" s="1"/>
  <c r="AA440" i="142" l="1"/>
  <c r="AB440" i="142" s="1"/>
  <c r="Y441" i="142"/>
  <c r="Z441" i="142" s="1"/>
  <c r="S443" i="142"/>
  <c r="T442" i="142"/>
  <c r="U442" i="142" s="1"/>
  <c r="W442" i="142" s="1"/>
  <c r="X442" i="142" s="1"/>
  <c r="AA441" i="142" l="1"/>
  <c r="AB441" i="142" s="1"/>
  <c r="Y442" i="142"/>
  <c r="Z442" i="142" s="1"/>
  <c r="S444" i="142"/>
  <c r="T443" i="142"/>
  <c r="U443" i="142" s="1"/>
  <c r="W443" i="142" s="1"/>
  <c r="X443" i="142" s="1"/>
  <c r="AA442" i="142" l="1"/>
  <c r="AB442" i="142" s="1"/>
  <c r="Y443" i="142"/>
  <c r="Z443" i="142" s="1"/>
  <c r="S445" i="142"/>
  <c r="T444" i="142"/>
  <c r="U444" i="142" s="1"/>
  <c r="W444" i="142" s="1"/>
  <c r="X444" i="142" s="1"/>
  <c r="AA443" i="142" l="1"/>
  <c r="AB443" i="142" s="1"/>
  <c r="Y444" i="142"/>
  <c r="Z444" i="142" s="1"/>
  <c r="T445" i="142"/>
  <c r="U445" i="142" s="1"/>
  <c r="W445" i="142" s="1"/>
  <c r="X445" i="142" s="1"/>
  <c r="S446" i="142"/>
  <c r="AA444" i="142" l="1"/>
  <c r="AB444" i="142" s="1"/>
  <c r="S447" i="142"/>
  <c r="T446" i="142"/>
  <c r="U446" i="142" s="1"/>
  <c r="W446" i="142" s="1"/>
  <c r="X446" i="142" s="1"/>
  <c r="Y445" i="142"/>
  <c r="Z445" i="142" s="1"/>
  <c r="AA445" i="142" l="1"/>
  <c r="AB445" i="142" s="1"/>
  <c r="Y446" i="142"/>
  <c r="Z446" i="142" s="1"/>
  <c r="T447" i="142"/>
  <c r="U447" i="142" s="1"/>
  <c r="W447" i="142" s="1"/>
  <c r="X447" i="142" s="1"/>
  <c r="S448" i="142"/>
  <c r="AA446" i="142" l="1"/>
  <c r="AB446" i="142" s="1"/>
  <c r="S449" i="142"/>
  <c r="T448" i="142"/>
  <c r="U448" i="142" s="1"/>
  <c r="W448" i="142" s="1"/>
  <c r="X448" i="142" s="1"/>
  <c r="Y447" i="142"/>
  <c r="Z447" i="142" s="1"/>
  <c r="AA447" i="142" l="1"/>
  <c r="AB447" i="142" s="1"/>
  <c r="Y448" i="142"/>
  <c r="Z448" i="142" s="1"/>
  <c r="S450" i="142"/>
  <c r="T449" i="142"/>
  <c r="U449" i="142" s="1"/>
  <c r="W449" i="142" s="1"/>
  <c r="X449" i="142" s="1"/>
  <c r="AA448" i="142" l="1"/>
  <c r="AB448" i="142" s="1"/>
  <c r="Y449" i="142"/>
  <c r="Z449" i="142" s="1"/>
  <c r="S451" i="142"/>
  <c r="T450" i="142"/>
  <c r="U450" i="142" s="1"/>
  <c r="W450" i="142" s="1"/>
  <c r="X450" i="142" s="1"/>
  <c r="AA449" i="142" l="1"/>
  <c r="AB449" i="142" s="1"/>
  <c r="Y450" i="142"/>
  <c r="Z450" i="142" s="1"/>
  <c r="S452" i="142"/>
  <c r="T451" i="142"/>
  <c r="U451" i="142" s="1"/>
  <c r="W451" i="142" s="1"/>
  <c r="X451" i="142" s="1"/>
  <c r="AA450" i="142" l="1"/>
  <c r="AB450" i="142" s="1"/>
  <c r="Y451" i="142"/>
  <c r="Z451" i="142" s="1"/>
  <c r="S453" i="142"/>
  <c r="T452" i="142"/>
  <c r="U452" i="142" s="1"/>
  <c r="W452" i="142" s="1"/>
  <c r="X452" i="142" s="1"/>
  <c r="AA451" i="142" l="1"/>
  <c r="AB451" i="142" s="1"/>
  <c r="Y452" i="142"/>
  <c r="Z452" i="142" s="1"/>
  <c r="T453" i="142"/>
  <c r="U453" i="142" s="1"/>
  <c r="W453" i="142" s="1"/>
  <c r="X453" i="142" s="1"/>
  <c r="S454" i="142"/>
  <c r="AA452" i="142" l="1"/>
  <c r="AB452" i="142" s="1"/>
  <c r="S455" i="142"/>
  <c r="T454" i="142"/>
  <c r="U454" i="142" s="1"/>
  <c r="W454" i="142" s="1"/>
  <c r="X454" i="142" s="1"/>
  <c r="Y453" i="142"/>
  <c r="Z453" i="142" s="1"/>
  <c r="AA453" i="142" l="1"/>
  <c r="AB453" i="142" s="1"/>
  <c r="Y454" i="142"/>
  <c r="Z454" i="142" s="1"/>
  <c r="T455" i="142"/>
  <c r="U455" i="142" s="1"/>
  <c r="W455" i="142" s="1"/>
  <c r="X455" i="142" s="1"/>
  <c r="S456" i="142"/>
  <c r="AA454" i="142" l="1"/>
  <c r="AB454" i="142" s="1"/>
  <c r="S457" i="142"/>
  <c r="T456" i="142"/>
  <c r="U456" i="142" s="1"/>
  <c r="W456" i="142" s="1"/>
  <c r="X456" i="142" s="1"/>
  <c r="Y455" i="142"/>
  <c r="Z455" i="142" s="1"/>
  <c r="AA455" i="142" l="1"/>
  <c r="AB455" i="142" s="1"/>
  <c r="Y456" i="142"/>
  <c r="Z456" i="142" s="1"/>
  <c r="S458" i="142"/>
  <c r="T457" i="142"/>
  <c r="U457" i="142" s="1"/>
  <c r="W457" i="142" s="1"/>
  <c r="X457" i="142" s="1"/>
  <c r="AA456" i="142" l="1"/>
  <c r="AB456" i="142" s="1"/>
  <c r="Y457" i="142"/>
  <c r="Z457" i="142" s="1"/>
  <c r="S459" i="142"/>
  <c r="T458" i="142"/>
  <c r="U458" i="142" s="1"/>
  <c r="W458" i="142" s="1"/>
  <c r="X458" i="142" s="1"/>
  <c r="AA457" i="142" l="1"/>
  <c r="AB457" i="142" s="1"/>
  <c r="Y458" i="142"/>
  <c r="Z458" i="142" s="1"/>
  <c r="S460" i="142"/>
  <c r="T459" i="142"/>
  <c r="U459" i="142" s="1"/>
  <c r="W459" i="142" s="1"/>
  <c r="X459" i="142" s="1"/>
  <c r="AA458" i="142" l="1"/>
  <c r="AB458" i="142" s="1"/>
  <c r="Y459" i="142"/>
  <c r="Z459" i="142" s="1"/>
  <c r="S461" i="142"/>
  <c r="T460" i="142"/>
  <c r="U460" i="142" s="1"/>
  <c r="W460" i="142" s="1"/>
  <c r="X460" i="142" s="1"/>
  <c r="AA459" i="142" l="1"/>
  <c r="AB459" i="142" s="1"/>
  <c r="Y460" i="142"/>
  <c r="Z460" i="142" s="1"/>
  <c r="T461" i="142"/>
  <c r="U461" i="142" s="1"/>
  <c r="W461" i="142" s="1"/>
  <c r="X461" i="142" s="1"/>
  <c r="S462" i="142"/>
  <c r="AA460" i="142" l="1"/>
  <c r="AB460" i="142" s="1"/>
  <c r="S463" i="142"/>
  <c r="T462" i="142"/>
  <c r="U462" i="142" s="1"/>
  <c r="W462" i="142" s="1"/>
  <c r="X462" i="142" s="1"/>
  <c r="Y461" i="142"/>
  <c r="Z461" i="142" s="1"/>
  <c r="AA461" i="142" l="1"/>
  <c r="AB461" i="142" s="1"/>
  <c r="Y462" i="142"/>
  <c r="Z462" i="142" s="1"/>
  <c r="T463" i="142"/>
  <c r="U463" i="142" s="1"/>
  <c r="W463" i="142" s="1"/>
  <c r="X463" i="142" s="1"/>
  <c r="S464" i="142"/>
  <c r="AA462" i="142" l="1"/>
  <c r="AB462" i="142" s="1"/>
  <c r="S465" i="142"/>
  <c r="T464" i="142"/>
  <c r="U464" i="142" s="1"/>
  <c r="W464" i="142" s="1"/>
  <c r="X464" i="142" s="1"/>
  <c r="Y463" i="142"/>
  <c r="Z463" i="142" s="1"/>
  <c r="AA463" i="142" l="1"/>
  <c r="AB463" i="142" s="1"/>
  <c r="Y464" i="142"/>
  <c r="Z464" i="142" s="1"/>
  <c r="S466" i="142"/>
  <c r="T465" i="142"/>
  <c r="U465" i="142" s="1"/>
  <c r="W465" i="142" s="1"/>
  <c r="X465" i="142" s="1"/>
  <c r="AA464" i="142" l="1"/>
  <c r="AB464" i="142" s="1"/>
  <c r="Y465" i="142"/>
  <c r="Z465" i="142" s="1"/>
  <c r="S467" i="142"/>
  <c r="T466" i="142"/>
  <c r="U466" i="142" s="1"/>
  <c r="W466" i="142" s="1"/>
  <c r="X466" i="142" s="1"/>
  <c r="AA465" i="142" l="1"/>
  <c r="AB465" i="142" s="1"/>
  <c r="Y466" i="142"/>
  <c r="Z466" i="142" s="1"/>
  <c r="S468" i="142"/>
  <c r="T467" i="142"/>
  <c r="U467" i="142" s="1"/>
  <c r="W467" i="142" s="1"/>
  <c r="X467" i="142" s="1"/>
  <c r="AA466" i="142" l="1"/>
  <c r="AB466" i="142" s="1"/>
  <c r="Y467" i="142"/>
  <c r="Z467" i="142" s="1"/>
  <c r="S469" i="142"/>
  <c r="T468" i="142"/>
  <c r="U468" i="142" s="1"/>
  <c r="W468" i="142" s="1"/>
  <c r="X468" i="142" s="1"/>
  <c r="AA467" i="142" l="1"/>
  <c r="AB467" i="142" s="1"/>
  <c r="Y468" i="142"/>
  <c r="Z468" i="142" s="1"/>
  <c r="T469" i="142"/>
  <c r="U469" i="142" s="1"/>
  <c r="W469" i="142" s="1"/>
  <c r="X469" i="142" s="1"/>
  <c r="S470" i="142"/>
  <c r="AA468" i="142" l="1"/>
  <c r="AB468" i="142" s="1"/>
  <c r="S471" i="142"/>
  <c r="T470" i="142"/>
  <c r="U470" i="142" s="1"/>
  <c r="W470" i="142" s="1"/>
  <c r="X470" i="142" s="1"/>
  <c r="Y469" i="142"/>
  <c r="Z469" i="142" s="1"/>
  <c r="AA469" i="142" l="1"/>
  <c r="AB469" i="142" s="1"/>
  <c r="Y470" i="142"/>
  <c r="Z470" i="142" s="1"/>
  <c r="T471" i="142"/>
  <c r="U471" i="142" s="1"/>
  <c r="W471" i="142" s="1"/>
  <c r="X471" i="142" s="1"/>
  <c r="S472" i="142"/>
  <c r="AA470" i="142" l="1"/>
  <c r="AB470" i="142" s="1"/>
  <c r="S473" i="142"/>
  <c r="T472" i="142"/>
  <c r="U472" i="142" s="1"/>
  <c r="W472" i="142" s="1"/>
  <c r="X472" i="142" s="1"/>
  <c r="Y471" i="142"/>
  <c r="Z471" i="142" s="1"/>
  <c r="AA471" i="142" l="1"/>
  <c r="AB471" i="142" s="1"/>
  <c r="Y472" i="142"/>
  <c r="Z472" i="142" s="1"/>
  <c r="S474" i="142"/>
  <c r="T473" i="142"/>
  <c r="U473" i="142" s="1"/>
  <c r="W473" i="142" s="1"/>
  <c r="X473" i="142" s="1"/>
  <c r="AA472" i="142" l="1"/>
  <c r="AB472" i="142" s="1"/>
  <c r="Y473" i="142"/>
  <c r="Z473" i="142" s="1"/>
  <c r="S475" i="142"/>
  <c r="T474" i="142"/>
  <c r="U474" i="142" s="1"/>
  <c r="W474" i="142" s="1"/>
  <c r="X474" i="142" s="1"/>
  <c r="AA473" i="142" l="1"/>
  <c r="AB473" i="142" s="1"/>
  <c r="Y474" i="142"/>
  <c r="Z474" i="142" s="1"/>
  <c r="S476" i="142"/>
  <c r="T475" i="142"/>
  <c r="U475" i="142" s="1"/>
  <c r="W475" i="142" s="1"/>
  <c r="X475" i="142" s="1"/>
  <c r="AA474" i="142" l="1"/>
  <c r="AB474" i="142" s="1"/>
  <c r="Y475" i="142"/>
  <c r="Z475" i="142" s="1"/>
  <c r="S477" i="142"/>
  <c r="T476" i="142"/>
  <c r="U476" i="142" s="1"/>
  <c r="W476" i="142" s="1"/>
  <c r="X476" i="142" s="1"/>
  <c r="AA475" i="142" l="1"/>
  <c r="AB475" i="142" s="1"/>
  <c r="Y476" i="142"/>
  <c r="Z476" i="142" s="1"/>
  <c r="T477" i="142"/>
  <c r="U477" i="142" s="1"/>
  <c r="W477" i="142" s="1"/>
  <c r="X477" i="142" s="1"/>
  <c r="S478" i="142"/>
  <c r="AA476" i="142" l="1"/>
  <c r="AB476" i="142" s="1"/>
  <c r="S479" i="142"/>
  <c r="T478" i="142"/>
  <c r="U478" i="142" s="1"/>
  <c r="W478" i="142" s="1"/>
  <c r="X478" i="142" s="1"/>
  <c r="Y477" i="142"/>
  <c r="Z477" i="142" s="1"/>
  <c r="AA477" i="142" l="1"/>
  <c r="AB477" i="142" s="1"/>
  <c r="Y478" i="142"/>
  <c r="Z478" i="142" s="1"/>
  <c r="T479" i="142"/>
  <c r="U479" i="142" s="1"/>
  <c r="W479" i="142" s="1"/>
  <c r="X479" i="142" s="1"/>
  <c r="S480" i="142"/>
  <c r="AA478" i="142" l="1"/>
  <c r="AB478" i="142" s="1"/>
  <c r="S481" i="142"/>
  <c r="T480" i="142"/>
  <c r="U480" i="142" s="1"/>
  <c r="W480" i="142" s="1"/>
  <c r="X480" i="142" s="1"/>
  <c r="Y479" i="142"/>
  <c r="Z479" i="142" s="1"/>
  <c r="AA479" i="142" l="1"/>
  <c r="AB479" i="142" s="1"/>
  <c r="Y480" i="142"/>
  <c r="Z480" i="142" s="1"/>
  <c r="S482" i="142"/>
  <c r="T481" i="142"/>
  <c r="U481" i="142" s="1"/>
  <c r="W481" i="142" s="1"/>
  <c r="X481" i="142" s="1"/>
  <c r="AA480" i="142" l="1"/>
  <c r="AB480" i="142" s="1"/>
  <c r="Y481" i="142"/>
  <c r="Z481" i="142" s="1"/>
  <c r="S483" i="142"/>
  <c r="T482" i="142"/>
  <c r="U482" i="142" s="1"/>
  <c r="W482" i="142" s="1"/>
  <c r="X482" i="142" s="1"/>
  <c r="AA481" i="142" l="1"/>
  <c r="AB481" i="142" s="1"/>
  <c r="Y482" i="142"/>
  <c r="Z482" i="142" s="1"/>
  <c r="S484" i="142"/>
  <c r="T483" i="142"/>
  <c r="U483" i="142" s="1"/>
  <c r="W483" i="142" s="1"/>
  <c r="X483" i="142" s="1"/>
  <c r="AA482" i="142" l="1"/>
  <c r="AB482" i="142" s="1"/>
  <c r="Y483" i="142"/>
  <c r="Z483" i="142" s="1"/>
  <c r="S485" i="142"/>
  <c r="T484" i="142"/>
  <c r="U484" i="142" s="1"/>
  <c r="W484" i="142" s="1"/>
  <c r="X484" i="142" s="1"/>
  <c r="AA483" i="142" l="1"/>
  <c r="AB483" i="142" s="1"/>
  <c r="Y484" i="142"/>
  <c r="Z484" i="142" s="1"/>
  <c r="T485" i="142"/>
  <c r="U485" i="142" s="1"/>
  <c r="W485" i="142" s="1"/>
  <c r="X485" i="142" s="1"/>
  <c r="S486" i="142"/>
  <c r="AA484" i="142" l="1"/>
  <c r="AB484" i="142" s="1"/>
  <c r="S487" i="142"/>
  <c r="T486" i="142"/>
  <c r="U486" i="142" s="1"/>
  <c r="W486" i="142" s="1"/>
  <c r="X486" i="142" s="1"/>
  <c r="Y485" i="142"/>
  <c r="Z485" i="142" s="1"/>
  <c r="AA485" i="142" l="1"/>
  <c r="AB485" i="142" s="1"/>
  <c r="Y486" i="142"/>
  <c r="Z486" i="142" s="1"/>
  <c r="T487" i="142"/>
  <c r="U487" i="142" s="1"/>
  <c r="W487" i="142" s="1"/>
  <c r="X487" i="142" s="1"/>
  <c r="S488" i="142"/>
  <c r="AA486" i="142" l="1"/>
  <c r="AB486" i="142" s="1"/>
  <c r="S489" i="142"/>
  <c r="T488" i="142"/>
  <c r="U488" i="142" s="1"/>
  <c r="W488" i="142" s="1"/>
  <c r="X488" i="142" s="1"/>
  <c r="Y487" i="142"/>
  <c r="Z487" i="142" s="1"/>
  <c r="AA487" i="142" l="1"/>
  <c r="AB487" i="142" s="1"/>
  <c r="Y488" i="142"/>
  <c r="Z488" i="142" s="1"/>
  <c r="S490" i="142"/>
  <c r="T489" i="142"/>
  <c r="U489" i="142" s="1"/>
  <c r="W489" i="142" s="1"/>
  <c r="X489" i="142" s="1"/>
  <c r="AA488" i="142" l="1"/>
  <c r="AB488" i="142" s="1"/>
  <c r="Y489" i="142"/>
  <c r="Z489" i="142" s="1"/>
  <c r="S491" i="142"/>
  <c r="T490" i="142"/>
  <c r="U490" i="142" s="1"/>
  <c r="W490" i="142" s="1"/>
  <c r="X490" i="142" s="1"/>
  <c r="AA489" i="142" l="1"/>
  <c r="AB489" i="142" s="1"/>
  <c r="Y490" i="142"/>
  <c r="Z490" i="142" s="1"/>
  <c r="S492" i="142"/>
  <c r="T491" i="142"/>
  <c r="U491" i="142" s="1"/>
  <c r="W491" i="142" s="1"/>
  <c r="X491" i="142" s="1"/>
  <c r="AA490" i="142" l="1"/>
  <c r="AB490" i="142" s="1"/>
  <c r="Y491" i="142"/>
  <c r="Z491" i="142" s="1"/>
  <c r="S493" i="142"/>
  <c r="T492" i="142"/>
  <c r="U492" i="142" s="1"/>
  <c r="W492" i="142" s="1"/>
  <c r="X492" i="142" s="1"/>
  <c r="AA491" i="142" l="1"/>
  <c r="AB491" i="142" s="1"/>
  <c r="Y492" i="142"/>
  <c r="Z492" i="142" s="1"/>
  <c r="T493" i="142"/>
  <c r="U493" i="142" s="1"/>
  <c r="W493" i="142" s="1"/>
  <c r="X493" i="142" s="1"/>
  <c r="S494" i="142"/>
  <c r="AA492" i="142" l="1"/>
  <c r="AB492" i="142" s="1"/>
  <c r="S495" i="142"/>
  <c r="T494" i="142"/>
  <c r="U494" i="142" s="1"/>
  <c r="W494" i="142" s="1"/>
  <c r="X494" i="142" s="1"/>
  <c r="Y493" i="142"/>
  <c r="Z493" i="142" s="1"/>
  <c r="AA493" i="142" l="1"/>
  <c r="AB493" i="142" s="1"/>
  <c r="Y494" i="142"/>
  <c r="Z494" i="142" s="1"/>
  <c r="T495" i="142"/>
  <c r="U495" i="142" s="1"/>
  <c r="W495" i="142" s="1"/>
  <c r="X495" i="142" s="1"/>
  <c r="S496" i="142"/>
  <c r="AA494" i="142" l="1"/>
  <c r="AB494" i="142" s="1"/>
  <c r="S497" i="142"/>
  <c r="T496" i="142"/>
  <c r="U496" i="142" s="1"/>
  <c r="W496" i="142" s="1"/>
  <c r="X496" i="142" s="1"/>
  <c r="Y495" i="142"/>
  <c r="Z495" i="142" s="1"/>
  <c r="AA495" i="142" l="1"/>
  <c r="AB495" i="142" s="1"/>
  <c r="Y496" i="142"/>
  <c r="Z496" i="142" s="1"/>
  <c r="S498" i="142"/>
  <c r="T497" i="142"/>
  <c r="U497" i="142" s="1"/>
  <c r="W497" i="142" s="1"/>
  <c r="X497" i="142" s="1"/>
  <c r="AA496" i="142" l="1"/>
  <c r="AB496" i="142" s="1"/>
  <c r="Y497" i="142"/>
  <c r="Z497" i="142" s="1"/>
  <c r="S499" i="142"/>
  <c r="T498" i="142"/>
  <c r="U498" i="142" s="1"/>
  <c r="W498" i="142" s="1"/>
  <c r="X498" i="142" s="1"/>
  <c r="AA497" i="142" l="1"/>
  <c r="AB497" i="142" s="1"/>
  <c r="Y498" i="142"/>
  <c r="Z498" i="142" s="1"/>
  <c r="S500" i="142"/>
  <c r="T499" i="142"/>
  <c r="U499" i="142" s="1"/>
  <c r="W499" i="142" s="1"/>
  <c r="X499" i="142" s="1"/>
  <c r="AA498" i="142" l="1"/>
  <c r="AB498" i="142" s="1"/>
  <c r="Y499" i="142"/>
  <c r="Z499" i="142" s="1"/>
  <c r="S501" i="142"/>
  <c r="T500" i="142"/>
  <c r="U500" i="142" s="1"/>
  <c r="W500" i="142" s="1"/>
  <c r="X500" i="142" s="1"/>
  <c r="AA499" i="142" l="1"/>
  <c r="AB499" i="142" s="1"/>
  <c r="Y500" i="142"/>
  <c r="Z500" i="142" s="1"/>
  <c r="S502" i="142"/>
  <c r="T501" i="142"/>
  <c r="U501" i="142" s="1"/>
  <c r="W501" i="142" s="1"/>
  <c r="X501" i="142" s="1"/>
  <c r="AA500" i="142" l="1"/>
  <c r="AB500" i="142" s="1"/>
  <c r="Y501" i="142"/>
  <c r="Z501" i="142" s="1"/>
  <c r="S503" i="142"/>
  <c r="T502" i="142"/>
  <c r="U502" i="142" s="1"/>
  <c r="W502" i="142" s="1"/>
  <c r="X502" i="142" s="1"/>
  <c r="AA501" i="142" l="1"/>
  <c r="AB501" i="142" s="1"/>
  <c r="Y502" i="142"/>
  <c r="Z502" i="142" s="1"/>
  <c r="S504" i="142"/>
  <c r="T503" i="142"/>
  <c r="U503" i="142" s="1"/>
  <c r="W503" i="142" s="1"/>
  <c r="X503" i="142" s="1"/>
  <c r="AA502" i="142" l="1"/>
  <c r="AB502" i="142" s="1"/>
  <c r="Y503" i="142"/>
  <c r="Z503" i="142" s="1"/>
  <c r="S505" i="142"/>
  <c r="T504" i="142"/>
  <c r="U504" i="142" s="1"/>
  <c r="W504" i="142" s="1"/>
  <c r="X504" i="142" s="1"/>
  <c r="AA503" i="142" l="1"/>
  <c r="AB503" i="142" s="1"/>
  <c r="Y504" i="142"/>
  <c r="Z504" i="142" s="1"/>
  <c r="T505" i="142"/>
  <c r="U505" i="142" s="1"/>
  <c r="W505" i="142" s="1"/>
  <c r="X505" i="142" s="1"/>
  <c r="S506" i="142"/>
  <c r="AA504" i="142" l="1"/>
  <c r="AB504" i="142" s="1"/>
  <c r="S507" i="142"/>
  <c r="T506" i="142"/>
  <c r="U506" i="142" s="1"/>
  <c r="W506" i="142" s="1"/>
  <c r="X506" i="142" s="1"/>
  <c r="Y505" i="142"/>
  <c r="Z505" i="142" s="1"/>
  <c r="AA505" i="142" l="1"/>
  <c r="AB505" i="142" s="1"/>
  <c r="Y506" i="142"/>
  <c r="Z506" i="142" s="1"/>
  <c r="T507" i="142"/>
  <c r="U507" i="142" s="1"/>
  <c r="W507" i="142" s="1"/>
  <c r="X507" i="142" s="1"/>
  <c r="S508" i="142"/>
  <c r="AA506" i="142" l="1"/>
  <c r="AB506" i="142" s="1"/>
  <c r="S509" i="142"/>
  <c r="T508" i="142"/>
  <c r="U508" i="142" s="1"/>
  <c r="W508" i="142" s="1"/>
  <c r="X508" i="142" s="1"/>
  <c r="Y507" i="142"/>
  <c r="Z507" i="142" s="1"/>
  <c r="AA507" i="142" l="1"/>
  <c r="AB507" i="142" s="1"/>
  <c r="S510" i="142"/>
  <c r="T509" i="142"/>
  <c r="U509" i="142" s="1"/>
  <c r="W509" i="142" s="1"/>
  <c r="X509" i="142" s="1"/>
  <c r="Y508" i="142"/>
  <c r="Z508" i="142" s="1"/>
  <c r="AA508" i="142" l="1"/>
  <c r="AB508" i="142" s="1"/>
  <c r="S511" i="142"/>
  <c r="T510" i="142"/>
  <c r="U510" i="142" s="1"/>
  <c r="W510" i="142" s="1"/>
  <c r="X510" i="142" s="1"/>
  <c r="Y509" i="142"/>
  <c r="Z509" i="142" s="1"/>
  <c r="Y510" i="142" l="1"/>
  <c r="Z510" i="142" s="1"/>
  <c r="S512" i="142"/>
  <c r="T511" i="142"/>
  <c r="U511" i="142" s="1"/>
  <c r="W511" i="142" s="1"/>
  <c r="X511" i="142" s="1"/>
  <c r="AA509" i="142"/>
  <c r="AB509" i="142" s="1"/>
  <c r="AA510" i="142" l="1"/>
  <c r="AB510" i="142" s="1"/>
  <c r="Y511" i="142"/>
  <c r="Z511" i="142" s="1"/>
  <c r="S513" i="142"/>
  <c r="T512" i="142"/>
  <c r="U512" i="142" s="1"/>
  <c r="W512" i="142" s="1"/>
  <c r="X512" i="142" s="1"/>
  <c r="AA511" i="142" l="1"/>
  <c r="AB511" i="142" s="1"/>
  <c r="Y512" i="142"/>
  <c r="Z512" i="142" s="1"/>
  <c r="T513" i="142"/>
  <c r="U513" i="142" s="1"/>
  <c r="W513" i="142" s="1"/>
  <c r="X513" i="142" s="1"/>
  <c r="S514" i="142"/>
  <c r="AA512" i="142" l="1"/>
  <c r="AB512" i="142" s="1"/>
  <c r="S515" i="142"/>
  <c r="T514" i="142"/>
  <c r="U514" i="142" s="1"/>
  <c r="W514" i="142" s="1"/>
  <c r="X514" i="142" s="1"/>
  <c r="Y513" i="142"/>
  <c r="Z513" i="142" s="1"/>
  <c r="AA513" i="142" l="1"/>
  <c r="AB513" i="142" s="1"/>
  <c r="Y514" i="142"/>
  <c r="Z514" i="142" s="1"/>
  <c r="T515" i="142"/>
  <c r="U515" i="142" s="1"/>
  <c r="W515" i="142" s="1"/>
  <c r="X515" i="142" s="1"/>
  <c r="S516" i="142"/>
  <c r="AA514" i="142" l="1"/>
  <c r="AB514" i="142" s="1"/>
  <c r="S517" i="142"/>
  <c r="T516" i="142"/>
  <c r="U516" i="142" s="1"/>
  <c r="W516" i="142" s="1"/>
  <c r="X516" i="142" s="1"/>
  <c r="Y515" i="142"/>
  <c r="Z515" i="142" s="1"/>
  <c r="AA515" i="142" l="1"/>
  <c r="AB515" i="142" s="1"/>
  <c r="Y516" i="142"/>
  <c r="Z516" i="142" s="1"/>
  <c r="S518" i="142"/>
  <c r="T517" i="142"/>
  <c r="U517" i="142" s="1"/>
  <c r="W517" i="142" s="1"/>
  <c r="X517" i="142" s="1"/>
  <c r="AA516" i="142" l="1"/>
  <c r="AB516" i="142" s="1"/>
  <c r="Y517" i="142"/>
  <c r="Z517" i="142" s="1"/>
  <c r="S519" i="142"/>
  <c r="T518" i="142"/>
  <c r="U518" i="142" s="1"/>
  <c r="W518" i="142" s="1"/>
  <c r="X518" i="142" s="1"/>
  <c r="AA517" i="142" l="1"/>
  <c r="AB517" i="142" s="1"/>
  <c r="Y518" i="142"/>
  <c r="Z518" i="142" s="1"/>
  <c r="S520" i="142"/>
  <c r="T519" i="142"/>
  <c r="U519" i="142" s="1"/>
  <c r="W519" i="142" s="1"/>
  <c r="X519" i="142" s="1"/>
  <c r="AA518" i="142" l="1"/>
  <c r="AB518" i="142" s="1"/>
  <c r="Y519" i="142"/>
  <c r="Z519" i="142" s="1"/>
  <c r="S521" i="142"/>
  <c r="T520" i="142"/>
  <c r="U520" i="142" s="1"/>
  <c r="W520" i="142" s="1"/>
  <c r="X520" i="142" s="1"/>
  <c r="AA519" i="142" l="1"/>
  <c r="AB519" i="142" s="1"/>
  <c r="Y520" i="142"/>
  <c r="Z520" i="142" s="1"/>
  <c r="T521" i="142"/>
  <c r="U521" i="142" s="1"/>
  <c r="W521" i="142" s="1"/>
  <c r="X521" i="142" s="1"/>
  <c r="S522" i="142"/>
  <c r="AA520" i="142" l="1"/>
  <c r="AB520" i="142" s="1"/>
  <c r="S523" i="142"/>
  <c r="T522" i="142"/>
  <c r="U522" i="142" s="1"/>
  <c r="W522" i="142" s="1"/>
  <c r="X522" i="142" s="1"/>
  <c r="Y521" i="142"/>
  <c r="Z521" i="142" s="1"/>
  <c r="AA521" i="142" l="1"/>
  <c r="AB521" i="142" s="1"/>
  <c r="Y522" i="142"/>
  <c r="Z522" i="142" s="1"/>
  <c r="T523" i="142"/>
  <c r="U523" i="142" s="1"/>
  <c r="W523" i="142" s="1"/>
  <c r="X523" i="142" s="1"/>
  <c r="S524" i="142"/>
  <c r="AA522" i="142" l="1"/>
  <c r="AB522" i="142" s="1"/>
  <c r="S525" i="142"/>
  <c r="T524" i="142"/>
  <c r="U524" i="142" s="1"/>
  <c r="W524" i="142" s="1"/>
  <c r="X524" i="142" s="1"/>
  <c r="Y523" i="142"/>
  <c r="Z523" i="142" s="1"/>
  <c r="AA523" i="142" l="1"/>
  <c r="AB523" i="142" s="1"/>
  <c r="Y524" i="142"/>
  <c r="Z524" i="142" s="1"/>
  <c r="S526" i="142"/>
  <c r="T525" i="142"/>
  <c r="U525" i="142" s="1"/>
  <c r="W525" i="142" s="1"/>
  <c r="X525" i="142" s="1"/>
  <c r="AA524" i="142" l="1"/>
  <c r="AB524" i="142" s="1"/>
  <c r="Y525" i="142"/>
  <c r="Z525" i="142" s="1"/>
  <c r="S527" i="142"/>
  <c r="T526" i="142"/>
  <c r="U526" i="142" s="1"/>
  <c r="W526" i="142" s="1"/>
  <c r="X526" i="142" s="1"/>
  <c r="AA525" i="142" l="1"/>
  <c r="AB525" i="142" s="1"/>
  <c r="Y526" i="142"/>
  <c r="Z526" i="142" s="1"/>
  <c r="S528" i="142"/>
  <c r="T527" i="142"/>
  <c r="U527" i="142" s="1"/>
  <c r="W527" i="142" s="1"/>
  <c r="X527" i="142" s="1"/>
  <c r="AA526" i="142" l="1"/>
  <c r="AB526" i="142" s="1"/>
  <c r="Y527" i="142"/>
  <c r="Z527" i="142" s="1"/>
  <c r="S529" i="142"/>
  <c r="T528" i="142"/>
  <c r="U528" i="142" s="1"/>
  <c r="W528" i="142" s="1"/>
  <c r="X528" i="142" s="1"/>
  <c r="AA527" i="142" l="1"/>
  <c r="AB527" i="142" s="1"/>
  <c r="Y528" i="142"/>
  <c r="Z528" i="142" s="1"/>
  <c r="T529" i="142"/>
  <c r="U529" i="142" s="1"/>
  <c r="W529" i="142" s="1"/>
  <c r="X529" i="142" s="1"/>
  <c r="S530" i="142"/>
  <c r="AA528" i="142" l="1"/>
  <c r="AB528" i="142" s="1"/>
  <c r="S531" i="142"/>
  <c r="T530" i="142"/>
  <c r="U530" i="142" s="1"/>
  <c r="W530" i="142" s="1"/>
  <c r="X530" i="142" s="1"/>
  <c r="Y529" i="142"/>
  <c r="Z529" i="142" s="1"/>
  <c r="AA529" i="142" l="1"/>
  <c r="AB529" i="142" s="1"/>
  <c r="T531" i="142"/>
  <c r="U531" i="142" s="1"/>
  <c r="W531" i="142" s="1"/>
  <c r="X531" i="142" s="1"/>
  <c r="S532" i="142"/>
  <c r="Y530" i="142"/>
  <c r="Z530" i="142" s="1"/>
  <c r="AA530" i="142" l="1"/>
  <c r="AB530" i="142" s="1"/>
  <c r="S533" i="142"/>
  <c r="T532" i="142"/>
  <c r="U532" i="142" s="1"/>
  <c r="W532" i="142" s="1"/>
  <c r="X532" i="142" s="1"/>
  <c r="Y531" i="142"/>
  <c r="Z531" i="142" s="1"/>
  <c r="AA531" i="142" l="1"/>
  <c r="AB531" i="142" s="1"/>
  <c r="S534" i="142"/>
  <c r="T533" i="142"/>
  <c r="U533" i="142" s="1"/>
  <c r="W533" i="142" s="1"/>
  <c r="X533" i="142" s="1"/>
  <c r="Y532" i="142"/>
  <c r="Z532" i="142" s="1"/>
  <c r="AA532" i="142" l="1"/>
  <c r="AB532" i="142" s="1"/>
  <c r="S535" i="142"/>
  <c r="T534" i="142"/>
  <c r="U534" i="142" s="1"/>
  <c r="W534" i="142" s="1"/>
  <c r="X534" i="142" s="1"/>
  <c r="Y533" i="142"/>
  <c r="Z533" i="142" s="1"/>
  <c r="AA533" i="142" l="1"/>
  <c r="AB533" i="142" s="1"/>
  <c r="Y534" i="142"/>
  <c r="Z534" i="142" s="1"/>
  <c r="S536" i="142"/>
  <c r="T535" i="142"/>
  <c r="U535" i="142" s="1"/>
  <c r="W535" i="142" s="1"/>
  <c r="X535" i="142" s="1"/>
  <c r="AA534" i="142" l="1"/>
  <c r="AB534" i="142" s="1"/>
  <c r="Y535" i="142"/>
  <c r="Z535" i="142" s="1"/>
  <c r="S537" i="142"/>
  <c r="T536" i="142"/>
  <c r="U536" i="142" s="1"/>
  <c r="W536" i="142" s="1"/>
  <c r="X536" i="142" s="1"/>
  <c r="AA535" i="142" l="1"/>
  <c r="AB535" i="142" s="1"/>
  <c r="Y536" i="142"/>
  <c r="Z536" i="142" s="1"/>
  <c r="T537" i="142"/>
  <c r="U537" i="142" s="1"/>
  <c r="W537" i="142" s="1"/>
  <c r="X537" i="142" s="1"/>
  <c r="S538" i="142"/>
  <c r="AA536" i="142" l="1"/>
  <c r="AB536" i="142" s="1"/>
  <c r="S539" i="142"/>
  <c r="T538" i="142"/>
  <c r="U538" i="142" s="1"/>
  <c r="W538" i="142" s="1"/>
  <c r="X538" i="142" s="1"/>
  <c r="Y537" i="142"/>
  <c r="Z537" i="142" s="1"/>
  <c r="AA537" i="142" l="1"/>
  <c r="AB537" i="142" s="1"/>
  <c r="Y538" i="142"/>
  <c r="Z538" i="142" s="1"/>
  <c r="T539" i="142"/>
  <c r="U539" i="142" s="1"/>
  <c r="W539" i="142" s="1"/>
  <c r="X539" i="142" s="1"/>
  <c r="S540" i="142"/>
  <c r="AA538" i="142" l="1"/>
  <c r="AB538" i="142" s="1"/>
  <c r="S541" i="142"/>
  <c r="T540" i="142"/>
  <c r="U540" i="142" s="1"/>
  <c r="W540" i="142" s="1"/>
  <c r="X540" i="142" s="1"/>
  <c r="Y539" i="142"/>
  <c r="Z539" i="142" s="1"/>
  <c r="AA539" i="142" l="1"/>
  <c r="AB539" i="142" s="1"/>
  <c r="Y540" i="142"/>
  <c r="Z540" i="142" s="1"/>
  <c r="S542" i="142"/>
  <c r="T541" i="142"/>
  <c r="U541" i="142" s="1"/>
  <c r="W541" i="142" s="1"/>
  <c r="X541" i="142" s="1"/>
  <c r="AA540" i="142" l="1"/>
  <c r="AB540" i="142" s="1"/>
  <c r="Y541" i="142"/>
  <c r="Z541" i="142" s="1"/>
  <c r="S543" i="142"/>
  <c r="T542" i="142"/>
  <c r="U542" i="142" s="1"/>
  <c r="W542" i="142" s="1"/>
  <c r="X542" i="142" s="1"/>
  <c r="AA541" i="142" l="1"/>
  <c r="AB541" i="142" s="1"/>
  <c r="Y542" i="142"/>
  <c r="Z542" i="142" s="1"/>
  <c r="S544" i="142"/>
  <c r="T543" i="142"/>
  <c r="U543" i="142" s="1"/>
  <c r="W543" i="142" s="1"/>
  <c r="X543" i="142" s="1"/>
  <c r="AA542" i="142" l="1"/>
  <c r="AB542" i="142" s="1"/>
  <c r="Y543" i="142"/>
  <c r="Z543" i="142" s="1"/>
  <c r="S545" i="142"/>
  <c r="T544" i="142"/>
  <c r="U544" i="142" s="1"/>
  <c r="W544" i="142" s="1"/>
  <c r="X544" i="142" s="1"/>
  <c r="AA543" i="142" l="1"/>
  <c r="AB543" i="142" s="1"/>
  <c r="Y544" i="142"/>
  <c r="Z544" i="142" s="1"/>
  <c r="T545" i="142"/>
  <c r="U545" i="142" s="1"/>
  <c r="W545" i="142" s="1"/>
  <c r="X545" i="142" s="1"/>
  <c r="S546" i="142"/>
  <c r="AA544" i="142" l="1"/>
  <c r="AB544" i="142" s="1"/>
  <c r="S547" i="142"/>
  <c r="T546" i="142"/>
  <c r="U546" i="142" s="1"/>
  <c r="W546" i="142" s="1"/>
  <c r="X546" i="142" s="1"/>
  <c r="Y545" i="142"/>
  <c r="Z545" i="142" s="1"/>
  <c r="AA545" i="142" l="1"/>
  <c r="AB545" i="142" s="1"/>
  <c r="Y546" i="142"/>
  <c r="Z546" i="142" s="1"/>
  <c r="T547" i="142"/>
  <c r="U547" i="142" s="1"/>
  <c r="W547" i="142" s="1"/>
  <c r="X547" i="142" s="1"/>
  <c r="S548" i="142"/>
  <c r="AA546" i="142" l="1"/>
  <c r="AB546" i="142" s="1"/>
  <c r="S549" i="142"/>
  <c r="T548" i="142"/>
  <c r="U548" i="142" s="1"/>
  <c r="W548" i="142" s="1"/>
  <c r="X548" i="142" s="1"/>
  <c r="Y547" i="142"/>
  <c r="Z547" i="142" s="1"/>
  <c r="AA547" i="142" l="1"/>
  <c r="AB547" i="142" s="1"/>
  <c r="Y548" i="142"/>
  <c r="Z548" i="142" s="1"/>
  <c r="S550" i="142"/>
  <c r="T549" i="142"/>
  <c r="U549" i="142" s="1"/>
  <c r="W549" i="142" s="1"/>
  <c r="X549" i="142" s="1"/>
  <c r="AA548" i="142" l="1"/>
  <c r="AB548" i="142"/>
  <c r="Y549" i="142"/>
  <c r="Z549" i="142" s="1"/>
  <c r="S551" i="142"/>
  <c r="T550" i="142"/>
  <c r="U550" i="142" s="1"/>
  <c r="W550" i="142" s="1"/>
  <c r="X550" i="142" s="1"/>
  <c r="AA549" i="142" l="1"/>
  <c r="AB549" i="142" s="1"/>
  <c r="Y550" i="142"/>
  <c r="Z550" i="142" s="1"/>
  <c r="S552" i="142"/>
  <c r="T551" i="142"/>
  <c r="U551" i="142" s="1"/>
  <c r="W551" i="142" s="1"/>
  <c r="X551" i="142" s="1"/>
  <c r="AA550" i="142" l="1"/>
  <c r="AB550" i="142" s="1"/>
  <c r="Y551" i="142"/>
  <c r="Z551" i="142" s="1"/>
  <c r="S553" i="142"/>
  <c r="T552" i="142"/>
  <c r="U552" i="142" s="1"/>
  <c r="W552" i="142" s="1"/>
  <c r="X552" i="142" s="1"/>
  <c r="AA551" i="142" l="1"/>
  <c r="AB551" i="142" s="1"/>
  <c r="Y552" i="142"/>
  <c r="Z552" i="142" s="1"/>
  <c r="T553" i="142"/>
  <c r="U553" i="142" s="1"/>
  <c r="W553" i="142" s="1"/>
  <c r="X553" i="142" s="1"/>
  <c r="S554" i="142"/>
  <c r="AA552" i="142" l="1"/>
  <c r="AB552" i="142" s="1"/>
  <c r="S555" i="142"/>
  <c r="T554" i="142"/>
  <c r="U554" i="142" s="1"/>
  <c r="W554" i="142" s="1"/>
  <c r="X554" i="142" s="1"/>
  <c r="Y553" i="142"/>
  <c r="Z553" i="142" s="1"/>
  <c r="AA553" i="142" l="1"/>
  <c r="AB553" i="142" s="1"/>
  <c r="Y554" i="142"/>
  <c r="Z554" i="142" s="1"/>
  <c r="T555" i="142"/>
  <c r="U555" i="142" s="1"/>
  <c r="W555" i="142" s="1"/>
  <c r="X555" i="142" s="1"/>
  <c r="S556" i="142"/>
  <c r="AA554" i="142" l="1"/>
  <c r="AB554" i="142" s="1"/>
  <c r="S557" i="142"/>
  <c r="T556" i="142"/>
  <c r="U556" i="142" s="1"/>
  <c r="W556" i="142" s="1"/>
  <c r="X556" i="142" s="1"/>
  <c r="Y555" i="142"/>
  <c r="Z555" i="142" s="1"/>
  <c r="AA555" i="142" l="1"/>
  <c r="AB555" i="142" s="1"/>
  <c r="Y556" i="142"/>
  <c r="Z556" i="142" s="1"/>
  <c r="S558" i="142"/>
  <c r="T557" i="142"/>
  <c r="U557" i="142" s="1"/>
  <c r="W557" i="142" s="1"/>
  <c r="X557" i="142" s="1"/>
  <c r="AA556" i="142" l="1"/>
  <c r="AB556" i="142" s="1"/>
  <c r="Y557" i="142"/>
  <c r="Z557" i="142" s="1"/>
  <c r="S559" i="142"/>
  <c r="T558" i="142"/>
  <c r="U558" i="142" s="1"/>
  <c r="W558" i="142" s="1"/>
  <c r="X558" i="142" s="1"/>
  <c r="AA557" i="142" l="1"/>
  <c r="AB557" i="142" s="1"/>
  <c r="Y558" i="142"/>
  <c r="Z558" i="142" s="1"/>
  <c r="S560" i="142"/>
  <c r="T559" i="142"/>
  <c r="U559" i="142" s="1"/>
  <c r="W559" i="142" s="1"/>
  <c r="X559" i="142" s="1"/>
  <c r="AA558" i="142" l="1"/>
  <c r="AB558" i="142" s="1"/>
  <c r="Y559" i="142"/>
  <c r="Z559" i="142" s="1"/>
  <c r="S561" i="142"/>
  <c r="T560" i="142"/>
  <c r="U560" i="142" s="1"/>
  <c r="W560" i="142" s="1"/>
  <c r="X560" i="142" s="1"/>
  <c r="AA559" i="142" l="1"/>
  <c r="AB559" i="142" s="1"/>
  <c r="Y560" i="142"/>
  <c r="Z560" i="142" s="1"/>
  <c r="T561" i="142"/>
  <c r="U561" i="142" s="1"/>
  <c r="W561" i="142" s="1"/>
  <c r="X561" i="142" s="1"/>
  <c r="S562" i="142"/>
  <c r="AA560" i="142" l="1"/>
  <c r="AB560" i="142" s="1"/>
  <c r="S563" i="142"/>
  <c r="T562" i="142"/>
  <c r="U562" i="142" s="1"/>
  <c r="W562" i="142" s="1"/>
  <c r="X562" i="142" s="1"/>
  <c r="Y561" i="142"/>
  <c r="Z561" i="142" s="1"/>
  <c r="AA561" i="142" l="1"/>
  <c r="AB561" i="142" s="1"/>
  <c r="Y562" i="142"/>
  <c r="Z562" i="142" s="1"/>
  <c r="T563" i="142"/>
  <c r="U563" i="142" s="1"/>
  <c r="W563" i="142" s="1"/>
  <c r="X563" i="142" s="1"/>
  <c r="S564" i="142"/>
  <c r="AA562" i="142" l="1"/>
  <c r="AB562" i="142" s="1"/>
  <c r="S565" i="142"/>
  <c r="T564" i="142"/>
  <c r="U564" i="142" s="1"/>
  <c r="W564" i="142" s="1"/>
  <c r="X564" i="142" s="1"/>
  <c r="Y563" i="142"/>
  <c r="Z563" i="142" s="1"/>
  <c r="AA563" i="142" l="1"/>
  <c r="AB563" i="142" s="1"/>
  <c r="Y564" i="142"/>
  <c r="Z564" i="142" s="1"/>
  <c r="S566" i="142"/>
  <c r="T565" i="142"/>
  <c r="U565" i="142" s="1"/>
  <c r="W565" i="142" s="1"/>
  <c r="X565" i="142" s="1"/>
  <c r="AA564" i="142" l="1"/>
  <c r="AB564" i="142" s="1"/>
  <c r="Y565" i="142"/>
  <c r="Z565" i="142" s="1"/>
  <c r="S567" i="142"/>
  <c r="T566" i="142"/>
  <c r="U566" i="142" s="1"/>
  <c r="W566" i="142" s="1"/>
  <c r="X566" i="142" s="1"/>
  <c r="AA565" i="142" l="1"/>
  <c r="AB565" i="142" s="1"/>
  <c r="S568" i="142"/>
  <c r="T567" i="142"/>
  <c r="U567" i="142" s="1"/>
  <c r="W567" i="142" s="1"/>
  <c r="X567" i="142" s="1"/>
  <c r="Y566" i="142"/>
  <c r="Z566" i="142" s="1"/>
  <c r="AA566" i="142" l="1"/>
  <c r="AB566" i="142" s="1"/>
  <c r="Y567" i="142"/>
  <c r="Z567" i="142" s="1"/>
  <c r="S569" i="142"/>
  <c r="T568" i="142"/>
  <c r="U568" i="142" s="1"/>
  <c r="W568" i="142" s="1"/>
  <c r="X568" i="142" s="1"/>
  <c r="AA567" i="142" l="1"/>
  <c r="AB567" i="142" s="1"/>
  <c r="Y568" i="142"/>
  <c r="Z568" i="142" s="1"/>
  <c r="T569" i="142"/>
  <c r="U569" i="142" s="1"/>
  <c r="W569" i="142" s="1"/>
  <c r="X569" i="142" s="1"/>
  <c r="S570" i="142"/>
  <c r="AA568" i="142" l="1"/>
  <c r="AB568" i="142" s="1"/>
  <c r="S571" i="142"/>
  <c r="T570" i="142"/>
  <c r="U570" i="142" s="1"/>
  <c r="W570" i="142" s="1"/>
  <c r="X570" i="142" s="1"/>
  <c r="Y569" i="142"/>
  <c r="Z569" i="142" s="1"/>
  <c r="AA569" i="142" l="1"/>
  <c r="AB569" i="142" s="1"/>
  <c r="Y570" i="142"/>
  <c r="Z570" i="142" s="1"/>
  <c r="T571" i="142"/>
  <c r="U571" i="142" s="1"/>
  <c r="W571" i="142" s="1"/>
  <c r="X571" i="142" s="1"/>
  <c r="S572" i="142"/>
  <c r="AA570" i="142" l="1"/>
  <c r="AB570" i="142" s="1"/>
  <c r="S573" i="142"/>
  <c r="T572" i="142"/>
  <c r="U572" i="142" s="1"/>
  <c r="W572" i="142" s="1"/>
  <c r="X572" i="142" s="1"/>
  <c r="Y571" i="142"/>
  <c r="Z571" i="142" s="1"/>
  <c r="AA571" i="142" l="1"/>
  <c r="AB571" i="142" s="1"/>
  <c r="S574" i="142"/>
  <c r="T573" i="142"/>
  <c r="U573" i="142" s="1"/>
  <c r="W573" i="142" s="1"/>
  <c r="X573" i="142" s="1"/>
  <c r="Y572" i="142"/>
  <c r="Z572" i="142" s="1"/>
  <c r="AA572" i="142" l="1"/>
  <c r="AB572" i="142" s="1"/>
  <c r="S575" i="142"/>
  <c r="T574" i="142"/>
  <c r="U574" i="142" s="1"/>
  <c r="W574" i="142" s="1"/>
  <c r="X574" i="142" s="1"/>
  <c r="Y573" i="142"/>
  <c r="Z573" i="142" s="1"/>
  <c r="S576" i="142" l="1"/>
  <c r="T575" i="142"/>
  <c r="U575" i="142" s="1"/>
  <c r="W575" i="142" s="1"/>
  <c r="X575" i="142" s="1"/>
  <c r="Y574" i="142"/>
  <c r="Z574" i="142" s="1"/>
  <c r="AA573" i="142"/>
  <c r="AB573" i="142" s="1"/>
  <c r="AA574" i="142" l="1"/>
  <c r="AB574" i="142" s="1"/>
  <c r="Y575" i="142"/>
  <c r="Z575" i="142" s="1"/>
  <c r="S577" i="142"/>
  <c r="T576" i="142"/>
  <c r="U576" i="142" s="1"/>
  <c r="W576" i="142" s="1"/>
  <c r="X576" i="142" s="1"/>
  <c r="AA575" i="142" l="1"/>
  <c r="AB575" i="142" s="1"/>
  <c r="Y576" i="142"/>
  <c r="Z576" i="142" s="1"/>
  <c r="T577" i="142"/>
  <c r="U577" i="142" s="1"/>
  <c r="W577" i="142" s="1"/>
  <c r="X577" i="142" s="1"/>
  <c r="S578" i="142"/>
  <c r="AA576" i="142" l="1"/>
  <c r="AB576" i="142" s="1"/>
  <c r="S579" i="142"/>
  <c r="T578" i="142"/>
  <c r="U578" i="142" s="1"/>
  <c r="W578" i="142" s="1"/>
  <c r="X578" i="142" s="1"/>
  <c r="Y577" i="142"/>
  <c r="Z577" i="142" s="1"/>
  <c r="AA577" i="142" l="1"/>
  <c r="AB577" i="142" s="1"/>
  <c r="T579" i="142"/>
  <c r="U579" i="142" s="1"/>
  <c r="W579" i="142" s="1"/>
  <c r="X579" i="142" s="1"/>
  <c r="S580" i="142"/>
  <c r="Y578" i="142"/>
  <c r="Z578" i="142" s="1"/>
  <c r="AA578" i="142" l="1"/>
  <c r="AB578" i="142" s="1"/>
  <c r="Y579" i="142"/>
  <c r="Z579" i="142" s="1"/>
  <c r="S581" i="142"/>
  <c r="T580" i="142"/>
  <c r="U580" i="142" s="1"/>
  <c r="W580" i="142" s="1"/>
  <c r="X580" i="142" s="1"/>
  <c r="AA579" i="142" l="1"/>
  <c r="AB579" i="142" s="1"/>
  <c r="Y580" i="142"/>
  <c r="Z580" i="142" s="1"/>
  <c r="S582" i="142"/>
  <c r="T581" i="142"/>
  <c r="U581" i="142" s="1"/>
  <c r="W581" i="142" s="1"/>
  <c r="X581" i="142" s="1"/>
  <c r="AA580" i="142" l="1"/>
  <c r="AB580" i="142" s="1"/>
  <c r="Y581" i="142"/>
  <c r="Z581" i="142" s="1"/>
  <c r="S583" i="142"/>
  <c r="T582" i="142"/>
  <c r="U582" i="142" s="1"/>
  <c r="W582" i="142" s="1"/>
  <c r="X582" i="142" s="1"/>
  <c r="AA581" i="142" l="1"/>
  <c r="AB581" i="142" s="1"/>
  <c r="Y582" i="142"/>
  <c r="Z582" i="142" s="1"/>
  <c r="S584" i="142"/>
  <c r="T583" i="142"/>
  <c r="U583" i="142" s="1"/>
  <c r="W583" i="142" s="1"/>
  <c r="X583" i="142" s="1"/>
  <c r="AA582" i="142" l="1"/>
  <c r="AB582" i="142" s="1"/>
  <c r="Y583" i="142"/>
  <c r="Z583" i="142" s="1"/>
  <c r="S585" i="142"/>
  <c r="T584" i="142"/>
  <c r="U584" i="142" s="1"/>
  <c r="W584" i="142" s="1"/>
  <c r="X584" i="142" s="1"/>
  <c r="AA583" i="142" l="1"/>
  <c r="AB583" i="142" s="1"/>
  <c r="Y584" i="142"/>
  <c r="Z584" i="142" s="1"/>
  <c r="T585" i="142"/>
  <c r="U585" i="142" s="1"/>
  <c r="W585" i="142" s="1"/>
  <c r="X585" i="142" s="1"/>
  <c r="S586" i="142"/>
  <c r="AA584" i="142" l="1"/>
  <c r="AB584" i="142" s="1"/>
  <c r="S587" i="142"/>
  <c r="T586" i="142"/>
  <c r="U586" i="142" s="1"/>
  <c r="W586" i="142" s="1"/>
  <c r="X586" i="142" s="1"/>
  <c r="Y585" i="142"/>
  <c r="Z585" i="142" s="1"/>
  <c r="AA585" i="142" l="1"/>
  <c r="AB585" i="142" s="1"/>
  <c r="Y586" i="142"/>
  <c r="Z586" i="142" s="1"/>
  <c r="T587" i="142"/>
  <c r="U587" i="142" s="1"/>
  <c r="W587" i="142" s="1"/>
  <c r="X587" i="142" s="1"/>
  <c r="S588" i="142"/>
  <c r="AA586" i="142" l="1"/>
  <c r="AB586" i="142" s="1"/>
  <c r="S589" i="142"/>
  <c r="T588" i="142"/>
  <c r="U588" i="142" s="1"/>
  <c r="W588" i="142" s="1"/>
  <c r="X588" i="142" s="1"/>
  <c r="Y587" i="142"/>
  <c r="Z587" i="142" s="1"/>
  <c r="AA587" i="142" l="1"/>
  <c r="AB587" i="142" s="1"/>
  <c r="Y588" i="142"/>
  <c r="Z588" i="142" s="1"/>
  <c r="S590" i="142"/>
  <c r="T589" i="142"/>
  <c r="U589" i="142" s="1"/>
  <c r="W589" i="142" s="1"/>
  <c r="X589" i="142" s="1"/>
  <c r="AA588" i="142" l="1"/>
  <c r="AB588" i="142" s="1"/>
  <c r="Y589" i="142"/>
  <c r="Z589" i="142" s="1"/>
  <c r="S591" i="142"/>
  <c r="T590" i="142"/>
  <c r="U590" i="142" s="1"/>
  <c r="W590" i="142" s="1"/>
  <c r="X590" i="142" s="1"/>
  <c r="AA589" i="142" l="1"/>
  <c r="AB589" i="142" s="1"/>
  <c r="Y590" i="142"/>
  <c r="Z590" i="142" s="1"/>
  <c r="S592" i="142"/>
  <c r="T591" i="142"/>
  <c r="U591" i="142" s="1"/>
  <c r="W591" i="142" s="1"/>
  <c r="X591" i="142" s="1"/>
  <c r="AA590" i="142" l="1"/>
  <c r="AB590" i="142" s="1"/>
  <c r="Y591" i="142"/>
  <c r="Z591" i="142" s="1"/>
  <c r="S593" i="142"/>
  <c r="T592" i="142"/>
  <c r="U592" i="142" s="1"/>
  <c r="W592" i="142" s="1"/>
  <c r="X592" i="142" s="1"/>
  <c r="AA591" i="142" l="1"/>
  <c r="AB591" i="142" s="1"/>
  <c r="Y592" i="142"/>
  <c r="Z592" i="142" s="1"/>
  <c r="T593" i="142"/>
  <c r="U593" i="142" s="1"/>
  <c r="W593" i="142" s="1"/>
  <c r="X593" i="142" s="1"/>
  <c r="S594" i="142"/>
  <c r="AA592" i="142" l="1"/>
  <c r="AB592" i="142" s="1"/>
  <c r="S595" i="142"/>
  <c r="T594" i="142"/>
  <c r="U594" i="142" s="1"/>
  <c r="W594" i="142" s="1"/>
  <c r="X594" i="142" s="1"/>
  <c r="Y593" i="142"/>
  <c r="Z593" i="142" s="1"/>
  <c r="AA593" i="142" l="1"/>
  <c r="AB593" i="142" s="1"/>
  <c r="Y594" i="142"/>
  <c r="Z594" i="142" s="1"/>
  <c r="T595" i="142"/>
  <c r="U595" i="142" s="1"/>
  <c r="W595" i="142" s="1"/>
  <c r="X595" i="142" s="1"/>
  <c r="S596" i="142"/>
  <c r="AA594" i="142" l="1"/>
  <c r="AB594" i="142" s="1"/>
  <c r="S597" i="142"/>
  <c r="T596" i="142"/>
  <c r="U596" i="142" s="1"/>
  <c r="W596" i="142" s="1"/>
  <c r="X596" i="142" s="1"/>
  <c r="Y595" i="142"/>
  <c r="Z595" i="142" s="1"/>
  <c r="AA595" i="142" l="1"/>
  <c r="AB595" i="142" s="1"/>
  <c r="T597" i="142"/>
  <c r="U597" i="142" s="1"/>
  <c r="W597" i="142" s="1"/>
  <c r="X597" i="142" s="1"/>
  <c r="S598" i="142"/>
  <c r="Y596" i="142"/>
  <c r="Z596" i="142" s="1"/>
  <c r="AA596" i="142" l="1"/>
  <c r="AB596" i="142" s="1"/>
  <c r="Y597" i="142"/>
  <c r="Z597" i="142" s="1"/>
  <c r="S599" i="142"/>
  <c r="T598" i="142"/>
  <c r="U598" i="142" s="1"/>
  <c r="W598" i="142" s="1"/>
  <c r="X598" i="142" s="1"/>
  <c r="AA597" i="142" l="1"/>
  <c r="AB597" i="142" s="1"/>
  <c r="Y598" i="142"/>
  <c r="Z598" i="142" s="1"/>
  <c r="S600" i="142"/>
  <c r="T599" i="142"/>
  <c r="U599" i="142" s="1"/>
  <c r="W599" i="142" s="1"/>
  <c r="X599" i="142" s="1"/>
  <c r="AA598" i="142" l="1"/>
  <c r="AB598" i="142" s="1"/>
  <c r="Y599" i="142"/>
  <c r="Z599" i="142" s="1"/>
  <c r="S601" i="142"/>
  <c r="T600" i="142"/>
  <c r="U600" i="142" s="1"/>
  <c r="W600" i="142" s="1"/>
  <c r="X600" i="142" s="1"/>
  <c r="AA599" i="142" l="1"/>
  <c r="AB599" i="142" s="1"/>
  <c r="Y600" i="142"/>
  <c r="Z600" i="142" s="1"/>
  <c r="S602" i="142"/>
  <c r="T601" i="142"/>
  <c r="U601" i="142" s="1"/>
  <c r="W601" i="142" s="1"/>
  <c r="X601" i="142" s="1"/>
  <c r="AA600" i="142" l="1"/>
  <c r="AB600" i="142" s="1"/>
  <c r="Y601" i="142"/>
  <c r="Z601" i="142" s="1"/>
  <c r="S603" i="142"/>
  <c r="T602" i="142"/>
  <c r="U602" i="142" s="1"/>
  <c r="W602" i="142" s="1"/>
  <c r="X602" i="142" s="1"/>
  <c r="AA601" i="142" l="1"/>
  <c r="AB601" i="142" s="1"/>
  <c r="Y602" i="142"/>
  <c r="Z602" i="142" s="1"/>
  <c r="T603" i="142"/>
  <c r="U603" i="142" s="1"/>
  <c r="W603" i="142" s="1"/>
  <c r="X603" i="142" s="1"/>
  <c r="S604" i="142"/>
  <c r="AA602" i="142" l="1"/>
  <c r="AB602" i="142" s="1"/>
  <c r="S605" i="142"/>
  <c r="T604" i="142"/>
  <c r="U604" i="142" s="1"/>
  <c r="W604" i="142" s="1"/>
  <c r="X604" i="142" s="1"/>
  <c r="Y603" i="142"/>
  <c r="Z603" i="142" s="1"/>
  <c r="AA603" i="142" l="1"/>
  <c r="AB603" i="142" s="1"/>
  <c r="Y604" i="142"/>
  <c r="Z604" i="142" s="1"/>
  <c r="T605" i="142"/>
  <c r="U605" i="142" s="1"/>
  <c r="W605" i="142" s="1"/>
  <c r="X605" i="142" s="1"/>
  <c r="S606" i="142"/>
  <c r="AA604" i="142" l="1"/>
  <c r="AB604" i="142" s="1"/>
  <c r="S607" i="142"/>
  <c r="T606" i="142"/>
  <c r="U606" i="142" s="1"/>
  <c r="W606" i="142" s="1"/>
  <c r="X606" i="142" s="1"/>
  <c r="Y605" i="142"/>
  <c r="Z605" i="142" s="1"/>
  <c r="AA605" i="142" l="1"/>
  <c r="AB605" i="142" s="1"/>
  <c r="Y606" i="142"/>
  <c r="Z606" i="142" s="1"/>
  <c r="S608" i="142"/>
  <c r="T607" i="142"/>
  <c r="U607" i="142" s="1"/>
  <c r="W607" i="142" s="1"/>
  <c r="X607" i="142" s="1"/>
  <c r="AA606" i="142" l="1"/>
  <c r="AB606" i="142" s="1"/>
  <c r="Y607" i="142"/>
  <c r="Z607" i="142" s="1"/>
  <c r="S609" i="142"/>
  <c r="T608" i="142"/>
  <c r="U608" i="142" s="1"/>
  <c r="W608" i="142" s="1"/>
  <c r="X608" i="142" s="1"/>
  <c r="AA607" i="142" l="1"/>
  <c r="AB607" i="142" s="1"/>
  <c r="Y608" i="142"/>
  <c r="Z608" i="142" s="1"/>
  <c r="S610" i="142"/>
  <c r="T609" i="142"/>
  <c r="U609" i="142" s="1"/>
  <c r="W609" i="142" s="1"/>
  <c r="X609" i="142" s="1"/>
  <c r="AA608" i="142" l="1"/>
  <c r="AB608" i="142" s="1"/>
  <c r="Y609" i="142"/>
  <c r="Z609" i="142" s="1"/>
  <c r="S611" i="142"/>
  <c r="T610" i="142"/>
  <c r="U610" i="142" s="1"/>
  <c r="W610" i="142" s="1"/>
  <c r="X610" i="142" s="1"/>
  <c r="AA609" i="142" l="1"/>
  <c r="AB609" i="142" s="1"/>
  <c r="Y610" i="142"/>
  <c r="Z610" i="142" s="1"/>
  <c r="T611" i="142"/>
  <c r="U611" i="142" s="1"/>
  <c r="W611" i="142" s="1"/>
  <c r="X611" i="142" s="1"/>
  <c r="S612" i="142"/>
  <c r="AA610" i="142" l="1"/>
  <c r="AB610" i="142" s="1"/>
  <c r="S613" i="142"/>
  <c r="T612" i="142"/>
  <c r="U612" i="142" s="1"/>
  <c r="W612" i="142" s="1"/>
  <c r="X612" i="142" s="1"/>
  <c r="Y611" i="142"/>
  <c r="Z611" i="142" s="1"/>
  <c r="AA611" i="142" l="1"/>
  <c r="AB611" i="142" s="1"/>
  <c r="Y612" i="142"/>
  <c r="Z612" i="142" s="1"/>
  <c r="T613" i="142"/>
  <c r="U613" i="142" s="1"/>
  <c r="W613" i="142" s="1"/>
  <c r="X613" i="142" s="1"/>
  <c r="S614" i="142"/>
  <c r="AA612" i="142" l="1"/>
  <c r="AB612" i="142" s="1"/>
  <c r="S615" i="142"/>
  <c r="T614" i="142"/>
  <c r="U614" i="142" s="1"/>
  <c r="W614" i="142" s="1"/>
  <c r="X614" i="142" s="1"/>
  <c r="Y613" i="142"/>
  <c r="Z613" i="142" s="1"/>
  <c r="AA613" i="142" l="1"/>
  <c r="AB613" i="142" s="1"/>
  <c r="Y614" i="142"/>
  <c r="Z614" i="142" s="1"/>
  <c r="T615" i="142"/>
  <c r="U615" i="142" s="1"/>
  <c r="W615" i="142" s="1"/>
  <c r="X615" i="142" s="1"/>
  <c r="S616" i="142"/>
  <c r="AA614" i="142" l="1"/>
  <c r="AB614" i="142" s="1"/>
  <c r="S617" i="142"/>
  <c r="T616" i="142"/>
  <c r="U616" i="142" s="1"/>
  <c r="W616" i="142" s="1"/>
  <c r="X616" i="142" s="1"/>
  <c r="Y615" i="142"/>
  <c r="Z615" i="142" s="1"/>
  <c r="Y616" i="142" l="1"/>
  <c r="Z616" i="142" s="1"/>
  <c r="T617" i="142"/>
  <c r="U617" i="142" s="1"/>
  <c r="W617" i="142" s="1"/>
  <c r="X617" i="142" s="1"/>
  <c r="S618" i="142"/>
  <c r="AA615" i="142"/>
  <c r="AB615" i="142" s="1"/>
  <c r="AA616" i="142" l="1"/>
  <c r="AB616" i="142" s="1"/>
  <c r="S619" i="142"/>
  <c r="T618" i="142"/>
  <c r="U618" i="142" s="1"/>
  <c r="W618" i="142" s="1"/>
  <c r="X618" i="142" s="1"/>
  <c r="Y617" i="142"/>
  <c r="Z617" i="142" s="1"/>
  <c r="AA617" i="142" l="1"/>
  <c r="AB617" i="142" s="1"/>
  <c r="T619" i="142"/>
  <c r="U619" i="142" s="1"/>
  <c r="W619" i="142" s="1"/>
  <c r="X619" i="142" s="1"/>
  <c r="S620" i="142"/>
  <c r="Y618" i="142"/>
  <c r="Z618" i="142" s="1"/>
  <c r="AA618" i="142" l="1"/>
  <c r="AB618" i="142" s="1"/>
  <c r="S621" i="142"/>
  <c r="T620" i="142"/>
  <c r="U620" i="142" s="1"/>
  <c r="W620" i="142" s="1"/>
  <c r="X620" i="142" s="1"/>
  <c r="Y619" i="142"/>
  <c r="Z619" i="142" s="1"/>
  <c r="Y620" i="142" l="1"/>
  <c r="Z620" i="142" s="1"/>
  <c r="T621" i="142"/>
  <c r="U621" i="142" s="1"/>
  <c r="W621" i="142" s="1"/>
  <c r="X621" i="142" s="1"/>
  <c r="S622" i="142"/>
  <c r="AA619" i="142"/>
  <c r="AB619" i="142" s="1"/>
  <c r="AA620" i="142" l="1"/>
  <c r="AB620" i="142" s="1"/>
  <c r="Y621" i="142"/>
  <c r="Z621" i="142" s="1"/>
  <c r="S623" i="142"/>
  <c r="T622" i="142"/>
  <c r="U622" i="142" s="1"/>
  <c r="W622" i="142" s="1"/>
  <c r="X622" i="142" s="1"/>
  <c r="AA621" i="142" l="1"/>
  <c r="AB621" i="142" s="1"/>
  <c r="Y622" i="142"/>
  <c r="Z622" i="142" s="1"/>
  <c r="T623" i="142"/>
  <c r="U623" i="142" s="1"/>
  <c r="W623" i="142" s="1"/>
  <c r="X623" i="142" s="1"/>
  <c r="S624" i="142"/>
  <c r="AA622" i="142" l="1"/>
  <c r="AB622" i="142" s="1"/>
  <c r="S625" i="142"/>
  <c r="T624" i="142"/>
  <c r="U624" i="142" s="1"/>
  <c r="W624" i="142" s="1"/>
  <c r="X624" i="142" s="1"/>
  <c r="Y623" i="142"/>
  <c r="Z623" i="142" s="1"/>
  <c r="Y624" i="142" l="1"/>
  <c r="Z624" i="142" s="1"/>
  <c r="T625" i="142"/>
  <c r="U625" i="142" s="1"/>
  <c r="W625" i="142" s="1"/>
  <c r="X625" i="142" s="1"/>
  <c r="S626" i="142"/>
  <c r="AA623" i="142"/>
  <c r="AB623" i="142" s="1"/>
  <c r="AA624" i="142" l="1"/>
  <c r="AB624" i="142" s="1"/>
  <c r="Y625" i="142"/>
  <c r="Z625" i="142" s="1"/>
  <c r="S627" i="142"/>
  <c r="T626" i="142"/>
  <c r="U626" i="142" s="1"/>
  <c r="W626" i="142" s="1"/>
  <c r="X626" i="142" s="1"/>
  <c r="AA625" i="142" l="1"/>
  <c r="AB625" i="142" s="1"/>
  <c r="Y626" i="142"/>
  <c r="Z626" i="142" s="1"/>
  <c r="T627" i="142"/>
  <c r="U627" i="142" s="1"/>
  <c r="W627" i="142" s="1"/>
  <c r="X627" i="142" s="1"/>
  <c r="S628" i="142"/>
  <c r="AA626" i="142" l="1"/>
  <c r="AB626" i="142" s="1"/>
  <c r="S629" i="142"/>
  <c r="T628" i="142"/>
  <c r="U628" i="142" s="1"/>
  <c r="W628" i="142" s="1"/>
  <c r="X628" i="142" s="1"/>
  <c r="Y627" i="142"/>
  <c r="Z627" i="142" s="1"/>
  <c r="Y628" i="142" l="1"/>
  <c r="Z628" i="142" s="1"/>
  <c r="T629" i="142"/>
  <c r="U629" i="142" s="1"/>
  <c r="W629" i="142" s="1"/>
  <c r="X629" i="142" s="1"/>
  <c r="S630" i="142"/>
  <c r="AA627" i="142"/>
  <c r="AB627" i="142" s="1"/>
  <c r="AA628" i="142" l="1"/>
  <c r="AB628" i="142" s="1"/>
  <c r="Y629" i="142"/>
  <c r="Z629" i="142" s="1"/>
  <c r="S631" i="142"/>
  <c r="T630" i="142"/>
  <c r="U630" i="142" s="1"/>
  <c r="W630" i="142" s="1"/>
  <c r="X630" i="142" s="1"/>
  <c r="AA629" i="142" l="1"/>
  <c r="AB629" i="142" s="1"/>
  <c r="Y630" i="142"/>
  <c r="Z630" i="142" s="1"/>
  <c r="T631" i="142"/>
  <c r="U631" i="142" s="1"/>
  <c r="W631" i="142" s="1"/>
  <c r="X631" i="142" s="1"/>
  <c r="S632" i="142"/>
  <c r="AA630" i="142" l="1"/>
  <c r="AB630" i="142" s="1"/>
  <c r="S633" i="142"/>
  <c r="T632" i="142"/>
  <c r="U632" i="142" s="1"/>
  <c r="W632" i="142" s="1"/>
  <c r="X632" i="142" s="1"/>
  <c r="Y631" i="142"/>
  <c r="Z631" i="142" s="1"/>
  <c r="AA631" i="142" l="1"/>
  <c r="AB631" i="142" s="1"/>
  <c r="T633" i="142"/>
  <c r="U633" i="142" s="1"/>
  <c r="W633" i="142" s="1"/>
  <c r="X633" i="142" s="1"/>
  <c r="S634" i="142"/>
  <c r="Y632" i="142"/>
  <c r="Z632" i="142" s="1"/>
  <c r="AA632" i="142" l="1"/>
  <c r="AB632" i="142" s="1"/>
  <c r="S635" i="142"/>
  <c r="T634" i="142"/>
  <c r="U634" i="142" s="1"/>
  <c r="W634" i="142" s="1"/>
  <c r="X634" i="142" s="1"/>
  <c r="Y633" i="142"/>
  <c r="Z633" i="142" s="1"/>
  <c r="Y634" i="142" l="1"/>
  <c r="Z634" i="142" s="1"/>
  <c r="T635" i="142"/>
  <c r="U635" i="142" s="1"/>
  <c r="W635" i="142" s="1"/>
  <c r="X635" i="142" s="1"/>
  <c r="S636" i="142"/>
  <c r="AA633" i="142"/>
  <c r="AB633" i="142" s="1"/>
  <c r="AA634" i="142" l="1"/>
  <c r="AB634" i="142" s="1"/>
  <c r="S637" i="142"/>
  <c r="T636" i="142"/>
  <c r="U636" i="142" s="1"/>
  <c r="W636" i="142" s="1"/>
  <c r="X636" i="142" s="1"/>
  <c r="Y635" i="142"/>
  <c r="Z635" i="142" s="1"/>
  <c r="AA635" i="142" l="1"/>
  <c r="AB635" i="142" s="1"/>
  <c r="T637" i="142"/>
  <c r="U637" i="142" s="1"/>
  <c r="W637" i="142" s="1"/>
  <c r="X637" i="142" s="1"/>
  <c r="S638" i="142"/>
  <c r="Y636" i="142"/>
  <c r="Z636" i="142" s="1"/>
  <c r="AA636" i="142" l="1"/>
  <c r="AB636" i="142" s="1"/>
  <c r="Y637" i="142"/>
  <c r="Z637" i="142" s="1"/>
  <c r="S639" i="142"/>
  <c r="T638" i="142"/>
  <c r="U638" i="142" s="1"/>
  <c r="W638" i="142" s="1"/>
  <c r="X638" i="142" s="1"/>
  <c r="Y638" i="142" l="1"/>
  <c r="Z638" i="142" s="1"/>
  <c r="AA637" i="142"/>
  <c r="AB637" i="142" s="1"/>
  <c r="T639" i="142"/>
  <c r="U639" i="142" s="1"/>
  <c r="W639" i="142" s="1"/>
  <c r="X639" i="142" s="1"/>
  <c r="S640" i="142"/>
  <c r="AA638" i="142" l="1"/>
  <c r="AB638" i="142" s="1"/>
  <c r="S641" i="142"/>
  <c r="T640" i="142"/>
  <c r="U640" i="142" s="1"/>
  <c r="W640" i="142" s="1"/>
  <c r="X640" i="142" s="1"/>
  <c r="Y639" i="142"/>
  <c r="Z639" i="142" s="1"/>
  <c r="AA639" i="142" l="1"/>
  <c r="AB639" i="142" s="1"/>
  <c r="T641" i="142"/>
  <c r="U641" i="142" s="1"/>
  <c r="W641" i="142" s="1"/>
  <c r="X641" i="142" s="1"/>
  <c r="S642" i="142"/>
  <c r="Y640" i="142"/>
  <c r="Z640" i="142" s="1"/>
  <c r="AA640" i="142" l="1"/>
  <c r="AB640" i="142" s="1"/>
  <c r="S643" i="142"/>
  <c r="T642" i="142"/>
  <c r="U642" i="142" s="1"/>
  <c r="W642" i="142" s="1"/>
  <c r="X642" i="142" s="1"/>
  <c r="Y641" i="142"/>
  <c r="Z641" i="142" s="1"/>
  <c r="AA641" i="142" l="1"/>
  <c r="AB641" i="142" s="1"/>
  <c r="Y642" i="142"/>
  <c r="Z642" i="142" s="1"/>
  <c r="T643" i="142"/>
  <c r="U643" i="142" s="1"/>
  <c r="W643" i="142" s="1"/>
  <c r="X643" i="142" s="1"/>
  <c r="S644" i="142"/>
  <c r="AA642" i="142" l="1"/>
  <c r="AB642" i="142" s="1"/>
  <c r="S645" i="142"/>
  <c r="T644" i="142"/>
  <c r="U644" i="142" s="1"/>
  <c r="W644" i="142" s="1"/>
  <c r="X644" i="142" s="1"/>
  <c r="Y643" i="142"/>
  <c r="Z643" i="142" s="1"/>
  <c r="AA643" i="142" l="1"/>
  <c r="AB643" i="142" s="1"/>
  <c r="T645" i="142"/>
  <c r="U645" i="142" s="1"/>
  <c r="W645" i="142" s="1"/>
  <c r="X645" i="142" s="1"/>
  <c r="S646" i="142"/>
  <c r="Y644" i="142"/>
  <c r="Z644" i="142" s="1"/>
  <c r="AA644" i="142" l="1"/>
  <c r="AB644" i="142" s="1"/>
  <c r="S647" i="142"/>
  <c r="T646" i="142"/>
  <c r="U646" i="142" s="1"/>
  <c r="W646" i="142" s="1"/>
  <c r="X646" i="142" s="1"/>
  <c r="Y645" i="142"/>
  <c r="Z645" i="142" s="1"/>
  <c r="Y646" i="142" l="1"/>
  <c r="Z646" i="142" s="1"/>
  <c r="T647" i="142"/>
  <c r="U647" i="142" s="1"/>
  <c r="W647" i="142" s="1"/>
  <c r="X647" i="142" s="1"/>
  <c r="S648" i="142"/>
  <c r="AA645" i="142"/>
  <c r="AB645" i="142" s="1"/>
  <c r="AA646" i="142" l="1"/>
  <c r="AB646" i="142" s="1"/>
  <c r="S649" i="142"/>
  <c r="T648" i="142"/>
  <c r="U648" i="142" s="1"/>
  <c r="W648" i="142" s="1"/>
  <c r="X648" i="142" s="1"/>
  <c r="Y647" i="142"/>
  <c r="Z647" i="142" s="1"/>
  <c r="Y648" i="142" l="1"/>
  <c r="Z648" i="142" s="1"/>
  <c r="T649" i="142"/>
  <c r="U649" i="142" s="1"/>
  <c r="W649" i="142" s="1"/>
  <c r="X649" i="142" s="1"/>
  <c r="S650" i="142"/>
  <c r="AA647" i="142"/>
  <c r="AB647" i="142" s="1"/>
  <c r="AA648" i="142" l="1"/>
  <c r="AB648" i="142" s="1"/>
  <c r="S651" i="142"/>
  <c r="T650" i="142"/>
  <c r="U650" i="142" s="1"/>
  <c r="W650" i="142" s="1"/>
  <c r="X650" i="142" s="1"/>
  <c r="Y649" i="142"/>
  <c r="Z649" i="142" s="1"/>
  <c r="AA649" i="142" l="1"/>
  <c r="AB649" i="142" s="1"/>
  <c r="Y650" i="142"/>
  <c r="Z650" i="142" s="1"/>
  <c r="T651" i="142"/>
  <c r="U651" i="142" s="1"/>
  <c r="W651" i="142" s="1"/>
  <c r="X651" i="142" s="1"/>
  <c r="S652" i="142"/>
  <c r="AA650" i="142" l="1"/>
  <c r="AB650" i="142" s="1"/>
  <c r="S653" i="142"/>
  <c r="T652" i="142"/>
  <c r="U652" i="142" s="1"/>
  <c r="W652" i="142" s="1"/>
  <c r="X652" i="142" s="1"/>
  <c r="Y651" i="142"/>
  <c r="Z651" i="142" s="1"/>
  <c r="AA651" i="142" l="1"/>
  <c r="AB651" i="142" s="1"/>
  <c r="Y652" i="142"/>
  <c r="Z652" i="142" s="1"/>
  <c r="T653" i="142"/>
  <c r="U653" i="142" s="1"/>
  <c r="W653" i="142" s="1"/>
  <c r="X653" i="142" s="1"/>
  <c r="S654" i="142"/>
  <c r="AA652" i="142" l="1"/>
  <c r="AB652" i="142" s="1"/>
  <c r="S655" i="142"/>
  <c r="T654" i="142"/>
  <c r="U654" i="142" s="1"/>
  <c r="W654" i="142" s="1"/>
  <c r="X654" i="142" s="1"/>
  <c r="Y653" i="142"/>
  <c r="Z653" i="142" s="1"/>
  <c r="Y654" i="142" l="1"/>
  <c r="Z654" i="142" s="1"/>
  <c r="T655" i="142"/>
  <c r="U655" i="142" s="1"/>
  <c r="W655" i="142" s="1"/>
  <c r="X655" i="142" s="1"/>
  <c r="S656" i="142"/>
  <c r="AA653" i="142"/>
  <c r="AB653" i="142" s="1"/>
  <c r="AA654" i="142" l="1"/>
  <c r="AB654" i="142" s="1"/>
  <c r="S657" i="142"/>
  <c r="T656" i="142"/>
  <c r="U656" i="142" s="1"/>
  <c r="W656" i="142" s="1"/>
  <c r="X656" i="142" s="1"/>
  <c r="Y655" i="142"/>
  <c r="Z655" i="142" s="1"/>
  <c r="AA655" i="142" l="1"/>
  <c r="AB655" i="142" s="1"/>
  <c r="Y656" i="142"/>
  <c r="Z656" i="142" s="1"/>
  <c r="T657" i="142"/>
  <c r="U657" i="142" s="1"/>
  <c r="W657" i="142" s="1"/>
  <c r="X657" i="142" s="1"/>
  <c r="S658" i="142"/>
  <c r="AA656" i="142" l="1"/>
  <c r="AB656" i="142" s="1"/>
  <c r="S659" i="142"/>
  <c r="T658" i="142"/>
  <c r="U658" i="142" s="1"/>
  <c r="W658" i="142" s="1"/>
  <c r="X658" i="142" s="1"/>
  <c r="Y657" i="142"/>
  <c r="Z657" i="142" s="1"/>
  <c r="Y658" i="142" l="1"/>
  <c r="Z658" i="142" s="1"/>
  <c r="T659" i="142"/>
  <c r="U659" i="142" s="1"/>
  <c r="W659" i="142" s="1"/>
  <c r="X659" i="142" s="1"/>
  <c r="S660" i="142"/>
  <c r="AA657" i="142"/>
  <c r="AB657" i="142" s="1"/>
  <c r="AA658" i="142" l="1"/>
  <c r="AB658" i="142" s="1"/>
  <c r="Y659" i="142"/>
  <c r="Z659" i="142" s="1"/>
  <c r="S661" i="142"/>
  <c r="T660" i="142"/>
  <c r="U660" i="142" s="1"/>
  <c r="W660" i="142" s="1"/>
  <c r="X660" i="142" s="1"/>
  <c r="AA659" i="142" l="1"/>
  <c r="AB659" i="142" s="1"/>
  <c r="Y660" i="142"/>
  <c r="Z660" i="142" s="1"/>
  <c r="T661" i="142"/>
  <c r="U661" i="142" s="1"/>
  <c r="W661" i="142" s="1"/>
  <c r="X661" i="142" s="1"/>
  <c r="S662" i="142"/>
  <c r="AA660" i="142" l="1"/>
  <c r="AB660" i="142" s="1"/>
  <c r="S663" i="142"/>
  <c r="T662" i="142"/>
  <c r="U662" i="142" s="1"/>
  <c r="W662" i="142" s="1"/>
  <c r="X662" i="142" s="1"/>
  <c r="Y661" i="142"/>
  <c r="Z661" i="142" s="1"/>
  <c r="Y662" i="142" l="1"/>
  <c r="Z662" i="142" s="1"/>
  <c r="T663" i="142"/>
  <c r="U663" i="142" s="1"/>
  <c r="W663" i="142" s="1"/>
  <c r="X663" i="142" s="1"/>
  <c r="S664" i="142"/>
  <c r="AA661" i="142"/>
  <c r="AB661" i="142" s="1"/>
  <c r="AA662" i="142" l="1"/>
  <c r="AB662" i="142" s="1"/>
  <c r="Y663" i="142"/>
  <c r="Z663" i="142" s="1"/>
  <c r="S665" i="142"/>
  <c r="T664" i="142"/>
  <c r="U664" i="142" s="1"/>
  <c r="W664" i="142" s="1"/>
  <c r="X664" i="142" s="1"/>
  <c r="AA663" i="142" l="1"/>
  <c r="AB663" i="142" s="1"/>
  <c r="Y664" i="142"/>
  <c r="Z664" i="142" s="1"/>
  <c r="T665" i="142"/>
  <c r="U665" i="142" s="1"/>
  <c r="W665" i="142" s="1"/>
  <c r="X665" i="142" s="1"/>
  <c r="S666" i="142"/>
  <c r="AA664" i="142" l="1"/>
  <c r="AB664" i="142" s="1"/>
  <c r="S667" i="142"/>
  <c r="T666" i="142"/>
  <c r="U666" i="142" s="1"/>
  <c r="W666" i="142" s="1"/>
  <c r="X666" i="142" s="1"/>
  <c r="Y665" i="142"/>
  <c r="Z665" i="142" s="1"/>
  <c r="AA665" i="142" l="1"/>
  <c r="AB665" i="142" s="1"/>
  <c r="T667" i="142"/>
  <c r="U667" i="142" s="1"/>
  <c r="W667" i="142" s="1"/>
  <c r="X667" i="142" s="1"/>
  <c r="S668" i="142"/>
  <c r="Y666" i="142"/>
  <c r="Z666" i="142" s="1"/>
  <c r="AA666" i="142" l="1"/>
  <c r="AB666" i="142" s="1"/>
  <c r="S669" i="142"/>
  <c r="T668" i="142"/>
  <c r="U668" i="142" s="1"/>
  <c r="W668" i="142" s="1"/>
  <c r="X668" i="142" s="1"/>
  <c r="Y667" i="142"/>
  <c r="Z667" i="142" s="1"/>
  <c r="AA667" i="142" l="1"/>
  <c r="AB667" i="142" s="1"/>
  <c r="Y668" i="142"/>
  <c r="Z668" i="142" s="1"/>
  <c r="T669" i="142"/>
  <c r="U669" i="142" s="1"/>
  <c r="W669" i="142" s="1"/>
  <c r="X669" i="142" s="1"/>
  <c r="S670" i="142"/>
  <c r="AA668" i="142" l="1"/>
  <c r="AB668" i="142" s="1"/>
  <c r="S671" i="142"/>
  <c r="T670" i="142"/>
  <c r="U670" i="142" s="1"/>
  <c r="W670" i="142" s="1"/>
  <c r="X670" i="142" s="1"/>
  <c r="Y669" i="142"/>
  <c r="Z669" i="142" s="1"/>
  <c r="Y670" i="142" l="1"/>
  <c r="Z670" i="142" s="1"/>
  <c r="T671" i="142"/>
  <c r="U671" i="142" s="1"/>
  <c r="W671" i="142" s="1"/>
  <c r="X671" i="142" s="1"/>
  <c r="S672" i="142"/>
  <c r="AA669" i="142"/>
  <c r="AB669" i="142" s="1"/>
  <c r="AA670" i="142" l="1"/>
  <c r="AB670" i="142" s="1"/>
  <c r="Y671" i="142"/>
  <c r="Z671" i="142" s="1"/>
  <c r="S673" i="142"/>
  <c r="T672" i="142"/>
  <c r="U672" i="142" s="1"/>
  <c r="W672" i="142" s="1"/>
  <c r="X672" i="142" s="1"/>
  <c r="AA671" i="142" l="1"/>
  <c r="AB671" i="142" s="1"/>
  <c r="Y672" i="142"/>
  <c r="Z672" i="142" s="1"/>
  <c r="T673" i="142"/>
  <c r="U673" i="142" s="1"/>
  <c r="W673" i="142" s="1"/>
  <c r="X673" i="142" s="1"/>
  <c r="S674" i="142"/>
  <c r="AA672" i="142" l="1"/>
  <c r="AB672" i="142" s="1"/>
  <c r="S675" i="142"/>
  <c r="T674" i="142"/>
  <c r="U674" i="142" s="1"/>
  <c r="W674" i="142" s="1"/>
  <c r="X674" i="142" s="1"/>
  <c r="Y673" i="142"/>
  <c r="Z673" i="142" s="1"/>
  <c r="Y674" i="142" l="1"/>
  <c r="Z674" i="142" s="1"/>
  <c r="T675" i="142"/>
  <c r="U675" i="142" s="1"/>
  <c r="W675" i="142" s="1"/>
  <c r="X675" i="142" s="1"/>
  <c r="S676" i="142"/>
  <c r="AA673" i="142"/>
  <c r="AB673" i="142" s="1"/>
  <c r="AA674" i="142" l="1"/>
  <c r="AB674" i="142" s="1"/>
  <c r="Y675" i="142"/>
  <c r="Z675" i="142" s="1"/>
  <c r="S677" i="142"/>
  <c r="T676" i="142"/>
  <c r="U676" i="142" s="1"/>
  <c r="W676" i="142" s="1"/>
  <c r="X676" i="142" s="1"/>
  <c r="AA675" i="142" l="1"/>
  <c r="AB675" i="142" s="1"/>
  <c r="Y676" i="142"/>
  <c r="Z676" i="142" s="1"/>
  <c r="T677" i="142"/>
  <c r="U677" i="142" s="1"/>
  <c r="W677" i="142" s="1"/>
  <c r="X677" i="142" s="1"/>
  <c r="S678" i="142"/>
  <c r="AA676" i="142" l="1"/>
  <c r="AB676" i="142" s="1"/>
  <c r="S679" i="142"/>
  <c r="T678" i="142"/>
  <c r="U678" i="142" s="1"/>
  <c r="W678" i="142" s="1"/>
  <c r="X678" i="142" s="1"/>
  <c r="Y677" i="142"/>
  <c r="Z677" i="142" s="1"/>
  <c r="Y678" i="142" l="1"/>
  <c r="Z678" i="142" s="1"/>
  <c r="T679" i="142"/>
  <c r="U679" i="142" s="1"/>
  <c r="W679" i="142" s="1"/>
  <c r="X679" i="142" s="1"/>
  <c r="S680" i="142"/>
  <c r="AA677" i="142"/>
  <c r="AB677" i="142" s="1"/>
  <c r="AA678" i="142" l="1"/>
  <c r="AB678" i="142" s="1"/>
  <c r="Y679" i="142"/>
  <c r="Z679" i="142" s="1"/>
  <c r="S681" i="142"/>
  <c r="T680" i="142"/>
  <c r="U680" i="142" s="1"/>
  <c r="W680" i="142" s="1"/>
  <c r="X680" i="142" s="1"/>
  <c r="AA679" i="142" l="1"/>
  <c r="AB679" i="142" s="1"/>
  <c r="Y680" i="142"/>
  <c r="Z680" i="142" s="1"/>
  <c r="T681" i="142"/>
  <c r="U681" i="142" s="1"/>
  <c r="W681" i="142" s="1"/>
  <c r="X681" i="142" s="1"/>
  <c r="S682" i="142"/>
  <c r="AA680" i="142" l="1"/>
  <c r="AB680" i="142" s="1"/>
  <c r="S683" i="142"/>
  <c r="T682" i="142"/>
  <c r="U682" i="142" s="1"/>
  <c r="W682" i="142" s="1"/>
  <c r="X682" i="142" s="1"/>
  <c r="Y681" i="142"/>
  <c r="Z681" i="142" s="1"/>
  <c r="AA681" i="142" l="1"/>
  <c r="AB681" i="142" s="1"/>
  <c r="Y682" i="142"/>
  <c r="Z682" i="142" s="1"/>
  <c r="T683" i="142"/>
  <c r="U683" i="142" s="1"/>
  <c r="W683" i="142" s="1"/>
  <c r="X683" i="142" s="1"/>
  <c r="S684" i="142"/>
  <c r="AA682" i="142" l="1"/>
  <c r="AB682" i="142" s="1"/>
  <c r="S685" i="142"/>
  <c r="T684" i="142"/>
  <c r="U684" i="142" s="1"/>
  <c r="W684" i="142" s="1"/>
  <c r="X684" i="142" s="1"/>
  <c r="Y683" i="142"/>
  <c r="Z683" i="142" s="1"/>
  <c r="Y684" i="142" l="1"/>
  <c r="Z684" i="142" s="1"/>
  <c r="T685" i="142"/>
  <c r="U685" i="142" s="1"/>
  <c r="W685" i="142" s="1"/>
  <c r="X685" i="142" s="1"/>
  <c r="S686" i="142"/>
  <c r="AA683" i="142"/>
  <c r="AB683" i="142" s="1"/>
  <c r="AA684" i="142" l="1"/>
  <c r="AB684" i="142" s="1"/>
  <c r="Y685" i="142"/>
  <c r="Z685" i="142" s="1"/>
  <c r="S687" i="142"/>
  <c r="T686" i="142"/>
  <c r="U686" i="142" s="1"/>
  <c r="W686" i="142" s="1"/>
  <c r="X686" i="142" s="1"/>
  <c r="AA685" i="142" l="1"/>
  <c r="AB685" i="142" s="1"/>
  <c r="Y686" i="142"/>
  <c r="Z686" i="142" s="1"/>
  <c r="T687" i="142"/>
  <c r="U687" i="142" s="1"/>
  <c r="W687" i="142" s="1"/>
  <c r="X687" i="142" s="1"/>
  <c r="S688" i="142"/>
  <c r="AA686" i="142" l="1"/>
  <c r="AB686" i="142" s="1"/>
  <c r="S689" i="142"/>
  <c r="T688" i="142"/>
  <c r="U688" i="142" s="1"/>
  <c r="W688" i="142" s="1"/>
  <c r="X688" i="142" s="1"/>
  <c r="Y687" i="142"/>
  <c r="Z687" i="142" s="1"/>
  <c r="Y688" i="142" l="1"/>
  <c r="Z688" i="142" s="1"/>
  <c r="T689" i="142"/>
  <c r="U689" i="142" s="1"/>
  <c r="W689" i="142" s="1"/>
  <c r="X689" i="142" s="1"/>
  <c r="S690" i="142"/>
  <c r="AA687" i="142"/>
  <c r="AB687" i="142" s="1"/>
  <c r="AA688" i="142" l="1"/>
  <c r="AB688" i="142" s="1"/>
  <c r="Y689" i="142"/>
  <c r="Z689" i="142" s="1"/>
  <c r="S691" i="142"/>
  <c r="T690" i="142"/>
  <c r="U690" i="142" s="1"/>
  <c r="W690" i="142" s="1"/>
  <c r="X690" i="142" s="1"/>
  <c r="AA689" i="142" l="1"/>
  <c r="AB689" i="142" s="1"/>
  <c r="Y690" i="142"/>
  <c r="Z690" i="142" s="1"/>
  <c r="T691" i="142"/>
  <c r="U691" i="142" s="1"/>
  <c r="W691" i="142" s="1"/>
  <c r="X691" i="142" s="1"/>
  <c r="S692" i="142"/>
  <c r="AA690" i="142" l="1"/>
  <c r="AB690" i="142" s="1"/>
  <c r="S693" i="142"/>
  <c r="T692" i="142"/>
  <c r="U692" i="142" s="1"/>
  <c r="W692" i="142" s="1"/>
  <c r="X692" i="142" s="1"/>
  <c r="Y691" i="142"/>
  <c r="Z691" i="142" s="1"/>
  <c r="AA691" i="142" l="1"/>
  <c r="AB691" i="142" s="1"/>
  <c r="Y692" i="142"/>
  <c r="Z692" i="142" s="1"/>
  <c r="S694" i="142"/>
  <c r="T693" i="142"/>
  <c r="U693" i="142" s="1"/>
  <c r="W693" i="142" s="1"/>
  <c r="X693" i="142" s="1"/>
  <c r="AA692" i="142" l="1"/>
  <c r="AB692" i="142" s="1"/>
  <c r="Y693" i="142"/>
  <c r="Z693" i="142" s="1"/>
  <c r="T694" i="142"/>
  <c r="U694" i="142" s="1"/>
  <c r="W694" i="142" s="1"/>
  <c r="X694" i="142" s="1"/>
  <c r="S695" i="142"/>
  <c r="AA693" i="142" l="1"/>
  <c r="AB693" i="142" s="1"/>
  <c r="S696" i="142"/>
  <c r="T695" i="142"/>
  <c r="U695" i="142" s="1"/>
  <c r="W695" i="142" s="1"/>
  <c r="X695" i="142" s="1"/>
  <c r="Y694" i="142"/>
  <c r="Z694" i="142" s="1"/>
  <c r="AA694" i="142" l="1"/>
  <c r="AB694" i="142" s="1"/>
  <c r="T696" i="142"/>
  <c r="U696" i="142" s="1"/>
  <c r="W696" i="142" s="1"/>
  <c r="X696" i="142" s="1"/>
  <c r="S697" i="142"/>
  <c r="Y695" i="142"/>
  <c r="Z695" i="142" s="1"/>
  <c r="AA695" i="142" l="1"/>
  <c r="AB695" i="142" s="1"/>
  <c r="Y696" i="142"/>
  <c r="Z696" i="142" s="1"/>
  <c r="S698" i="142"/>
  <c r="T697" i="142"/>
  <c r="U697" i="142" s="1"/>
  <c r="W697" i="142" s="1"/>
  <c r="X697" i="142" s="1"/>
  <c r="AA696" i="142" l="1"/>
  <c r="AB696" i="142" s="1"/>
  <c r="Y697" i="142"/>
  <c r="Z697" i="142" s="1"/>
  <c r="S699" i="142"/>
  <c r="T698" i="142"/>
  <c r="U698" i="142" s="1"/>
  <c r="W698" i="142" s="1"/>
  <c r="X698" i="142" s="1"/>
  <c r="AA697" i="142" l="1"/>
  <c r="AB697" i="142" s="1"/>
  <c r="Y698" i="142"/>
  <c r="Z698" i="142" s="1"/>
  <c r="S700" i="142"/>
  <c r="T699" i="142"/>
  <c r="U699" i="142" s="1"/>
  <c r="W699" i="142" s="1"/>
  <c r="X699" i="142" s="1"/>
  <c r="AA698" i="142" l="1"/>
  <c r="AB698" i="142" s="1"/>
  <c r="Y699" i="142"/>
  <c r="Z699" i="142" s="1"/>
  <c r="S701" i="142"/>
  <c r="T700" i="142"/>
  <c r="U700" i="142" s="1"/>
  <c r="W700" i="142" s="1"/>
  <c r="X700" i="142" s="1"/>
  <c r="AA699" i="142" l="1"/>
  <c r="AB699" i="142" s="1"/>
  <c r="Y700" i="142"/>
  <c r="Z700" i="142" s="1"/>
  <c r="S702" i="142"/>
  <c r="T701" i="142"/>
  <c r="U701" i="142" s="1"/>
  <c r="W701" i="142" s="1"/>
  <c r="X701" i="142" s="1"/>
  <c r="AA700" i="142" l="1"/>
  <c r="AB700" i="142" s="1"/>
  <c r="Y701" i="142"/>
  <c r="Z701" i="142" s="1"/>
  <c r="S703" i="142"/>
  <c r="T702" i="142"/>
  <c r="U702" i="142" s="1"/>
  <c r="W702" i="142" s="1"/>
  <c r="X702" i="142" s="1"/>
  <c r="AA701" i="142" l="1"/>
  <c r="AB701" i="142" s="1"/>
  <c r="Y702" i="142"/>
  <c r="Z702" i="142" s="1"/>
  <c r="S704" i="142"/>
  <c r="T703" i="142"/>
  <c r="U703" i="142" s="1"/>
  <c r="W703" i="142" s="1"/>
  <c r="X703" i="142" s="1"/>
  <c r="AA702" i="142" l="1"/>
  <c r="AB702" i="142" s="1"/>
  <c r="Y703" i="142"/>
  <c r="Z703" i="142" s="1"/>
  <c r="T704" i="142"/>
  <c r="U704" i="142" s="1"/>
  <c r="W704" i="142" s="1"/>
  <c r="X704" i="142" s="1"/>
  <c r="S705" i="142"/>
  <c r="AA703" i="142" l="1"/>
  <c r="AB703" i="142" s="1"/>
  <c r="S706" i="142"/>
  <c r="T705" i="142"/>
  <c r="U705" i="142" s="1"/>
  <c r="W705" i="142" s="1"/>
  <c r="X705" i="142" s="1"/>
  <c r="Y704" i="142"/>
  <c r="Z704" i="142" s="1"/>
  <c r="AA704" i="142" l="1"/>
  <c r="AB704" i="142" s="1"/>
  <c r="Y705" i="142"/>
  <c r="Z705" i="142" s="1"/>
  <c r="S707" i="142"/>
  <c r="T706" i="142"/>
  <c r="U706" i="142" s="1"/>
  <c r="W706" i="142" s="1"/>
  <c r="X706" i="142" s="1"/>
  <c r="AA705" i="142" l="1"/>
  <c r="AB705" i="142" s="1"/>
  <c r="Y706" i="142"/>
  <c r="Z706" i="142" s="1"/>
  <c r="S708" i="142"/>
  <c r="T707" i="142"/>
  <c r="U707" i="142" s="1"/>
  <c r="W707" i="142" s="1"/>
  <c r="X707" i="142" s="1"/>
  <c r="AA706" i="142" l="1"/>
  <c r="AB706" i="142" s="1"/>
  <c r="Y707" i="142"/>
  <c r="Z707" i="142" s="1"/>
  <c r="S709" i="142"/>
  <c r="T708" i="142"/>
  <c r="U708" i="142" s="1"/>
  <c r="W708" i="142" s="1"/>
  <c r="X708" i="142" s="1"/>
  <c r="AA707" i="142" l="1"/>
  <c r="AB707" i="142" s="1"/>
  <c r="Y708" i="142"/>
  <c r="Z708" i="142" s="1"/>
  <c r="S710" i="142"/>
  <c r="T709" i="142"/>
  <c r="U709" i="142" s="1"/>
  <c r="W709" i="142" s="1"/>
  <c r="X709" i="142" s="1"/>
  <c r="AA708" i="142" l="1"/>
  <c r="AB708" i="142" s="1"/>
  <c r="Y709" i="142"/>
  <c r="Z709" i="142" s="1"/>
  <c r="T710" i="142"/>
  <c r="U710" i="142" s="1"/>
  <c r="W710" i="142" s="1"/>
  <c r="X710" i="142" s="1"/>
  <c r="S711" i="142"/>
  <c r="AA709" i="142" l="1"/>
  <c r="AB709" i="142" s="1"/>
  <c r="S712" i="142"/>
  <c r="T711" i="142"/>
  <c r="U711" i="142" s="1"/>
  <c r="W711" i="142" s="1"/>
  <c r="X711" i="142" s="1"/>
  <c r="Y710" i="142"/>
  <c r="Z710" i="142" s="1"/>
  <c r="AA710" i="142" l="1"/>
  <c r="AB710" i="142" s="1"/>
  <c r="Y711" i="142"/>
  <c r="Z711" i="142" s="1"/>
  <c r="T712" i="142"/>
  <c r="U712" i="142" s="1"/>
  <c r="W712" i="142" s="1"/>
  <c r="X712" i="142" s="1"/>
  <c r="S713" i="142"/>
  <c r="AA711" i="142" l="1"/>
  <c r="AB711" i="142" s="1"/>
  <c r="S714" i="142"/>
  <c r="T713" i="142"/>
  <c r="U713" i="142" s="1"/>
  <c r="W713" i="142" s="1"/>
  <c r="X713" i="142" s="1"/>
  <c r="Y712" i="142"/>
  <c r="Z712" i="142" s="1"/>
  <c r="AA712" i="142" l="1"/>
  <c r="AB712" i="142" s="1"/>
  <c r="Y713" i="142"/>
  <c r="Z713" i="142" s="1"/>
  <c r="S715" i="142"/>
  <c r="T714" i="142"/>
  <c r="U714" i="142" s="1"/>
  <c r="W714" i="142" s="1"/>
  <c r="X714" i="142" s="1"/>
  <c r="AA713" i="142" l="1"/>
  <c r="AB713" i="142" s="1"/>
  <c r="Y714" i="142"/>
  <c r="Z714" i="142" s="1"/>
  <c r="S716" i="142"/>
  <c r="T715" i="142"/>
  <c r="U715" i="142" s="1"/>
  <c r="W715" i="142" s="1"/>
  <c r="X715" i="142" s="1"/>
  <c r="AA714" i="142" l="1"/>
  <c r="AB714" i="142" s="1"/>
  <c r="Y715" i="142"/>
  <c r="Z715" i="142" s="1"/>
  <c r="S717" i="142"/>
  <c r="T716" i="142"/>
  <c r="U716" i="142" s="1"/>
  <c r="W716" i="142" s="1"/>
  <c r="X716" i="142" s="1"/>
  <c r="AA715" i="142" l="1"/>
  <c r="AB715" i="142" s="1"/>
  <c r="Y716" i="142"/>
  <c r="Z716" i="142" s="1"/>
  <c r="S718" i="142"/>
  <c r="T717" i="142"/>
  <c r="U717" i="142" s="1"/>
  <c r="W717" i="142" s="1"/>
  <c r="X717" i="142" s="1"/>
  <c r="AA716" i="142" l="1"/>
  <c r="AB716" i="142" s="1"/>
  <c r="Y717" i="142"/>
  <c r="Z717" i="142" s="1"/>
  <c r="S719" i="142"/>
  <c r="T718" i="142"/>
  <c r="U718" i="142" s="1"/>
  <c r="W718" i="142" s="1"/>
  <c r="X718" i="142" s="1"/>
  <c r="AA717" i="142" l="1"/>
  <c r="AB717" i="142" s="1"/>
  <c r="Y718" i="142"/>
  <c r="Z718" i="142" s="1"/>
  <c r="S720" i="142"/>
  <c r="T719" i="142"/>
  <c r="U719" i="142" s="1"/>
  <c r="W719" i="142" s="1"/>
  <c r="X719" i="142" s="1"/>
  <c r="AA718" i="142" l="1"/>
  <c r="AB718" i="142" s="1"/>
  <c r="Y719" i="142"/>
  <c r="Z719" i="142" s="1"/>
  <c r="S721" i="142"/>
  <c r="T720" i="142"/>
  <c r="U720" i="142" s="1"/>
  <c r="W720" i="142" s="1"/>
  <c r="X720" i="142" s="1"/>
  <c r="AA719" i="142" l="1"/>
  <c r="AB719" i="142" s="1"/>
  <c r="Y720" i="142"/>
  <c r="Z720" i="142" s="1"/>
  <c r="S722" i="142"/>
  <c r="T721" i="142"/>
  <c r="U721" i="142" s="1"/>
  <c r="W721" i="142" s="1"/>
  <c r="X721" i="142" s="1"/>
  <c r="AA720" i="142" l="1"/>
  <c r="AB720" i="142" s="1"/>
  <c r="Y721" i="142"/>
  <c r="Z721" i="142" s="1"/>
  <c r="S723" i="142"/>
  <c r="T722" i="142"/>
  <c r="U722" i="142" s="1"/>
  <c r="W722" i="142" s="1"/>
  <c r="X722" i="142" s="1"/>
  <c r="AA721" i="142" l="1"/>
  <c r="AB721" i="142" s="1"/>
  <c r="Y722" i="142"/>
  <c r="Z722" i="142" s="1"/>
  <c r="S724" i="142"/>
  <c r="T723" i="142"/>
  <c r="U723" i="142" s="1"/>
  <c r="W723" i="142" s="1"/>
  <c r="X723" i="142" s="1"/>
  <c r="AA722" i="142" l="1"/>
  <c r="AB722" i="142" s="1"/>
  <c r="Y723" i="142"/>
  <c r="Z723" i="142" s="1"/>
  <c r="S725" i="142"/>
  <c r="T724" i="142"/>
  <c r="U724" i="142" s="1"/>
  <c r="W724" i="142" s="1"/>
  <c r="X724" i="142" s="1"/>
  <c r="AA723" i="142" l="1"/>
  <c r="AB723" i="142" s="1"/>
  <c r="Y724" i="142"/>
  <c r="Z724" i="142" s="1"/>
  <c r="S726" i="142"/>
  <c r="T725" i="142"/>
  <c r="U725" i="142" s="1"/>
  <c r="W725" i="142" s="1"/>
  <c r="X725" i="142" s="1"/>
  <c r="AA724" i="142" l="1"/>
  <c r="AB724" i="142" s="1"/>
  <c r="Y725" i="142"/>
  <c r="Z725" i="142" s="1"/>
  <c r="S727" i="142"/>
  <c r="T726" i="142"/>
  <c r="U726" i="142" s="1"/>
  <c r="W726" i="142" s="1"/>
  <c r="X726" i="142" s="1"/>
  <c r="AA725" i="142" l="1"/>
  <c r="AB725" i="142" s="1"/>
  <c r="Y726" i="142"/>
  <c r="Z726" i="142" s="1"/>
  <c r="S728" i="142"/>
  <c r="T727" i="142"/>
  <c r="U727" i="142" s="1"/>
  <c r="W727" i="142" s="1"/>
  <c r="X727" i="142" s="1"/>
  <c r="AA726" i="142" l="1"/>
  <c r="AB726" i="142" s="1"/>
  <c r="Y727" i="142"/>
  <c r="Z727" i="142" s="1"/>
  <c r="S729" i="142"/>
  <c r="T728" i="142"/>
  <c r="U728" i="142" s="1"/>
  <c r="W728" i="142" s="1"/>
  <c r="X728" i="142" s="1"/>
  <c r="AA727" i="142" l="1"/>
  <c r="AB727" i="142" s="1"/>
  <c r="Y728" i="142"/>
  <c r="Z728" i="142" s="1"/>
  <c r="S730" i="142"/>
  <c r="T729" i="142"/>
  <c r="U729" i="142" s="1"/>
  <c r="W729" i="142" s="1"/>
  <c r="X729" i="142" s="1"/>
  <c r="AA728" i="142" l="1"/>
  <c r="AB728" i="142" s="1"/>
  <c r="Y729" i="142"/>
  <c r="Z729" i="142" s="1"/>
  <c r="S731" i="142"/>
  <c r="T730" i="142"/>
  <c r="U730" i="142" s="1"/>
  <c r="W730" i="142" s="1"/>
  <c r="X730" i="142" s="1"/>
  <c r="AA729" i="142" l="1"/>
  <c r="AB729" i="142" s="1"/>
  <c r="Y730" i="142"/>
  <c r="Z730" i="142" s="1"/>
  <c r="S732" i="142"/>
  <c r="T731" i="142"/>
  <c r="U731" i="142" s="1"/>
  <c r="W731" i="142" s="1"/>
  <c r="X731" i="142" s="1"/>
  <c r="AA730" i="142" l="1"/>
  <c r="AB730" i="142" s="1"/>
  <c r="Y731" i="142"/>
  <c r="Z731" i="142" s="1"/>
  <c r="S733" i="142"/>
  <c r="T732" i="142"/>
  <c r="U732" i="142" s="1"/>
  <c r="W732" i="142" s="1"/>
  <c r="X732" i="142" s="1"/>
  <c r="AA731" i="142" l="1"/>
  <c r="AB731" i="142" s="1"/>
  <c r="Y732" i="142"/>
  <c r="Z732" i="142" s="1"/>
  <c r="S734" i="142"/>
  <c r="T733" i="142"/>
  <c r="U733" i="142" s="1"/>
  <c r="W733" i="142" s="1"/>
  <c r="X733" i="142" s="1"/>
  <c r="AA732" i="142" l="1"/>
  <c r="AB732" i="142" s="1"/>
  <c r="Y733" i="142"/>
  <c r="Z733" i="142" s="1"/>
  <c r="S735" i="142"/>
  <c r="T734" i="142"/>
  <c r="U734" i="142" s="1"/>
  <c r="W734" i="142" s="1"/>
  <c r="X734" i="142" s="1"/>
  <c r="AA733" i="142" l="1"/>
  <c r="AB733" i="142" s="1"/>
  <c r="Y734" i="142"/>
  <c r="Z734" i="142" s="1"/>
  <c r="S736" i="142"/>
  <c r="T735" i="142"/>
  <c r="U735" i="142" s="1"/>
  <c r="W735" i="142" s="1"/>
  <c r="X735" i="142" s="1"/>
  <c r="AA734" i="142" l="1"/>
  <c r="AB734" i="142" s="1"/>
  <c r="Y735" i="142"/>
  <c r="Z735" i="142" s="1"/>
  <c r="S737" i="142"/>
  <c r="T736" i="142"/>
  <c r="U736" i="142" s="1"/>
  <c r="W736" i="142" s="1"/>
  <c r="X736" i="142" s="1"/>
  <c r="AA735" i="142" l="1"/>
  <c r="AB735" i="142" s="1"/>
  <c r="Y736" i="142"/>
  <c r="Z736" i="142" s="1"/>
  <c r="S738" i="142"/>
  <c r="T737" i="142"/>
  <c r="U737" i="142" s="1"/>
  <c r="W737" i="142" s="1"/>
  <c r="X737" i="142" s="1"/>
  <c r="AA736" i="142" l="1"/>
  <c r="AB736" i="142" s="1"/>
  <c r="Y737" i="142"/>
  <c r="Z737" i="142" s="1"/>
  <c r="S739" i="142"/>
  <c r="T738" i="142"/>
  <c r="U738" i="142" s="1"/>
  <c r="W738" i="142" s="1"/>
  <c r="X738" i="142" s="1"/>
  <c r="AA737" i="142" l="1"/>
  <c r="AB737" i="142" s="1"/>
  <c r="Y738" i="142"/>
  <c r="Z738" i="142" s="1"/>
  <c r="S740" i="142"/>
  <c r="T739" i="142"/>
  <c r="U739" i="142" s="1"/>
  <c r="W739" i="142" s="1"/>
  <c r="X739" i="142" s="1"/>
  <c r="AA738" i="142" l="1"/>
  <c r="AB738" i="142" s="1"/>
  <c r="Y739" i="142"/>
  <c r="Z739" i="142" s="1"/>
  <c r="S741" i="142"/>
  <c r="T740" i="142"/>
  <c r="U740" i="142" s="1"/>
  <c r="W740" i="142" s="1"/>
  <c r="X740" i="142" s="1"/>
  <c r="AA739" i="142" l="1"/>
  <c r="AB739" i="142" s="1"/>
  <c r="Y740" i="142"/>
  <c r="Z740" i="142" s="1"/>
  <c r="S742" i="142"/>
  <c r="T741" i="142"/>
  <c r="U741" i="142" s="1"/>
  <c r="W741" i="142" s="1"/>
  <c r="X741" i="142" s="1"/>
  <c r="AA740" i="142" l="1"/>
  <c r="AB740" i="142" s="1"/>
  <c r="Y741" i="142"/>
  <c r="Z741" i="142" s="1"/>
  <c r="S743" i="142"/>
  <c r="T742" i="142"/>
  <c r="U742" i="142" s="1"/>
  <c r="W742" i="142" s="1"/>
  <c r="X742" i="142" s="1"/>
  <c r="AA741" i="142" l="1"/>
  <c r="AB741" i="142" s="1"/>
  <c r="Y742" i="142"/>
  <c r="Z742" i="142" s="1"/>
  <c r="S744" i="142"/>
  <c r="T743" i="142"/>
  <c r="U743" i="142" s="1"/>
  <c r="W743" i="142" s="1"/>
  <c r="X743" i="142" s="1"/>
  <c r="AA742" i="142" l="1"/>
  <c r="AB742" i="142" s="1"/>
  <c r="Y743" i="142"/>
  <c r="Z743" i="142" s="1"/>
  <c r="S745" i="142"/>
  <c r="T744" i="142"/>
  <c r="U744" i="142" s="1"/>
  <c r="W744" i="142" s="1"/>
  <c r="X744" i="142" s="1"/>
  <c r="AA743" i="142" l="1"/>
  <c r="AB743" i="142" s="1"/>
  <c r="Y744" i="142"/>
  <c r="Z744" i="142" s="1"/>
  <c r="S746" i="142"/>
  <c r="T745" i="142"/>
  <c r="U745" i="142" s="1"/>
  <c r="W745" i="142" s="1"/>
  <c r="X745" i="142" s="1"/>
  <c r="AA744" i="142" l="1"/>
  <c r="AB744" i="142" s="1"/>
  <c r="Y745" i="142"/>
  <c r="Z745" i="142" s="1"/>
  <c r="S747" i="142"/>
  <c r="T746" i="142"/>
  <c r="U746" i="142" s="1"/>
  <c r="W746" i="142" s="1"/>
  <c r="X746" i="142" s="1"/>
  <c r="AA745" i="142" l="1"/>
  <c r="AB745" i="142" s="1"/>
  <c r="Y746" i="142"/>
  <c r="Z746" i="142" s="1"/>
  <c r="S748" i="142"/>
  <c r="T747" i="142"/>
  <c r="U747" i="142" s="1"/>
  <c r="W747" i="142" s="1"/>
  <c r="X747" i="142" s="1"/>
  <c r="AA746" i="142" l="1"/>
  <c r="AB746" i="142" s="1"/>
  <c r="Y747" i="142"/>
  <c r="Z747" i="142" s="1"/>
  <c r="S749" i="142"/>
  <c r="T748" i="142"/>
  <c r="U748" i="142" s="1"/>
  <c r="W748" i="142" s="1"/>
  <c r="X748" i="142" s="1"/>
  <c r="AA747" i="142" l="1"/>
  <c r="AB747" i="142" s="1"/>
  <c r="Y748" i="142"/>
  <c r="Z748" i="142" s="1"/>
  <c r="S750" i="142"/>
  <c r="T749" i="142"/>
  <c r="U749" i="142" s="1"/>
  <c r="W749" i="142" s="1"/>
  <c r="X749" i="142" s="1"/>
  <c r="AA748" i="142" l="1"/>
  <c r="AB748" i="142" s="1"/>
  <c r="Y749" i="142"/>
  <c r="Z749" i="142" s="1"/>
  <c r="S751" i="142"/>
  <c r="T750" i="142"/>
  <c r="U750" i="142" s="1"/>
  <c r="W750" i="142" s="1"/>
  <c r="X750" i="142" s="1"/>
  <c r="AA749" i="142" l="1"/>
  <c r="AB749" i="142" s="1"/>
  <c r="Y750" i="142"/>
  <c r="Z750" i="142" s="1"/>
  <c r="S752" i="142"/>
  <c r="T751" i="142"/>
  <c r="U751" i="142" s="1"/>
  <c r="W751" i="142" s="1"/>
  <c r="X751" i="142" s="1"/>
  <c r="AA750" i="142" l="1"/>
  <c r="AB750" i="142" s="1"/>
  <c r="Y751" i="142"/>
  <c r="Z751" i="142" s="1"/>
  <c r="S753" i="142"/>
  <c r="T752" i="142"/>
  <c r="U752" i="142" s="1"/>
  <c r="W752" i="142" s="1"/>
  <c r="X752" i="142" s="1"/>
  <c r="AA751" i="142" l="1"/>
  <c r="AB751" i="142" s="1"/>
  <c r="Y752" i="142"/>
  <c r="Z752" i="142" s="1"/>
  <c r="S754" i="142"/>
  <c r="T753" i="142"/>
  <c r="U753" i="142" s="1"/>
  <c r="W753" i="142" s="1"/>
  <c r="X753" i="142" s="1"/>
  <c r="AA752" i="142" l="1"/>
  <c r="AB752" i="142" s="1"/>
  <c r="Y753" i="142"/>
  <c r="Z753" i="142" s="1"/>
  <c r="S755" i="142"/>
  <c r="T754" i="142"/>
  <c r="U754" i="142" s="1"/>
  <c r="W754" i="142" s="1"/>
  <c r="X754" i="142" s="1"/>
  <c r="AA753" i="142" l="1"/>
  <c r="AB753" i="142" s="1"/>
  <c r="Y754" i="142"/>
  <c r="Z754" i="142" s="1"/>
  <c r="S756" i="142"/>
  <c r="T755" i="142"/>
  <c r="U755" i="142" s="1"/>
  <c r="W755" i="142" s="1"/>
  <c r="X755" i="142" s="1"/>
  <c r="AA754" i="142" l="1"/>
  <c r="AB754" i="142" s="1"/>
  <c r="Y755" i="142"/>
  <c r="Z755" i="142" s="1"/>
  <c r="S757" i="142"/>
  <c r="T756" i="142"/>
  <c r="U756" i="142" s="1"/>
  <c r="W756" i="142" s="1"/>
  <c r="X756" i="142" s="1"/>
  <c r="AA755" i="142" l="1"/>
  <c r="AB755" i="142" s="1"/>
  <c r="Y756" i="142"/>
  <c r="Z756" i="142" s="1"/>
  <c r="S758" i="142"/>
  <c r="T757" i="142"/>
  <c r="U757" i="142" s="1"/>
  <c r="W757" i="142" s="1"/>
  <c r="X757" i="142" s="1"/>
  <c r="AA756" i="142" l="1"/>
  <c r="AB756" i="142" s="1"/>
  <c r="Y757" i="142"/>
  <c r="Z757" i="142" s="1"/>
  <c r="S759" i="142"/>
  <c r="T758" i="142"/>
  <c r="U758" i="142" s="1"/>
  <c r="W758" i="142" s="1"/>
  <c r="X758" i="142" s="1"/>
  <c r="AA757" i="142" l="1"/>
  <c r="AB757" i="142" s="1"/>
  <c r="Y758" i="142"/>
  <c r="Z758" i="142" s="1"/>
  <c r="S760" i="142"/>
  <c r="T759" i="142"/>
  <c r="U759" i="142" s="1"/>
  <c r="W759" i="142" s="1"/>
  <c r="X759" i="142" s="1"/>
  <c r="AA758" i="142" l="1"/>
  <c r="AB758" i="142" s="1"/>
  <c r="Y759" i="142"/>
  <c r="Z759" i="142" s="1"/>
  <c r="S761" i="142"/>
  <c r="T760" i="142"/>
  <c r="U760" i="142" s="1"/>
  <c r="W760" i="142" s="1"/>
  <c r="X760" i="142" s="1"/>
  <c r="AA759" i="142" l="1"/>
  <c r="AB759" i="142" s="1"/>
  <c r="Y760" i="142"/>
  <c r="Z760" i="142" s="1"/>
  <c r="S762" i="142"/>
  <c r="T761" i="142"/>
  <c r="U761" i="142" s="1"/>
  <c r="W761" i="142" s="1"/>
  <c r="X761" i="142" s="1"/>
  <c r="AA760" i="142" l="1"/>
  <c r="AB760" i="142" s="1"/>
  <c r="Y761" i="142"/>
  <c r="Z761" i="142" s="1"/>
  <c r="S763" i="142"/>
  <c r="T762" i="142"/>
  <c r="U762" i="142" s="1"/>
  <c r="W762" i="142" s="1"/>
  <c r="X762" i="142" s="1"/>
  <c r="AA761" i="142" l="1"/>
  <c r="AB761" i="142" s="1"/>
  <c r="Y762" i="142"/>
  <c r="Z762" i="142" s="1"/>
  <c r="S764" i="142"/>
  <c r="T763" i="142"/>
  <c r="U763" i="142" s="1"/>
  <c r="W763" i="142" s="1"/>
  <c r="X763" i="142" s="1"/>
  <c r="AA762" i="142" l="1"/>
  <c r="AB762" i="142" s="1"/>
  <c r="Y763" i="142"/>
  <c r="Z763" i="142" s="1"/>
  <c r="S765" i="142"/>
  <c r="T764" i="142"/>
  <c r="U764" i="142" s="1"/>
  <c r="W764" i="142" s="1"/>
  <c r="X764" i="142" s="1"/>
  <c r="AA763" i="142" l="1"/>
  <c r="AB763" i="142" s="1"/>
  <c r="Y764" i="142"/>
  <c r="Z764" i="142" s="1"/>
  <c r="S766" i="142"/>
  <c r="T765" i="142"/>
  <c r="U765" i="142" s="1"/>
  <c r="W765" i="142" s="1"/>
  <c r="X765" i="142" s="1"/>
  <c r="AA764" i="142" l="1"/>
  <c r="AB764" i="142" s="1"/>
  <c r="Y765" i="142"/>
  <c r="Z765" i="142" s="1"/>
  <c r="S767" i="142"/>
  <c r="T766" i="142"/>
  <c r="U766" i="142" s="1"/>
  <c r="W766" i="142" s="1"/>
  <c r="X766" i="142" s="1"/>
  <c r="AA765" i="142" l="1"/>
  <c r="AB765" i="142" s="1"/>
  <c r="Y766" i="142"/>
  <c r="Z766" i="142" s="1"/>
  <c r="S768" i="142"/>
  <c r="T767" i="142"/>
  <c r="U767" i="142" s="1"/>
  <c r="W767" i="142" s="1"/>
  <c r="X767" i="142" s="1"/>
  <c r="AA766" i="142" l="1"/>
  <c r="AB766" i="142" s="1"/>
  <c r="Y767" i="142"/>
  <c r="Z767" i="142" s="1"/>
  <c r="S769" i="142"/>
  <c r="T768" i="142"/>
  <c r="U768" i="142" s="1"/>
  <c r="W768" i="142" s="1"/>
  <c r="X768" i="142" s="1"/>
  <c r="AA767" i="142" l="1"/>
  <c r="AB767" i="142" s="1"/>
  <c r="Y768" i="142"/>
  <c r="Z768" i="142" s="1"/>
  <c r="S770" i="142"/>
  <c r="T769" i="142"/>
  <c r="U769" i="142" s="1"/>
  <c r="W769" i="142" s="1"/>
  <c r="X769" i="142" s="1"/>
  <c r="AA768" i="142" l="1"/>
  <c r="AB768" i="142" s="1"/>
  <c r="Y769" i="142"/>
  <c r="Z769" i="142" s="1"/>
  <c r="S771" i="142"/>
  <c r="T770" i="142"/>
  <c r="U770" i="142" s="1"/>
  <c r="W770" i="142" s="1"/>
  <c r="X770" i="142" s="1"/>
  <c r="AA769" i="142" l="1"/>
  <c r="AB769" i="142" s="1"/>
  <c r="Y770" i="142"/>
  <c r="Z770" i="142" s="1"/>
  <c r="S772" i="142"/>
  <c r="T771" i="142"/>
  <c r="U771" i="142" s="1"/>
  <c r="W771" i="142" s="1"/>
  <c r="X771" i="142" s="1"/>
  <c r="AA770" i="142" l="1"/>
  <c r="AB770" i="142" s="1"/>
  <c r="Y771" i="142"/>
  <c r="Z771" i="142" s="1"/>
  <c r="S773" i="142"/>
  <c r="T772" i="142"/>
  <c r="U772" i="142" s="1"/>
  <c r="W772" i="142" s="1"/>
  <c r="X772" i="142" s="1"/>
  <c r="AA771" i="142" l="1"/>
  <c r="AB771" i="142" s="1"/>
  <c r="Y772" i="142"/>
  <c r="Z772" i="142" s="1"/>
  <c r="S774" i="142"/>
  <c r="T773" i="142"/>
  <c r="U773" i="142" s="1"/>
  <c r="W773" i="142" s="1"/>
  <c r="X773" i="142" s="1"/>
  <c r="AA772" i="142" l="1"/>
  <c r="AB772" i="142" s="1"/>
  <c r="Y773" i="142"/>
  <c r="Z773" i="142" s="1"/>
  <c r="S775" i="142"/>
  <c r="T774" i="142"/>
  <c r="U774" i="142" s="1"/>
  <c r="W774" i="142" s="1"/>
  <c r="X774" i="142" s="1"/>
  <c r="AA773" i="142" l="1"/>
  <c r="AB773" i="142" s="1"/>
  <c r="Y774" i="142"/>
  <c r="Z774" i="142" s="1"/>
  <c r="S776" i="142"/>
  <c r="T775" i="142"/>
  <c r="U775" i="142" s="1"/>
  <c r="W775" i="142" s="1"/>
  <c r="X775" i="142" s="1"/>
  <c r="AA774" i="142" l="1"/>
  <c r="AB774" i="142" s="1"/>
  <c r="S777" i="142"/>
  <c r="T776" i="142"/>
  <c r="U776" i="142" s="1"/>
  <c r="W776" i="142" s="1"/>
  <c r="X776" i="142" s="1"/>
  <c r="Y775" i="142"/>
  <c r="Z775" i="142" s="1"/>
  <c r="AA775" i="142" l="1"/>
  <c r="AB775" i="142" s="1"/>
  <c r="S778" i="142"/>
  <c r="T777" i="142"/>
  <c r="U777" i="142" s="1"/>
  <c r="W777" i="142" s="1"/>
  <c r="X777" i="142" s="1"/>
  <c r="Y776" i="142"/>
  <c r="Z776" i="142" s="1"/>
  <c r="AA776" i="142" l="1"/>
  <c r="AB776" i="142" s="1"/>
  <c r="Y777" i="142"/>
  <c r="Z777" i="142" s="1"/>
  <c r="S779" i="142"/>
  <c r="T778" i="142"/>
  <c r="U778" i="142" s="1"/>
  <c r="W778" i="142" s="1"/>
  <c r="X778" i="142" s="1"/>
  <c r="AA777" i="142" l="1"/>
  <c r="AB777" i="142" s="1"/>
  <c r="Y778" i="142"/>
  <c r="Z778" i="142" s="1"/>
  <c r="S780" i="142"/>
  <c r="T779" i="142"/>
  <c r="U779" i="142" s="1"/>
  <c r="W779" i="142" s="1"/>
  <c r="X779" i="142" s="1"/>
  <c r="AA778" i="142" l="1"/>
  <c r="AB778" i="142" s="1"/>
  <c r="Y779" i="142"/>
  <c r="Z779" i="142" s="1"/>
  <c r="S781" i="142"/>
  <c r="T780" i="142"/>
  <c r="U780" i="142" s="1"/>
  <c r="W780" i="142" s="1"/>
  <c r="X780" i="142" s="1"/>
  <c r="AA779" i="142" l="1"/>
  <c r="AB779" i="142" s="1"/>
  <c r="Y780" i="142"/>
  <c r="Z780" i="142" s="1"/>
  <c r="S782" i="142"/>
  <c r="T781" i="142"/>
  <c r="U781" i="142" s="1"/>
  <c r="W781" i="142" s="1"/>
  <c r="X781" i="142" s="1"/>
  <c r="AA780" i="142" l="1"/>
  <c r="AB780" i="142" s="1"/>
  <c r="Y781" i="142"/>
  <c r="Z781" i="142" s="1"/>
  <c r="S783" i="142"/>
  <c r="T782" i="142"/>
  <c r="U782" i="142" s="1"/>
  <c r="W782" i="142" s="1"/>
  <c r="X782" i="142" s="1"/>
  <c r="AA781" i="142" l="1"/>
  <c r="AB781" i="142" s="1"/>
  <c r="Y782" i="142"/>
  <c r="Z782" i="142" s="1"/>
  <c r="S784" i="142"/>
  <c r="T783" i="142"/>
  <c r="U783" i="142" s="1"/>
  <c r="W783" i="142" s="1"/>
  <c r="X783" i="142" s="1"/>
  <c r="AA782" i="142" l="1"/>
  <c r="AB782" i="142" s="1"/>
  <c r="Y783" i="142"/>
  <c r="Z783" i="142" s="1"/>
  <c r="S785" i="142"/>
  <c r="T784" i="142"/>
  <c r="U784" i="142" s="1"/>
  <c r="W784" i="142" s="1"/>
  <c r="X784" i="142" s="1"/>
  <c r="AA783" i="142" l="1"/>
  <c r="AB783" i="142" s="1"/>
  <c r="Y784" i="142"/>
  <c r="Z784" i="142" s="1"/>
  <c r="S786" i="142"/>
  <c r="T785" i="142"/>
  <c r="U785" i="142" s="1"/>
  <c r="W785" i="142" s="1"/>
  <c r="X785" i="142" s="1"/>
  <c r="AA784" i="142" l="1"/>
  <c r="AB784" i="142" s="1"/>
  <c r="Y785" i="142"/>
  <c r="Z785" i="142" s="1"/>
  <c r="S787" i="142"/>
  <c r="T786" i="142"/>
  <c r="U786" i="142" s="1"/>
  <c r="W786" i="142" s="1"/>
  <c r="X786" i="142" s="1"/>
  <c r="AA785" i="142" l="1"/>
  <c r="AB785" i="142" s="1"/>
  <c r="Y786" i="142"/>
  <c r="Z786" i="142" s="1"/>
  <c r="S788" i="142"/>
  <c r="T787" i="142"/>
  <c r="U787" i="142" s="1"/>
  <c r="W787" i="142" s="1"/>
  <c r="X787" i="142" s="1"/>
  <c r="AA786" i="142" l="1"/>
  <c r="AB786" i="142" s="1"/>
  <c r="Y787" i="142"/>
  <c r="Z787" i="142" s="1"/>
  <c r="S789" i="142"/>
  <c r="T788" i="142"/>
  <c r="U788" i="142" s="1"/>
  <c r="W788" i="142" s="1"/>
  <c r="X788" i="142" s="1"/>
  <c r="AA787" i="142" l="1"/>
  <c r="AB787" i="142" s="1"/>
  <c r="Y788" i="142"/>
  <c r="Z788" i="142" s="1"/>
  <c r="S790" i="142"/>
  <c r="T789" i="142"/>
  <c r="U789" i="142" s="1"/>
  <c r="W789" i="142" s="1"/>
  <c r="X789" i="142" s="1"/>
  <c r="AA788" i="142" l="1"/>
  <c r="AB788" i="142" s="1"/>
  <c r="Y789" i="142"/>
  <c r="Z789" i="142" s="1"/>
  <c r="S791" i="142"/>
  <c r="T790" i="142"/>
  <c r="U790" i="142" s="1"/>
  <c r="W790" i="142" s="1"/>
  <c r="X790" i="142" s="1"/>
  <c r="AA789" i="142" l="1"/>
  <c r="AB789" i="142" s="1"/>
  <c r="Y790" i="142"/>
  <c r="Z790" i="142" s="1"/>
  <c r="S792" i="142"/>
  <c r="T791" i="142"/>
  <c r="U791" i="142" s="1"/>
  <c r="W791" i="142" s="1"/>
  <c r="X791" i="142" s="1"/>
  <c r="AA790" i="142" l="1"/>
  <c r="AB790" i="142" s="1"/>
  <c r="Y791" i="142"/>
  <c r="Z791" i="142" s="1"/>
  <c r="S793" i="142"/>
  <c r="T792" i="142"/>
  <c r="U792" i="142" s="1"/>
  <c r="W792" i="142" s="1"/>
  <c r="X792" i="142" s="1"/>
  <c r="AA791" i="142" l="1"/>
  <c r="AB791" i="142" s="1"/>
  <c r="Y792" i="142"/>
  <c r="Z792" i="142" s="1"/>
  <c r="S794" i="142"/>
  <c r="T793" i="142"/>
  <c r="U793" i="142" s="1"/>
  <c r="W793" i="142" s="1"/>
  <c r="X793" i="142" s="1"/>
  <c r="AA792" i="142" l="1"/>
  <c r="AB792" i="142" s="1"/>
  <c r="Y793" i="142"/>
  <c r="Z793" i="142" s="1"/>
  <c r="S795" i="142"/>
  <c r="T794" i="142"/>
  <c r="U794" i="142" s="1"/>
  <c r="W794" i="142" s="1"/>
  <c r="X794" i="142" s="1"/>
  <c r="AA793" i="142" l="1"/>
  <c r="AB793" i="142" s="1"/>
  <c r="Y794" i="142"/>
  <c r="Z794" i="142" s="1"/>
  <c r="S796" i="142"/>
  <c r="T795" i="142"/>
  <c r="U795" i="142" s="1"/>
  <c r="W795" i="142" s="1"/>
  <c r="X795" i="142" s="1"/>
  <c r="AA794" i="142" l="1"/>
  <c r="AB794" i="142" s="1"/>
  <c r="Y795" i="142"/>
  <c r="Z795" i="142" s="1"/>
  <c r="S797" i="142"/>
  <c r="T796" i="142"/>
  <c r="U796" i="142" s="1"/>
  <c r="W796" i="142" s="1"/>
  <c r="X796" i="142" s="1"/>
  <c r="AA795" i="142" l="1"/>
  <c r="AB795" i="142" s="1"/>
  <c r="Y796" i="142"/>
  <c r="Z796" i="142" s="1"/>
  <c r="S798" i="142"/>
  <c r="T797" i="142"/>
  <c r="U797" i="142" s="1"/>
  <c r="W797" i="142" s="1"/>
  <c r="X797" i="142" s="1"/>
  <c r="AA796" i="142" l="1"/>
  <c r="AB796" i="142" s="1"/>
  <c r="Y797" i="142"/>
  <c r="Z797" i="142" s="1"/>
  <c r="S799" i="142"/>
  <c r="T798" i="142"/>
  <c r="U798" i="142" s="1"/>
  <c r="W798" i="142" s="1"/>
  <c r="X798" i="142" s="1"/>
  <c r="AA797" i="142" l="1"/>
  <c r="AB797" i="142" s="1"/>
  <c r="Y798" i="142"/>
  <c r="Z798" i="142" s="1"/>
  <c r="S800" i="142"/>
  <c r="T799" i="142"/>
  <c r="U799" i="142" s="1"/>
  <c r="W799" i="142" s="1"/>
  <c r="X799" i="142" s="1"/>
  <c r="AA798" i="142" l="1"/>
  <c r="AB798" i="142" s="1"/>
  <c r="Y799" i="142"/>
  <c r="Z799" i="142" s="1"/>
  <c r="S801" i="142"/>
  <c r="T800" i="142"/>
  <c r="U800" i="142" s="1"/>
  <c r="W800" i="142" s="1"/>
  <c r="X800" i="142" s="1"/>
  <c r="AA799" i="142" l="1"/>
  <c r="AB799" i="142" s="1"/>
  <c r="Y800" i="142"/>
  <c r="Z800" i="142" s="1"/>
  <c r="S802" i="142"/>
  <c r="T801" i="142"/>
  <c r="U801" i="142" s="1"/>
  <c r="W801" i="142" s="1"/>
  <c r="X801" i="142" s="1"/>
  <c r="AA800" i="142" l="1"/>
  <c r="AB800" i="142" s="1"/>
  <c r="Y801" i="142"/>
  <c r="Z801" i="142" s="1"/>
  <c r="S803" i="142"/>
  <c r="T802" i="142"/>
  <c r="U802" i="142" s="1"/>
  <c r="W802" i="142" s="1"/>
  <c r="X802" i="142" s="1"/>
  <c r="AA801" i="142" l="1"/>
  <c r="AB801" i="142" s="1"/>
  <c r="Y802" i="142"/>
  <c r="Z802" i="142" s="1"/>
  <c r="S804" i="142"/>
  <c r="T803" i="142"/>
  <c r="U803" i="142" s="1"/>
  <c r="W803" i="142" s="1"/>
  <c r="X803" i="142" s="1"/>
  <c r="AA802" i="142" l="1"/>
  <c r="AB802" i="142" s="1"/>
  <c r="Y803" i="142"/>
  <c r="Z803" i="142" s="1"/>
  <c r="S805" i="142"/>
  <c r="T804" i="142"/>
  <c r="U804" i="142" s="1"/>
  <c r="W804" i="142" s="1"/>
  <c r="X804" i="142" s="1"/>
  <c r="AA803" i="142" l="1"/>
  <c r="AB803" i="142" s="1"/>
  <c r="Y804" i="142"/>
  <c r="Z804" i="142" s="1"/>
  <c r="S806" i="142"/>
  <c r="T805" i="142"/>
  <c r="U805" i="142" s="1"/>
  <c r="W805" i="142" s="1"/>
  <c r="X805" i="142" s="1"/>
  <c r="AA804" i="142" l="1"/>
  <c r="AB804" i="142" s="1"/>
  <c r="Y805" i="142"/>
  <c r="Z805" i="142" s="1"/>
  <c r="S807" i="142"/>
  <c r="T806" i="142"/>
  <c r="U806" i="142" s="1"/>
  <c r="W806" i="142" s="1"/>
  <c r="X806" i="142" s="1"/>
  <c r="AA805" i="142" l="1"/>
  <c r="AB805" i="142" s="1"/>
  <c r="Y806" i="142"/>
  <c r="Z806" i="142" s="1"/>
  <c r="S808" i="142"/>
  <c r="T807" i="142"/>
  <c r="U807" i="142" s="1"/>
  <c r="W807" i="142" s="1"/>
  <c r="X807" i="142" s="1"/>
  <c r="AA806" i="142" l="1"/>
  <c r="AB806" i="142" s="1"/>
  <c r="Y807" i="142"/>
  <c r="Z807" i="142" s="1"/>
  <c r="S809" i="142"/>
  <c r="T808" i="142"/>
  <c r="U808" i="142" s="1"/>
  <c r="W808" i="142" s="1"/>
  <c r="X808" i="142" s="1"/>
  <c r="AA807" i="142" l="1"/>
  <c r="AB807" i="142" s="1"/>
  <c r="Y808" i="142"/>
  <c r="Z808" i="142" s="1"/>
  <c r="S810" i="142"/>
  <c r="T809" i="142"/>
  <c r="U809" i="142" s="1"/>
  <c r="W809" i="142" s="1"/>
  <c r="X809" i="142" s="1"/>
  <c r="AA808" i="142" l="1"/>
  <c r="AB808" i="142" s="1"/>
  <c r="Y809" i="142"/>
  <c r="Z809" i="142" s="1"/>
  <c r="S811" i="142"/>
  <c r="T810" i="142"/>
  <c r="U810" i="142" s="1"/>
  <c r="W810" i="142" s="1"/>
  <c r="X810" i="142" s="1"/>
  <c r="AA809" i="142" l="1"/>
  <c r="AB809" i="142" s="1"/>
  <c r="Y810" i="142"/>
  <c r="Z810" i="142" s="1"/>
  <c r="S812" i="142"/>
  <c r="T811" i="142"/>
  <c r="U811" i="142" s="1"/>
  <c r="W811" i="142" s="1"/>
  <c r="X811" i="142" s="1"/>
  <c r="AA810" i="142" l="1"/>
  <c r="AB810" i="142" s="1"/>
  <c r="Y811" i="142"/>
  <c r="Z811" i="142" s="1"/>
  <c r="S813" i="142"/>
  <c r="T812" i="142"/>
  <c r="U812" i="142" s="1"/>
  <c r="W812" i="142" s="1"/>
  <c r="X812" i="142" s="1"/>
  <c r="AA811" i="142" l="1"/>
  <c r="AB811" i="142" s="1"/>
  <c r="Y812" i="142"/>
  <c r="Z812" i="142" s="1"/>
  <c r="S814" i="142"/>
  <c r="T813" i="142"/>
  <c r="U813" i="142" s="1"/>
  <c r="W813" i="142" s="1"/>
  <c r="X813" i="142" s="1"/>
  <c r="AA812" i="142" l="1"/>
  <c r="AB812" i="142" s="1"/>
  <c r="Y813" i="142"/>
  <c r="Z813" i="142" s="1"/>
  <c r="S815" i="142"/>
  <c r="T814" i="142"/>
  <c r="U814" i="142" s="1"/>
  <c r="W814" i="142" s="1"/>
  <c r="X814" i="142" s="1"/>
  <c r="AA813" i="142" l="1"/>
  <c r="AB813" i="142" s="1"/>
  <c r="Y814" i="142"/>
  <c r="Z814" i="142" s="1"/>
  <c r="S816" i="142"/>
  <c r="T815" i="142"/>
  <c r="U815" i="142" s="1"/>
  <c r="W815" i="142" s="1"/>
  <c r="X815" i="142" s="1"/>
  <c r="AA814" i="142" l="1"/>
  <c r="AB814" i="142" s="1"/>
  <c r="Y815" i="142"/>
  <c r="Z815" i="142" s="1"/>
  <c r="S817" i="142"/>
  <c r="T816" i="142"/>
  <c r="U816" i="142" s="1"/>
  <c r="W816" i="142" s="1"/>
  <c r="X816" i="142" s="1"/>
  <c r="AA815" i="142" l="1"/>
  <c r="AB815" i="142" s="1"/>
  <c r="Y816" i="142"/>
  <c r="Z816" i="142" s="1"/>
  <c r="S818" i="142"/>
  <c r="T817" i="142"/>
  <c r="U817" i="142" s="1"/>
  <c r="W817" i="142" s="1"/>
  <c r="X817" i="142" s="1"/>
  <c r="AA816" i="142" l="1"/>
  <c r="AB816" i="142" s="1"/>
  <c r="Y817" i="142"/>
  <c r="Z817" i="142" s="1"/>
  <c r="S819" i="142"/>
  <c r="T818" i="142"/>
  <c r="U818" i="142" s="1"/>
  <c r="W818" i="142" s="1"/>
  <c r="X818" i="142" s="1"/>
  <c r="AA817" i="142" l="1"/>
  <c r="AB817" i="142" s="1"/>
  <c r="Y818" i="142"/>
  <c r="Z818" i="142" s="1"/>
  <c r="S820" i="142"/>
  <c r="T819" i="142"/>
  <c r="U819" i="142" s="1"/>
  <c r="W819" i="142" s="1"/>
  <c r="X819" i="142" s="1"/>
  <c r="AA818" i="142" l="1"/>
  <c r="AB818" i="142" s="1"/>
  <c r="Y819" i="142"/>
  <c r="Z819" i="142" s="1"/>
  <c r="S821" i="142"/>
  <c r="T820" i="142"/>
  <c r="U820" i="142" s="1"/>
  <c r="W820" i="142" s="1"/>
  <c r="X820" i="142" s="1"/>
  <c r="AA819" i="142" l="1"/>
  <c r="AB819" i="142" s="1"/>
  <c r="Y820" i="142"/>
  <c r="Z820" i="142" s="1"/>
  <c r="S822" i="142"/>
  <c r="T821" i="142"/>
  <c r="U821" i="142" s="1"/>
  <c r="W821" i="142" s="1"/>
  <c r="X821" i="142" s="1"/>
  <c r="AA820" i="142" l="1"/>
  <c r="AB820" i="142" s="1"/>
  <c r="Y821" i="142"/>
  <c r="Z821" i="142" s="1"/>
  <c r="S823" i="142"/>
  <c r="T822" i="142"/>
  <c r="U822" i="142" s="1"/>
  <c r="W822" i="142" s="1"/>
  <c r="X822" i="142" s="1"/>
  <c r="AA821" i="142" l="1"/>
  <c r="AB821" i="142" s="1"/>
  <c r="Y822" i="142"/>
  <c r="Z822" i="142" s="1"/>
  <c r="S824" i="142"/>
  <c r="T823" i="142"/>
  <c r="U823" i="142" s="1"/>
  <c r="W823" i="142" s="1"/>
  <c r="X823" i="142" s="1"/>
  <c r="AA822" i="142" l="1"/>
  <c r="AB822" i="142" s="1"/>
  <c r="Y823" i="142"/>
  <c r="Z823" i="142" s="1"/>
  <c r="S825" i="142"/>
  <c r="T824" i="142"/>
  <c r="U824" i="142" s="1"/>
  <c r="W824" i="142" s="1"/>
  <c r="X824" i="142" s="1"/>
  <c r="AA823" i="142" l="1"/>
  <c r="AB823" i="142" s="1"/>
  <c r="Y824" i="142"/>
  <c r="Z824" i="142" s="1"/>
  <c r="S826" i="142"/>
  <c r="T825" i="142"/>
  <c r="U825" i="142" s="1"/>
  <c r="W825" i="142" s="1"/>
  <c r="X825" i="142" s="1"/>
  <c r="AA824" i="142" l="1"/>
  <c r="AB824" i="142" s="1"/>
  <c r="Y825" i="142"/>
  <c r="Z825" i="142" s="1"/>
  <c r="S827" i="142"/>
  <c r="T826" i="142"/>
  <c r="U826" i="142" s="1"/>
  <c r="W826" i="142" s="1"/>
  <c r="X826" i="142" s="1"/>
  <c r="AA825" i="142" l="1"/>
  <c r="AB825" i="142" s="1"/>
  <c r="Y826" i="142"/>
  <c r="Z826" i="142" s="1"/>
  <c r="S828" i="142"/>
  <c r="T827" i="142"/>
  <c r="U827" i="142" s="1"/>
  <c r="W827" i="142" s="1"/>
  <c r="X827" i="142" s="1"/>
  <c r="AA826" i="142" l="1"/>
  <c r="AB826" i="142" s="1"/>
  <c r="Y827" i="142"/>
  <c r="Z827" i="142" s="1"/>
  <c r="S829" i="142"/>
  <c r="T828" i="142"/>
  <c r="U828" i="142" s="1"/>
  <c r="W828" i="142" s="1"/>
  <c r="X828" i="142" s="1"/>
  <c r="AA827" i="142" l="1"/>
  <c r="AB827" i="142" s="1"/>
  <c r="Y828" i="142"/>
  <c r="Z828" i="142" s="1"/>
  <c r="S830" i="142"/>
  <c r="T829" i="142"/>
  <c r="U829" i="142" s="1"/>
  <c r="W829" i="142" s="1"/>
  <c r="X829" i="142" s="1"/>
  <c r="AA828" i="142" l="1"/>
  <c r="AB828" i="142" s="1"/>
  <c r="Y829" i="142"/>
  <c r="Z829" i="142" s="1"/>
  <c r="S831" i="142"/>
  <c r="T830" i="142"/>
  <c r="U830" i="142" s="1"/>
  <c r="W830" i="142" s="1"/>
  <c r="X830" i="142" s="1"/>
  <c r="AA829" i="142" l="1"/>
  <c r="AB829" i="142" s="1"/>
  <c r="Y830" i="142"/>
  <c r="Z830" i="142" s="1"/>
  <c r="S832" i="142"/>
  <c r="T831" i="142"/>
  <c r="U831" i="142" s="1"/>
  <c r="W831" i="142" s="1"/>
  <c r="X831" i="142" s="1"/>
  <c r="AA830" i="142" l="1"/>
  <c r="AB830" i="142" s="1"/>
  <c r="Y831" i="142"/>
  <c r="Z831" i="142" s="1"/>
  <c r="S833" i="142"/>
  <c r="T832" i="142"/>
  <c r="U832" i="142" s="1"/>
  <c r="W832" i="142" s="1"/>
  <c r="X832" i="142" s="1"/>
  <c r="AA831" i="142" l="1"/>
  <c r="AB831" i="142" s="1"/>
  <c r="Y832" i="142"/>
  <c r="Z832" i="142" s="1"/>
  <c r="S834" i="142"/>
  <c r="T833" i="142"/>
  <c r="U833" i="142" s="1"/>
  <c r="W833" i="142" s="1"/>
  <c r="X833" i="142" s="1"/>
  <c r="AA832" i="142" l="1"/>
  <c r="AB832" i="142" s="1"/>
  <c r="Y833" i="142"/>
  <c r="Z833" i="142" s="1"/>
  <c r="S835" i="142"/>
  <c r="T834" i="142"/>
  <c r="U834" i="142" s="1"/>
  <c r="W834" i="142" s="1"/>
  <c r="X834" i="142" s="1"/>
  <c r="AA833" i="142" l="1"/>
  <c r="AB833" i="142" s="1"/>
  <c r="Y834" i="142"/>
  <c r="Z834" i="142" s="1"/>
  <c r="S836" i="142"/>
  <c r="T835" i="142"/>
  <c r="U835" i="142" s="1"/>
  <c r="W835" i="142" s="1"/>
  <c r="X835" i="142" s="1"/>
  <c r="AA834" i="142" l="1"/>
  <c r="AB834" i="142" s="1"/>
  <c r="Y835" i="142"/>
  <c r="Z835" i="142" s="1"/>
  <c r="S837" i="142"/>
  <c r="T836" i="142"/>
  <c r="U836" i="142" s="1"/>
  <c r="W836" i="142" s="1"/>
  <c r="X836" i="142" s="1"/>
  <c r="AA835" i="142" l="1"/>
  <c r="AB835" i="142" s="1"/>
  <c r="Y836" i="142"/>
  <c r="Z836" i="142" s="1"/>
  <c r="S838" i="142"/>
  <c r="T837" i="142"/>
  <c r="U837" i="142" s="1"/>
  <c r="W837" i="142" s="1"/>
  <c r="X837" i="142" s="1"/>
  <c r="AA836" i="142" l="1"/>
  <c r="AB836" i="142" s="1"/>
  <c r="Y837" i="142"/>
  <c r="Z837" i="142" s="1"/>
  <c r="S839" i="142"/>
  <c r="T838" i="142"/>
  <c r="U838" i="142" s="1"/>
  <c r="W838" i="142" s="1"/>
  <c r="X838" i="142" s="1"/>
  <c r="AA837" i="142" l="1"/>
  <c r="AB837" i="142" s="1"/>
  <c r="Y838" i="142"/>
  <c r="Z838" i="142" s="1"/>
  <c r="S840" i="142"/>
  <c r="T839" i="142"/>
  <c r="U839" i="142" s="1"/>
  <c r="W839" i="142" s="1"/>
  <c r="X839" i="142" s="1"/>
  <c r="AA838" i="142" l="1"/>
  <c r="AB838" i="142" s="1"/>
  <c r="Y839" i="142"/>
  <c r="Z839" i="142" s="1"/>
  <c r="S841" i="142"/>
  <c r="T840" i="142"/>
  <c r="U840" i="142" s="1"/>
  <c r="W840" i="142" s="1"/>
  <c r="X840" i="142" s="1"/>
  <c r="AA839" i="142" l="1"/>
  <c r="AB839" i="142" s="1"/>
  <c r="Y840" i="142"/>
  <c r="Z840" i="142" s="1"/>
  <c r="S842" i="142"/>
  <c r="T841" i="142"/>
  <c r="U841" i="142" s="1"/>
  <c r="W841" i="142" s="1"/>
  <c r="X841" i="142" s="1"/>
  <c r="AA840" i="142" l="1"/>
  <c r="AB840" i="142" s="1"/>
  <c r="Y841" i="142"/>
  <c r="Z841" i="142" s="1"/>
  <c r="S843" i="142"/>
  <c r="T842" i="142"/>
  <c r="U842" i="142" s="1"/>
  <c r="W842" i="142" s="1"/>
  <c r="X842" i="142" s="1"/>
  <c r="AA841" i="142" l="1"/>
  <c r="AB841" i="142" s="1"/>
  <c r="Y842" i="142"/>
  <c r="Z842" i="142" s="1"/>
  <c r="S844" i="142"/>
  <c r="T843" i="142"/>
  <c r="U843" i="142" s="1"/>
  <c r="W843" i="142" s="1"/>
  <c r="X843" i="142" s="1"/>
  <c r="AA842" i="142" l="1"/>
  <c r="AB842" i="142" s="1"/>
  <c r="Y843" i="142"/>
  <c r="Z843" i="142" s="1"/>
  <c r="S845" i="142"/>
  <c r="T844" i="142"/>
  <c r="U844" i="142" s="1"/>
  <c r="W844" i="142" s="1"/>
  <c r="X844" i="142" s="1"/>
  <c r="AA843" i="142" l="1"/>
  <c r="AB843" i="142" s="1"/>
  <c r="Y844" i="142"/>
  <c r="Z844" i="142" s="1"/>
  <c r="S846" i="142"/>
  <c r="T845" i="142"/>
  <c r="U845" i="142" s="1"/>
  <c r="W845" i="142" s="1"/>
  <c r="X845" i="142" s="1"/>
  <c r="AA844" i="142" l="1"/>
  <c r="AB844" i="142" s="1"/>
  <c r="Y845" i="142"/>
  <c r="Z845" i="142" s="1"/>
  <c r="S847" i="142"/>
  <c r="T846" i="142"/>
  <c r="U846" i="142" s="1"/>
  <c r="W846" i="142" s="1"/>
  <c r="X846" i="142" s="1"/>
  <c r="AA845" i="142" l="1"/>
  <c r="AB845" i="142" s="1"/>
  <c r="Y846" i="142"/>
  <c r="Z846" i="142" s="1"/>
  <c r="S848" i="142"/>
  <c r="T847" i="142"/>
  <c r="U847" i="142" s="1"/>
  <c r="W847" i="142" s="1"/>
  <c r="X847" i="142" s="1"/>
  <c r="AA846" i="142" l="1"/>
  <c r="AB846" i="142" s="1"/>
  <c r="Y847" i="142"/>
  <c r="Z847" i="142" s="1"/>
  <c r="S849" i="142"/>
  <c r="T848" i="142"/>
  <c r="U848" i="142" s="1"/>
  <c r="W848" i="142" s="1"/>
  <c r="X848" i="142" s="1"/>
  <c r="AA847" i="142" l="1"/>
  <c r="AB847" i="142" s="1"/>
  <c r="Y848" i="142"/>
  <c r="Z848" i="142" s="1"/>
  <c r="S850" i="142"/>
  <c r="T849" i="142"/>
  <c r="U849" i="142" s="1"/>
  <c r="W849" i="142" s="1"/>
  <c r="X849" i="142" s="1"/>
  <c r="AA848" i="142" l="1"/>
  <c r="AB848" i="142" s="1"/>
  <c r="Y849" i="142"/>
  <c r="Z849" i="142" s="1"/>
  <c r="S851" i="142"/>
  <c r="T850" i="142"/>
  <c r="U850" i="142" s="1"/>
  <c r="W850" i="142" s="1"/>
  <c r="X850" i="142" s="1"/>
  <c r="AA849" i="142" l="1"/>
  <c r="AB849" i="142" s="1"/>
  <c r="Y850" i="142"/>
  <c r="Z850" i="142" s="1"/>
  <c r="S852" i="142"/>
  <c r="T851" i="142"/>
  <c r="U851" i="142" s="1"/>
  <c r="W851" i="142" s="1"/>
  <c r="X851" i="142" s="1"/>
  <c r="AA850" i="142" l="1"/>
  <c r="AB850" i="142" s="1"/>
  <c r="Y851" i="142"/>
  <c r="Z851" i="142" s="1"/>
  <c r="S853" i="142"/>
  <c r="T852" i="142"/>
  <c r="U852" i="142" s="1"/>
  <c r="W852" i="142" s="1"/>
  <c r="X852" i="142" s="1"/>
  <c r="AA851" i="142" l="1"/>
  <c r="AB851" i="142" s="1"/>
  <c r="Y852" i="142"/>
  <c r="Z852" i="142" s="1"/>
  <c r="S854" i="142"/>
  <c r="T853" i="142"/>
  <c r="U853" i="142" s="1"/>
  <c r="W853" i="142" s="1"/>
  <c r="X853" i="142" s="1"/>
  <c r="AA852" i="142" l="1"/>
  <c r="AB852" i="142" s="1"/>
  <c r="Y853" i="142"/>
  <c r="Z853" i="142" s="1"/>
  <c r="S855" i="142"/>
  <c r="T854" i="142"/>
  <c r="U854" i="142" s="1"/>
  <c r="W854" i="142" s="1"/>
  <c r="X854" i="142" s="1"/>
  <c r="AA853" i="142" l="1"/>
  <c r="AB853" i="142" s="1"/>
  <c r="Y854" i="142"/>
  <c r="Z854" i="142" s="1"/>
  <c r="S856" i="142"/>
  <c r="T855" i="142"/>
  <c r="U855" i="142" s="1"/>
  <c r="W855" i="142" s="1"/>
  <c r="X855" i="142" s="1"/>
  <c r="AA854" i="142" l="1"/>
  <c r="AB854" i="142" s="1"/>
  <c r="Y855" i="142"/>
  <c r="Z855" i="142" s="1"/>
  <c r="S857" i="142"/>
  <c r="T856" i="142"/>
  <c r="U856" i="142" s="1"/>
  <c r="W856" i="142" s="1"/>
  <c r="X856" i="142" s="1"/>
  <c r="AA855" i="142" l="1"/>
  <c r="AB855" i="142" s="1"/>
  <c r="Y856" i="142"/>
  <c r="Z856" i="142" s="1"/>
  <c r="S858" i="142"/>
  <c r="T857" i="142"/>
  <c r="U857" i="142" s="1"/>
  <c r="W857" i="142" s="1"/>
  <c r="X857" i="142" s="1"/>
  <c r="AA856" i="142" l="1"/>
  <c r="AB856" i="142" s="1"/>
  <c r="Y857" i="142"/>
  <c r="Z857" i="142" s="1"/>
  <c r="S859" i="142"/>
  <c r="T858" i="142"/>
  <c r="U858" i="142" s="1"/>
  <c r="W858" i="142" s="1"/>
  <c r="X858" i="142" s="1"/>
  <c r="AA857" i="142" l="1"/>
  <c r="AB857" i="142" s="1"/>
  <c r="Y858" i="142"/>
  <c r="Z858" i="142" s="1"/>
  <c r="S860" i="142"/>
  <c r="T859" i="142"/>
  <c r="U859" i="142" s="1"/>
  <c r="W859" i="142" s="1"/>
  <c r="X859" i="142" s="1"/>
  <c r="AA858" i="142" l="1"/>
  <c r="AB858" i="142" s="1"/>
  <c r="Y859" i="142"/>
  <c r="Z859" i="142" s="1"/>
  <c r="S861" i="142"/>
  <c r="T860" i="142"/>
  <c r="U860" i="142" s="1"/>
  <c r="W860" i="142" s="1"/>
  <c r="X860" i="142" s="1"/>
  <c r="AA859" i="142" l="1"/>
  <c r="AB859" i="142" s="1"/>
  <c r="Y860" i="142"/>
  <c r="Z860" i="142" s="1"/>
  <c r="S862" i="142"/>
  <c r="T861" i="142"/>
  <c r="U861" i="142" s="1"/>
  <c r="W861" i="142" s="1"/>
  <c r="X861" i="142" s="1"/>
  <c r="Y861" i="142" l="1"/>
  <c r="Z861" i="142" s="1"/>
  <c r="AA860" i="142"/>
  <c r="AB860" i="142" s="1"/>
  <c r="T862" i="142"/>
  <c r="U862" i="142" s="1"/>
  <c r="W862" i="142" s="1"/>
  <c r="X862" i="142" s="1"/>
  <c r="S863" i="142"/>
  <c r="AA861" i="142" l="1"/>
  <c r="AB861" i="142" s="1"/>
  <c r="S864" i="142"/>
  <c r="T863" i="142"/>
  <c r="U863" i="142" s="1"/>
  <c r="W863" i="142" s="1"/>
  <c r="X863" i="142" s="1"/>
  <c r="Y862" i="142"/>
  <c r="Z862" i="142" s="1"/>
  <c r="AA862" i="142" l="1"/>
  <c r="AB862" i="142" s="1"/>
  <c r="Y863" i="142"/>
  <c r="Z863" i="142" s="1"/>
  <c r="T864" i="142"/>
  <c r="U864" i="142" s="1"/>
  <c r="W864" i="142" s="1"/>
  <c r="X864" i="142" s="1"/>
  <c r="S865" i="142"/>
  <c r="AA863" i="142" l="1"/>
  <c r="AB863" i="142" s="1"/>
  <c r="S866" i="142"/>
  <c r="T865" i="142"/>
  <c r="U865" i="142" s="1"/>
  <c r="W865" i="142" s="1"/>
  <c r="X865" i="142" s="1"/>
  <c r="Y864" i="142"/>
  <c r="Z864" i="142" s="1"/>
  <c r="AA864" i="142" l="1"/>
  <c r="AB864" i="142" s="1"/>
  <c r="Y865" i="142"/>
  <c r="Z865" i="142" s="1"/>
  <c r="T866" i="142"/>
  <c r="U866" i="142" s="1"/>
  <c r="W866" i="142" s="1"/>
  <c r="X866" i="142" s="1"/>
  <c r="S867" i="142"/>
  <c r="AA865" i="142" l="1"/>
  <c r="AB865" i="142" s="1"/>
  <c r="S868" i="142"/>
  <c r="T867" i="142"/>
  <c r="U867" i="142" s="1"/>
  <c r="W867" i="142" s="1"/>
  <c r="X867" i="142" s="1"/>
  <c r="Y866" i="142"/>
  <c r="Z866" i="142" s="1"/>
  <c r="AA866" i="142" l="1"/>
  <c r="AB866" i="142" s="1"/>
  <c r="Y867" i="142"/>
  <c r="Z867" i="142" s="1"/>
  <c r="S869" i="142"/>
  <c r="T868" i="142"/>
  <c r="U868" i="142" s="1"/>
  <c r="W868" i="142" s="1"/>
  <c r="X868" i="142" s="1"/>
  <c r="AA867" i="142" l="1"/>
  <c r="AB867" i="142" s="1"/>
  <c r="Y868" i="142"/>
  <c r="Z868" i="142" s="1"/>
  <c r="S870" i="142"/>
  <c r="T869" i="142"/>
  <c r="U869" i="142" s="1"/>
  <c r="W869" i="142" s="1"/>
  <c r="X869" i="142" s="1"/>
  <c r="Y869" i="142" l="1"/>
  <c r="Z869" i="142" s="1"/>
  <c r="AA868" i="142"/>
  <c r="AB868" i="142" s="1"/>
  <c r="T870" i="142"/>
  <c r="U870" i="142" s="1"/>
  <c r="W870" i="142" s="1"/>
  <c r="X870" i="142" s="1"/>
  <c r="S871" i="142"/>
  <c r="AA869" i="142" l="1"/>
  <c r="AB869" i="142" s="1"/>
  <c r="S872" i="142"/>
  <c r="T871" i="142"/>
  <c r="U871" i="142" s="1"/>
  <c r="W871" i="142" s="1"/>
  <c r="X871" i="142" s="1"/>
  <c r="Y870" i="142"/>
  <c r="Z870" i="142" s="1"/>
  <c r="AA870" i="142" l="1"/>
  <c r="AB870" i="142" s="1"/>
  <c r="Y871" i="142"/>
  <c r="Z871" i="142" s="1"/>
  <c r="T872" i="142"/>
  <c r="U872" i="142" s="1"/>
  <c r="W872" i="142" s="1"/>
  <c r="X872" i="142" s="1"/>
  <c r="S873" i="142"/>
  <c r="AA871" i="142" l="1"/>
  <c r="AB871" i="142" s="1"/>
  <c r="S874" i="142"/>
  <c r="T873" i="142"/>
  <c r="U873" i="142" s="1"/>
  <c r="W873" i="142" s="1"/>
  <c r="X873" i="142" s="1"/>
  <c r="Y872" i="142"/>
  <c r="Z872" i="142" s="1"/>
  <c r="AA872" i="142" l="1"/>
  <c r="AB872" i="142" s="1"/>
  <c r="Y873" i="142"/>
  <c r="Z873" i="142" s="1"/>
  <c r="T874" i="142"/>
  <c r="U874" i="142" s="1"/>
  <c r="W874" i="142" s="1"/>
  <c r="X874" i="142" s="1"/>
  <c r="S875" i="142"/>
  <c r="AA873" i="142" l="1"/>
  <c r="AB873" i="142" s="1"/>
  <c r="S876" i="142"/>
  <c r="T875" i="142"/>
  <c r="U875" i="142" s="1"/>
  <c r="W875" i="142" s="1"/>
  <c r="X875" i="142" s="1"/>
  <c r="Y874" i="142"/>
  <c r="Z874" i="142" s="1"/>
  <c r="AA874" i="142" l="1"/>
  <c r="AB874" i="142" s="1"/>
  <c r="Y875" i="142"/>
  <c r="Z875" i="142" s="1"/>
  <c r="S877" i="142"/>
  <c r="T876" i="142"/>
  <c r="U876" i="142" s="1"/>
  <c r="W876" i="142" s="1"/>
  <c r="X876" i="142" s="1"/>
  <c r="AA875" i="142" l="1"/>
  <c r="AB875" i="142" s="1"/>
  <c r="Y876" i="142"/>
  <c r="Z876" i="142" s="1"/>
  <c r="S878" i="142"/>
  <c r="T877" i="142"/>
  <c r="U877" i="142" s="1"/>
  <c r="W877" i="142" s="1"/>
  <c r="X877" i="142" s="1"/>
  <c r="AA876" i="142" l="1"/>
  <c r="AB876" i="142" s="1"/>
  <c r="Y877" i="142"/>
  <c r="Z877" i="142" s="1"/>
  <c r="T878" i="142"/>
  <c r="U878" i="142" s="1"/>
  <c r="W878" i="142" s="1"/>
  <c r="X878" i="142" s="1"/>
  <c r="S879" i="142"/>
  <c r="AA877" i="142" l="1"/>
  <c r="AB877" i="142" s="1"/>
  <c r="S880" i="142"/>
  <c r="T879" i="142"/>
  <c r="U879" i="142" s="1"/>
  <c r="W879" i="142" s="1"/>
  <c r="X879" i="142" s="1"/>
  <c r="Y878" i="142"/>
  <c r="Z878" i="142" s="1"/>
  <c r="AA878" i="142" l="1"/>
  <c r="AB878" i="142" s="1"/>
  <c r="T880" i="142"/>
  <c r="U880" i="142" s="1"/>
  <c r="W880" i="142" s="1"/>
  <c r="X880" i="142" s="1"/>
  <c r="S881" i="142"/>
  <c r="Y879" i="142"/>
  <c r="Z879" i="142" s="1"/>
  <c r="AA879" i="142" l="1"/>
  <c r="AB879" i="142" s="1"/>
  <c r="Y880" i="142"/>
  <c r="Z880" i="142" s="1"/>
  <c r="S882" i="142"/>
  <c r="T881" i="142"/>
  <c r="U881" i="142" s="1"/>
  <c r="W881" i="142" s="1"/>
  <c r="X881" i="142" s="1"/>
  <c r="AA880" i="142" l="1"/>
  <c r="AB880" i="142" s="1"/>
  <c r="Y881" i="142"/>
  <c r="Z881" i="142" s="1"/>
  <c r="T882" i="142"/>
  <c r="U882" i="142" s="1"/>
  <c r="W882" i="142" s="1"/>
  <c r="X882" i="142" s="1"/>
  <c r="S883" i="142"/>
  <c r="AA881" i="142" l="1"/>
  <c r="AB881" i="142" s="1"/>
  <c r="S884" i="142"/>
  <c r="T883" i="142"/>
  <c r="U883" i="142" s="1"/>
  <c r="W883" i="142" s="1"/>
  <c r="X883" i="142" s="1"/>
  <c r="Y882" i="142"/>
  <c r="Z882" i="142" s="1"/>
  <c r="AA882" i="142" l="1"/>
  <c r="AB882" i="142" s="1"/>
  <c r="Y883" i="142"/>
  <c r="Z883" i="142" s="1"/>
  <c r="S885" i="142"/>
  <c r="T884" i="142"/>
  <c r="U884" i="142" s="1"/>
  <c r="W884" i="142" s="1"/>
  <c r="X884" i="142" s="1"/>
  <c r="AA883" i="142" l="1"/>
  <c r="AB883" i="142" s="1"/>
  <c r="Y884" i="142"/>
  <c r="Z884" i="142" s="1"/>
  <c r="S886" i="142"/>
  <c r="T885" i="142"/>
  <c r="U885" i="142" s="1"/>
  <c r="W885" i="142" s="1"/>
  <c r="X885" i="142" s="1"/>
  <c r="AA884" i="142" l="1"/>
  <c r="AB884" i="142" s="1"/>
  <c r="Y885" i="142"/>
  <c r="Z885" i="142" s="1"/>
  <c r="T886" i="142"/>
  <c r="U886" i="142" s="1"/>
  <c r="W886" i="142" s="1"/>
  <c r="X886" i="142" s="1"/>
  <c r="S887" i="142"/>
  <c r="AA885" i="142" l="1"/>
  <c r="AB885" i="142" s="1"/>
  <c r="S888" i="142"/>
  <c r="T887" i="142"/>
  <c r="U887" i="142" s="1"/>
  <c r="W887" i="142" s="1"/>
  <c r="X887" i="142" s="1"/>
  <c r="Y886" i="142"/>
  <c r="Z886" i="142" s="1"/>
  <c r="AA886" i="142" l="1"/>
  <c r="AB886" i="142" s="1"/>
  <c r="Y887" i="142"/>
  <c r="Z887" i="142" s="1"/>
  <c r="T888" i="142"/>
  <c r="U888" i="142" s="1"/>
  <c r="W888" i="142" s="1"/>
  <c r="X888" i="142" s="1"/>
  <c r="S889" i="142"/>
  <c r="AA887" i="142" l="1"/>
  <c r="AB887" i="142" s="1"/>
  <c r="S890" i="142"/>
  <c r="T889" i="142"/>
  <c r="U889" i="142" s="1"/>
  <c r="W889" i="142" s="1"/>
  <c r="X889" i="142" s="1"/>
  <c r="Y888" i="142"/>
  <c r="Z888" i="142" s="1"/>
  <c r="AA888" i="142" l="1"/>
  <c r="AB888" i="142" s="1"/>
  <c r="Y889" i="142"/>
  <c r="Z889" i="142" s="1"/>
  <c r="T890" i="142"/>
  <c r="U890" i="142" s="1"/>
  <c r="W890" i="142" s="1"/>
  <c r="X890" i="142" s="1"/>
  <c r="S891" i="142"/>
  <c r="AA889" i="142" l="1"/>
  <c r="AB889" i="142" s="1"/>
  <c r="S892" i="142"/>
  <c r="T891" i="142"/>
  <c r="U891" i="142" s="1"/>
  <c r="W891" i="142" s="1"/>
  <c r="X891" i="142" s="1"/>
  <c r="Y890" i="142"/>
  <c r="Z890" i="142" s="1"/>
  <c r="AA890" i="142" l="1"/>
  <c r="AB890" i="142" s="1"/>
  <c r="Y891" i="142"/>
  <c r="Z891" i="142" s="1"/>
  <c r="S893" i="142"/>
  <c r="T892" i="142"/>
  <c r="U892" i="142" s="1"/>
  <c r="W892" i="142" s="1"/>
  <c r="X892" i="142" s="1"/>
  <c r="AA891" i="142" l="1"/>
  <c r="AB891" i="142" s="1"/>
  <c r="Y892" i="142"/>
  <c r="Z892" i="142" s="1"/>
  <c r="S894" i="142"/>
  <c r="T893" i="142"/>
  <c r="U893" i="142" s="1"/>
  <c r="W893" i="142" s="1"/>
  <c r="X893" i="142" s="1"/>
  <c r="AA892" i="142" l="1"/>
  <c r="AB892" i="142" s="1"/>
  <c r="Y893" i="142"/>
  <c r="Z893" i="142" s="1"/>
  <c r="T894" i="142"/>
  <c r="U894" i="142" s="1"/>
  <c r="W894" i="142" s="1"/>
  <c r="X894" i="142" s="1"/>
  <c r="S895" i="142"/>
  <c r="AA893" i="142" l="1"/>
  <c r="AB893" i="142" s="1"/>
  <c r="S896" i="142"/>
  <c r="T895" i="142"/>
  <c r="U895" i="142" s="1"/>
  <c r="W895" i="142" s="1"/>
  <c r="X895" i="142" s="1"/>
  <c r="Y894" i="142"/>
  <c r="Z894" i="142" s="1"/>
  <c r="AA894" i="142" l="1"/>
  <c r="AB894" i="142" s="1"/>
  <c r="T896" i="142"/>
  <c r="U896" i="142" s="1"/>
  <c r="W896" i="142" s="1"/>
  <c r="X896" i="142" s="1"/>
  <c r="S897" i="142"/>
  <c r="Y895" i="142"/>
  <c r="Z895" i="142" s="1"/>
  <c r="AA895" i="142" l="1"/>
  <c r="AB895" i="142" s="1"/>
  <c r="Y896" i="142"/>
  <c r="Z896" i="142" s="1"/>
  <c r="S898" i="142"/>
  <c r="T897" i="142"/>
  <c r="U897" i="142" s="1"/>
  <c r="W897" i="142" s="1"/>
  <c r="X897" i="142" s="1"/>
  <c r="AA896" i="142" l="1"/>
  <c r="AB896" i="142" s="1"/>
  <c r="Y897" i="142"/>
  <c r="Z897" i="142" s="1"/>
  <c r="T898" i="142"/>
  <c r="U898" i="142" s="1"/>
  <c r="W898" i="142" s="1"/>
  <c r="X898" i="142" s="1"/>
  <c r="S899" i="142"/>
  <c r="AA897" i="142" l="1"/>
  <c r="AB897" i="142" s="1"/>
  <c r="S900" i="142"/>
  <c r="T899" i="142"/>
  <c r="U899" i="142" s="1"/>
  <c r="W899" i="142" s="1"/>
  <c r="X899" i="142" s="1"/>
  <c r="Y898" i="142"/>
  <c r="Z898" i="142" s="1"/>
  <c r="AA898" i="142" l="1"/>
  <c r="AB898" i="142" s="1"/>
  <c r="Y899" i="142"/>
  <c r="Z899" i="142" s="1"/>
  <c r="S901" i="142"/>
  <c r="T900" i="142"/>
  <c r="U900" i="142" s="1"/>
  <c r="W900" i="142" s="1"/>
  <c r="X900" i="142" s="1"/>
  <c r="AA899" i="142" l="1"/>
  <c r="AB899" i="142" s="1"/>
  <c r="Y900" i="142"/>
  <c r="Z900" i="142" s="1"/>
  <c r="S902" i="142"/>
  <c r="T901" i="142"/>
  <c r="U901" i="142" s="1"/>
  <c r="W901" i="142" s="1"/>
  <c r="X901" i="142" s="1"/>
  <c r="AA900" i="142" l="1"/>
  <c r="AB900" i="142" s="1"/>
  <c r="Y901" i="142"/>
  <c r="Z901" i="142" s="1"/>
  <c r="T902" i="142"/>
  <c r="U902" i="142" s="1"/>
  <c r="W902" i="142" s="1"/>
  <c r="X902" i="142" s="1"/>
  <c r="S903" i="142"/>
  <c r="AA901" i="142" l="1"/>
  <c r="AB901" i="142" s="1"/>
  <c r="Y902" i="142"/>
  <c r="Z902" i="142" s="1"/>
  <c r="S904" i="142"/>
  <c r="T903" i="142"/>
  <c r="U903" i="142" s="1"/>
  <c r="W903" i="142" s="1"/>
  <c r="X903" i="142" s="1"/>
  <c r="AA902" i="142" l="1"/>
  <c r="AB902" i="142" s="1"/>
  <c r="T904" i="142"/>
  <c r="U904" i="142" s="1"/>
  <c r="W904" i="142" s="1"/>
  <c r="X904" i="142" s="1"/>
  <c r="S905" i="142"/>
  <c r="Y903" i="142"/>
  <c r="Z903" i="142" s="1"/>
  <c r="AA903" i="142" l="1"/>
  <c r="AB903" i="142" s="1"/>
  <c r="Y904" i="142"/>
  <c r="Z904" i="142" s="1"/>
  <c r="S906" i="142"/>
  <c r="T905" i="142"/>
  <c r="U905" i="142" s="1"/>
  <c r="W905" i="142" s="1"/>
  <c r="X905" i="142" s="1"/>
  <c r="AA904" i="142" l="1"/>
  <c r="AB904" i="142" s="1"/>
  <c r="Y905" i="142"/>
  <c r="Z905" i="142" s="1"/>
  <c r="T906" i="142"/>
  <c r="U906" i="142" s="1"/>
  <c r="W906" i="142" s="1"/>
  <c r="X906" i="142" s="1"/>
  <c r="S907" i="142"/>
  <c r="AA905" i="142" l="1"/>
  <c r="AB905" i="142" s="1"/>
  <c r="S908" i="142"/>
  <c r="T907" i="142"/>
  <c r="U907" i="142" s="1"/>
  <c r="W907" i="142" s="1"/>
  <c r="X907" i="142" s="1"/>
  <c r="Y906" i="142"/>
  <c r="Z906" i="142" s="1"/>
  <c r="AA906" i="142" l="1"/>
  <c r="AB906" i="142" s="1"/>
  <c r="Y907" i="142"/>
  <c r="Z907" i="142" s="1"/>
  <c r="S909" i="142"/>
  <c r="T908" i="142"/>
  <c r="U908" i="142" s="1"/>
  <c r="W908" i="142" s="1"/>
  <c r="X908" i="142" s="1"/>
  <c r="AA907" i="142" l="1"/>
  <c r="AB907" i="142" s="1"/>
  <c r="Y908" i="142"/>
  <c r="Z908" i="142" s="1"/>
  <c r="S910" i="142"/>
  <c r="T909" i="142"/>
  <c r="U909" i="142" s="1"/>
  <c r="W909" i="142" s="1"/>
  <c r="X909" i="142" s="1"/>
  <c r="AA908" i="142" l="1"/>
  <c r="AB908" i="142" s="1"/>
  <c r="Y909" i="142"/>
  <c r="Z909" i="142" s="1"/>
  <c r="T910" i="142"/>
  <c r="U910" i="142" s="1"/>
  <c r="W910" i="142" s="1"/>
  <c r="X910" i="142" s="1"/>
  <c r="S911" i="142"/>
  <c r="AA909" i="142" l="1"/>
  <c r="AB909" i="142" s="1"/>
  <c r="S912" i="142"/>
  <c r="T911" i="142"/>
  <c r="U911" i="142" s="1"/>
  <c r="W911" i="142" s="1"/>
  <c r="X911" i="142" s="1"/>
  <c r="Y910" i="142"/>
  <c r="Z910" i="142" s="1"/>
  <c r="AA910" i="142" l="1"/>
  <c r="AB910" i="142" s="1"/>
  <c r="Y911" i="142"/>
  <c r="Z911" i="142" s="1"/>
  <c r="T912" i="142"/>
  <c r="U912" i="142" s="1"/>
  <c r="W912" i="142" s="1"/>
  <c r="X912" i="142" s="1"/>
  <c r="S913" i="142"/>
  <c r="AA911" i="142" l="1"/>
  <c r="AB911" i="142" s="1"/>
  <c r="S914" i="142"/>
  <c r="T913" i="142"/>
  <c r="U913" i="142" s="1"/>
  <c r="W913" i="142" s="1"/>
  <c r="X913" i="142" s="1"/>
  <c r="Y912" i="142"/>
  <c r="Z912" i="142" s="1"/>
  <c r="AA912" i="142" l="1"/>
  <c r="AB912" i="142" s="1"/>
  <c r="T914" i="142"/>
  <c r="U914" i="142" s="1"/>
  <c r="W914" i="142" s="1"/>
  <c r="X914" i="142" s="1"/>
  <c r="S915" i="142"/>
  <c r="Y913" i="142"/>
  <c r="Z913" i="142" s="1"/>
  <c r="AA913" i="142" l="1"/>
  <c r="AB913" i="142" s="1"/>
  <c r="S916" i="142"/>
  <c r="T915" i="142"/>
  <c r="U915" i="142" s="1"/>
  <c r="W915" i="142" s="1"/>
  <c r="X915" i="142" s="1"/>
  <c r="Y914" i="142"/>
  <c r="Z914" i="142" s="1"/>
  <c r="AA914" i="142" l="1"/>
  <c r="AB914" i="142" s="1"/>
  <c r="S917" i="142"/>
  <c r="T916" i="142"/>
  <c r="U916" i="142" s="1"/>
  <c r="W916" i="142" s="1"/>
  <c r="X916" i="142" s="1"/>
  <c r="Y915" i="142"/>
  <c r="Z915" i="142" s="1"/>
  <c r="AA915" i="142" l="1"/>
  <c r="AB915" i="142" s="1"/>
  <c r="Y916" i="142"/>
  <c r="Z916" i="142" s="1"/>
  <c r="S918" i="142"/>
  <c r="T917" i="142"/>
  <c r="U917" i="142" s="1"/>
  <c r="W917" i="142" s="1"/>
  <c r="X917" i="142" s="1"/>
  <c r="AA916" i="142" l="1"/>
  <c r="AB916" i="142" s="1"/>
  <c r="Y917" i="142"/>
  <c r="Z917" i="142" s="1"/>
  <c r="T918" i="142"/>
  <c r="U918" i="142" s="1"/>
  <c r="W918" i="142" s="1"/>
  <c r="X918" i="142" s="1"/>
  <c r="S919" i="142"/>
  <c r="AA917" i="142" l="1"/>
  <c r="AB917" i="142" s="1"/>
  <c r="S920" i="142"/>
  <c r="T919" i="142"/>
  <c r="U919" i="142" s="1"/>
  <c r="W919" i="142" s="1"/>
  <c r="X919" i="142" s="1"/>
  <c r="Y918" i="142"/>
  <c r="Z918" i="142" s="1"/>
  <c r="AA918" i="142" l="1"/>
  <c r="AB918" i="142" s="1"/>
  <c r="Y919" i="142"/>
  <c r="Z919" i="142" s="1"/>
  <c r="S921" i="142"/>
  <c r="T920" i="142"/>
  <c r="U920" i="142" s="1"/>
  <c r="W920" i="142" s="1"/>
  <c r="X920" i="142" s="1"/>
  <c r="AA919" i="142" l="1"/>
  <c r="AB919" i="142" s="1"/>
  <c r="Y920" i="142"/>
  <c r="Z920" i="142" s="1"/>
  <c r="S922" i="142"/>
  <c r="T921" i="142"/>
  <c r="U921" i="142" s="1"/>
  <c r="W921" i="142" s="1"/>
  <c r="X921" i="142" s="1"/>
  <c r="AA920" i="142" l="1"/>
  <c r="AB920" i="142" s="1"/>
  <c r="Y921" i="142"/>
  <c r="Z921" i="142" s="1"/>
  <c r="S923" i="142"/>
  <c r="T922" i="142"/>
  <c r="U922" i="142" s="1"/>
  <c r="W922" i="142" s="1"/>
  <c r="X922" i="142" s="1"/>
  <c r="AA921" i="142" l="1"/>
  <c r="AB921" i="142" s="1"/>
  <c r="Y922" i="142"/>
  <c r="Z922" i="142" s="1"/>
  <c r="S924" i="142"/>
  <c r="T923" i="142"/>
  <c r="U923" i="142" s="1"/>
  <c r="W923" i="142" s="1"/>
  <c r="X923" i="142" s="1"/>
  <c r="AA922" i="142" l="1"/>
  <c r="AB922" i="142" s="1"/>
  <c r="Y923" i="142"/>
  <c r="Z923" i="142" s="1"/>
  <c r="S925" i="142"/>
  <c r="T924" i="142"/>
  <c r="U924" i="142" s="1"/>
  <c r="W924" i="142" s="1"/>
  <c r="X924" i="142" s="1"/>
  <c r="AA923" i="142" l="1"/>
  <c r="AB923" i="142" s="1"/>
  <c r="Y924" i="142"/>
  <c r="Z924" i="142" s="1"/>
  <c r="S926" i="142"/>
  <c r="T925" i="142"/>
  <c r="U925" i="142" s="1"/>
  <c r="W925" i="142" s="1"/>
  <c r="X925" i="142" s="1"/>
  <c r="AA924" i="142" l="1"/>
  <c r="AB924" i="142" s="1"/>
  <c r="Y925" i="142"/>
  <c r="Z925" i="142" s="1"/>
  <c r="S927" i="142"/>
  <c r="T926" i="142"/>
  <c r="U926" i="142" s="1"/>
  <c r="W926" i="142" s="1"/>
  <c r="X926" i="142" s="1"/>
  <c r="AA925" i="142" l="1"/>
  <c r="AB925" i="142" s="1"/>
  <c r="Y926" i="142"/>
  <c r="Z926" i="142" s="1"/>
  <c r="S928" i="142"/>
  <c r="T927" i="142"/>
  <c r="U927" i="142" s="1"/>
  <c r="W927" i="142" s="1"/>
  <c r="X927" i="142" s="1"/>
  <c r="AA926" i="142" l="1"/>
  <c r="AB926" i="142" s="1"/>
  <c r="Y927" i="142"/>
  <c r="Z927" i="142" s="1"/>
  <c r="S929" i="142"/>
  <c r="T928" i="142"/>
  <c r="U928" i="142" s="1"/>
  <c r="W928" i="142" s="1"/>
  <c r="X928" i="142" s="1"/>
  <c r="AA927" i="142" l="1"/>
  <c r="AB927" i="142" s="1"/>
  <c r="Y928" i="142"/>
  <c r="Z928" i="142" s="1"/>
  <c r="S930" i="142"/>
  <c r="T929" i="142"/>
  <c r="U929" i="142" s="1"/>
  <c r="W929" i="142" s="1"/>
  <c r="X929" i="142" s="1"/>
  <c r="AA928" i="142" l="1"/>
  <c r="AB928" i="142" s="1"/>
  <c r="Y929" i="142"/>
  <c r="Z929" i="142" s="1"/>
  <c r="S931" i="142"/>
  <c r="T930" i="142"/>
  <c r="U930" i="142" s="1"/>
  <c r="W930" i="142" s="1"/>
  <c r="X930" i="142" s="1"/>
  <c r="AA929" i="142" l="1"/>
  <c r="AB929" i="142" s="1"/>
  <c r="Y930" i="142"/>
  <c r="Z930" i="142" s="1"/>
  <c r="S932" i="142"/>
  <c r="T931" i="142"/>
  <c r="U931" i="142" s="1"/>
  <c r="W931" i="142" s="1"/>
  <c r="X931" i="142" s="1"/>
  <c r="AA930" i="142" l="1"/>
  <c r="AB930" i="142" s="1"/>
  <c r="Y931" i="142"/>
  <c r="Z931" i="142" s="1"/>
  <c r="S933" i="142"/>
  <c r="T932" i="142"/>
  <c r="U932" i="142" s="1"/>
  <c r="W932" i="142" s="1"/>
  <c r="X932" i="142" s="1"/>
  <c r="AA931" i="142" l="1"/>
  <c r="AB931" i="142" s="1"/>
  <c r="Y932" i="142"/>
  <c r="Z932" i="142" s="1"/>
  <c r="S934" i="142"/>
  <c r="T933" i="142"/>
  <c r="U933" i="142" s="1"/>
  <c r="W933" i="142" s="1"/>
  <c r="X933" i="142" s="1"/>
  <c r="AA932" i="142" l="1"/>
  <c r="AB932" i="142" s="1"/>
  <c r="Y933" i="142"/>
  <c r="Z933" i="142" s="1"/>
  <c r="S935" i="142"/>
  <c r="T934" i="142"/>
  <c r="U934" i="142" s="1"/>
  <c r="W934" i="142" s="1"/>
  <c r="X934" i="142" s="1"/>
  <c r="AA933" i="142" l="1"/>
  <c r="AB933" i="142" s="1"/>
  <c r="Y934" i="142"/>
  <c r="Z934" i="142" s="1"/>
  <c r="S936" i="142"/>
  <c r="T935" i="142"/>
  <c r="U935" i="142" s="1"/>
  <c r="W935" i="142" s="1"/>
  <c r="X935" i="142" s="1"/>
  <c r="AA934" i="142" l="1"/>
  <c r="AB934" i="142" s="1"/>
  <c r="Y935" i="142"/>
  <c r="Z935" i="142" s="1"/>
  <c r="S937" i="142"/>
  <c r="T936" i="142"/>
  <c r="U936" i="142" s="1"/>
  <c r="W936" i="142" s="1"/>
  <c r="X936" i="142" s="1"/>
  <c r="AA935" i="142" l="1"/>
  <c r="AB935" i="142" s="1"/>
  <c r="Y936" i="142"/>
  <c r="Z936" i="142" s="1"/>
  <c r="S938" i="142"/>
  <c r="T937" i="142"/>
  <c r="U937" i="142" s="1"/>
  <c r="W937" i="142" s="1"/>
  <c r="X937" i="142" s="1"/>
  <c r="AA936" i="142" l="1"/>
  <c r="AB936" i="142" s="1"/>
  <c r="Y937" i="142"/>
  <c r="Z937" i="142" s="1"/>
  <c r="S939" i="142"/>
  <c r="T938" i="142"/>
  <c r="U938" i="142" s="1"/>
  <c r="W938" i="142" s="1"/>
  <c r="X938" i="142" s="1"/>
  <c r="AA937" i="142" l="1"/>
  <c r="AB937" i="142" s="1"/>
  <c r="Y938" i="142"/>
  <c r="Z938" i="142" s="1"/>
  <c r="S940" i="142"/>
  <c r="T939" i="142"/>
  <c r="U939" i="142" s="1"/>
  <c r="W939" i="142" s="1"/>
  <c r="X939" i="142" s="1"/>
  <c r="AA938" i="142" l="1"/>
  <c r="AB938" i="142" s="1"/>
  <c r="Y939" i="142"/>
  <c r="Z939" i="142" s="1"/>
  <c r="S941" i="142"/>
  <c r="T940" i="142"/>
  <c r="U940" i="142" s="1"/>
  <c r="W940" i="142" s="1"/>
  <c r="X940" i="142" s="1"/>
  <c r="AA939" i="142" l="1"/>
  <c r="AB939" i="142" s="1"/>
  <c r="Y940" i="142"/>
  <c r="Z940" i="142" s="1"/>
  <c r="S942" i="142"/>
  <c r="T941" i="142"/>
  <c r="U941" i="142" s="1"/>
  <c r="W941" i="142" s="1"/>
  <c r="X941" i="142" s="1"/>
  <c r="AA940" i="142" l="1"/>
  <c r="AB940" i="142" s="1"/>
  <c r="Y941" i="142"/>
  <c r="Z941" i="142" s="1"/>
  <c r="S943" i="142"/>
  <c r="T942" i="142"/>
  <c r="U942" i="142" s="1"/>
  <c r="W942" i="142" s="1"/>
  <c r="X942" i="142" s="1"/>
  <c r="AA941" i="142" l="1"/>
  <c r="AB941" i="142" s="1"/>
  <c r="Y942" i="142"/>
  <c r="Z942" i="142" s="1"/>
  <c r="T943" i="142"/>
  <c r="U943" i="142" s="1"/>
  <c r="W943" i="142" s="1"/>
  <c r="X943" i="142" s="1"/>
  <c r="S944" i="142"/>
  <c r="AA942" i="142" l="1"/>
  <c r="AB942" i="142" s="1"/>
  <c r="T944" i="142"/>
  <c r="U944" i="142" s="1"/>
  <c r="W944" i="142" s="1"/>
  <c r="X944" i="142" s="1"/>
  <c r="S945" i="142"/>
  <c r="Y943" i="142"/>
  <c r="Z943" i="142" s="1"/>
  <c r="AA943" i="142" l="1"/>
  <c r="AB943" i="142" s="1"/>
  <c r="Y944" i="142"/>
  <c r="Z944" i="142" s="1"/>
  <c r="T945" i="142"/>
  <c r="U945" i="142" s="1"/>
  <c r="W945" i="142" s="1"/>
  <c r="X945" i="142" s="1"/>
  <c r="S946" i="142"/>
  <c r="AA944" i="142" l="1"/>
  <c r="AB944" i="142" s="1"/>
  <c r="S947" i="142"/>
  <c r="T946" i="142"/>
  <c r="U946" i="142" s="1"/>
  <c r="W946" i="142" s="1"/>
  <c r="X946" i="142" s="1"/>
  <c r="Y945" i="142"/>
  <c r="Z945" i="142" s="1"/>
  <c r="AA945" i="142" l="1"/>
  <c r="AB945" i="142" s="1"/>
  <c r="S948" i="142"/>
  <c r="T947" i="142"/>
  <c r="U947" i="142" s="1"/>
  <c r="W947" i="142" s="1"/>
  <c r="X947" i="142" s="1"/>
  <c r="Y946" i="142"/>
  <c r="Z946" i="142" s="1"/>
  <c r="Y947" i="142" l="1"/>
  <c r="Z947" i="142" s="1"/>
  <c r="S949" i="142"/>
  <c r="T948" i="142"/>
  <c r="U948" i="142" s="1"/>
  <c r="W948" i="142" s="1"/>
  <c r="X948" i="142" s="1"/>
  <c r="AA946" i="142"/>
  <c r="AB946" i="142" s="1"/>
  <c r="Y948" i="142" l="1"/>
  <c r="Z948" i="142" s="1"/>
  <c r="T949" i="142"/>
  <c r="U949" i="142" s="1"/>
  <c r="W949" i="142" s="1"/>
  <c r="X949" i="142" s="1"/>
  <c r="S950" i="142"/>
  <c r="AA947" i="142"/>
  <c r="AB947" i="142" s="1"/>
  <c r="AA948" i="142" l="1"/>
  <c r="AB948" i="142" s="1"/>
  <c r="S951" i="142"/>
  <c r="T950" i="142"/>
  <c r="U950" i="142" s="1"/>
  <c r="W950" i="142" s="1"/>
  <c r="X950" i="142" s="1"/>
  <c r="Y949" i="142"/>
  <c r="Z949" i="142" s="1"/>
  <c r="AA949" i="142" l="1"/>
  <c r="AB949" i="142" s="1"/>
  <c r="Y950" i="142"/>
  <c r="Z950" i="142" s="1"/>
  <c r="T951" i="142"/>
  <c r="U951" i="142" s="1"/>
  <c r="W951" i="142" s="1"/>
  <c r="X951" i="142" s="1"/>
  <c r="S952" i="142"/>
  <c r="AA950" i="142" l="1"/>
  <c r="AB950" i="142" s="1"/>
  <c r="S953" i="142"/>
  <c r="T952" i="142"/>
  <c r="U952" i="142" s="1"/>
  <c r="W952" i="142" s="1"/>
  <c r="X952" i="142" s="1"/>
  <c r="Y951" i="142"/>
  <c r="Z951" i="142" s="1"/>
  <c r="AA951" i="142" l="1"/>
  <c r="AB951" i="142" s="1"/>
  <c r="Y952" i="142"/>
  <c r="Z952" i="142" s="1"/>
  <c r="T953" i="142"/>
  <c r="U953" i="142" s="1"/>
  <c r="W953" i="142" s="1"/>
  <c r="X953" i="142" s="1"/>
  <c r="S954" i="142"/>
  <c r="AA952" i="142" l="1"/>
  <c r="AB952" i="142" s="1"/>
  <c r="S955" i="142"/>
  <c r="T954" i="142"/>
  <c r="U954" i="142" s="1"/>
  <c r="W954" i="142" s="1"/>
  <c r="X954" i="142" s="1"/>
  <c r="Y953" i="142"/>
  <c r="Z953" i="142" s="1"/>
  <c r="AA953" i="142" l="1"/>
  <c r="AB953" i="142" s="1"/>
  <c r="Y954" i="142"/>
  <c r="Z954" i="142" s="1"/>
  <c r="T955" i="142"/>
  <c r="U955" i="142" s="1"/>
  <c r="W955" i="142" s="1"/>
  <c r="X955" i="142" s="1"/>
  <c r="S956" i="142"/>
  <c r="AA954" i="142" l="1"/>
  <c r="AB954" i="142" s="1"/>
  <c r="S957" i="142"/>
  <c r="T956" i="142"/>
  <c r="U956" i="142" s="1"/>
  <c r="W956" i="142" s="1"/>
  <c r="X956" i="142" s="1"/>
  <c r="Y955" i="142"/>
  <c r="Z955" i="142" s="1"/>
  <c r="Y956" i="142" l="1"/>
  <c r="Z956" i="142" s="1"/>
  <c r="T957" i="142"/>
  <c r="U957" i="142" s="1"/>
  <c r="W957" i="142" s="1"/>
  <c r="X957" i="142" s="1"/>
  <c r="S958" i="142"/>
  <c r="AA955" i="142"/>
  <c r="AB955" i="142" s="1"/>
  <c r="AA956" i="142" l="1"/>
  <c r="AB956" i="142" s="1"/>
  <c r="Y957" i="142"/>
  <c r="Z957" i="142" s="1"/>
  <c r="S959" i="142"/>
  <c r="T958" i="142"/>
  <c r="U958" i="142" s="1"/>
  <c r="W958" i="142" s="1"/>
  <c r="X958" i="142" s="1"/>
  <c r="AA957" i="142" l="1"/>
  <c r="AB957" i="142" s="1"/>
  <c r="Y958" i="142"/>
  <c r="Z958" i="142" s="1"/>
  <c r="T959" i="142"/>
  <c r="U959" i="142" s="1"/>
  <c r="W959" i="142" s="1"/>
  <c r="X959" i="142" s="1"/>
  <c r="S960" i="142"/>
  <c r="AA958" i="142" l="1"/>
  <c r="AB958" i="142" s="1"/>
  <c r="S961" i="142"/>
  <c r="T960" i="142"/>
  <c r="U960" i="142" s="1"/>
  <c r="W960" i="142" s="1"/>
  <c r="X960" i="142" s="1"/>
  <c r="Y959" i="142"/>
  <c r="Z959" i="142" s="1"/>
  <c r="Y960" i="142" l="1"/>
  <c r="Z960" i="142" s="1"/>
  <c r="T961" i="142"/>
  <c r="U961" i="142" s="1"/>
  <c r="W961" i="142" s="1"/>
  <c r="X961" i="142" s="1"/>
  <c r="S962" i="142"/>
  <c r="AA959" i="142"/>
  <c r="AB959" i="142" s="1"/>
  <c r="AA960" i="142" l="1"/>
  <c r="AB960" i="142" s="1"/>
  <c r="Y961" i="142"/>
  <c r="Z961" i="142" s="1"/>
  <c r="S963" i="142"/>
  <c r="T962" i="142"/>
  <c r="U962" i="142" s="1"/>
  <c r="W962" i="142" s="1"/>
  <c r="X962" i="142" s="1"/>
  <c r="AA961" i="142" l="1"/>
  <c r="AB961" i="142" s="1"/>
  <c r="Y962" i="142"/>
  <c r="Z962" i="142" s="1"/>
  <c r="T963" i="142"/>
  <c r="U963" i="142" s="1"/>
  <c r="W963" i="142" s="1"/>
  <c r="X963" i="142" s="1"/>
  <c r="S964" i="142"/>
  <c r="AA962" i="142" l="1"/>
  <c r="AB962" i="142" s="1"/>
  <c r="S965" i="142"/>
  <c r="T964" i="142"/>
  <c r="U964" i="142" s="1"/>
  <c r="W964" i="142" s="1"/>
  <c r="X964" i="142" s="1"/>
  <c r="Y963" i="142"/>
  <c r="Z963" i="142" s="1"/>
  <c r="Y964" i="142" l="1"/>
  <c r="Z964" i="142" s="1"/>
  <c r="T965" i="142"/>
  <c r="U965" i="142" s="1"/>
  <c r="W965" i="142" s="1"/>
  <c r="X965" i="142" s="1"/>
  <c r="S966" i="142"/>
  <c r="AA963" i="142"/>
  <c r="AB963" i="142" s="1"/>
  <c r="AA964" i="142" l="1"/>
  <c r="AB964" i="142" s="1"/>
  <c r="Y965" i="142"/>
  <c r="Z965" i="142" s="1"/>
  <c r="S967" i="142"/>
  <c r="T966" i="142"/>
  <c r="U966" i="142" s="1"/>
  <c r="W966" i="142" s="1"/>
  <c r="X966" i="142" s="1"/>
  <c r="AA965" i="142" l="1"/>
  <c r="AB965" i="142" s="1"/>
  <c r="Y966" i="142"/>
  <c r="Z966" i="142" s="1"/>
  <c r="T967" i="142"/>
  <c r="U967" i="142" s="1"/>
  <c r="W967" i="142" s="1"/>
  <c r="X967" i="142" s="1"/>
  <c r="S968" i="142"/>
  <c r="AA966" i="142" l="1"/>
  <c r="AB966" i="142" s="1"/>
  <c r="S969" i="142"/>
  <c r="T968" i="142"/>
  <c r="U968" i="142" s="1"/>
  <c r="W968" i="142" s="1"/>
  <c r="X968" i="142" s="1"/>
  <c r="Y967" i="142"/>
  <c r="Z967" i="142" s="1"/>
  <c r="Y968" i="142" l="1"/>
  <c r="Z968" i="142" s="1"/>
  <c r="T969" i="142"/>
  <c r="U969" i="142" s="1"/>
  <c r="W969" i="142" s="1"/>
  <c r="X969" i="142" s="1"/>
  <c r="S970" i="142"/>
  <c r="AA967" i="142"/>
  <c r="AB967" i="142" s="1"/>
  <c r="AA968" i="142" l="1"/>
  <c r="AB968" i="142"/>
  <c r="Y969" i="142"/>
  <c r="Z969" i="142" s="1"/>
  <c r="S971" i="142"/>
  <c r="T970" i="142"/>
  <c r="U970" i="142" s="1"/>
  <c r="W970" i="142" s="1"/>
  <c r="X970" i="142" s="1"/>
  <c r="AA969" i="142" l="1"/>
  <c r="AB969" i="142" s="1"/>
  <c r="Y970" i="142"/>
  <c r="Z970" i="142" s="1"/>
  <c r="S972" i="142"/>
  <c r="T971" i="142"/>
  <c r="U971" i="142" s="1"/>
  <c r="W971" i="142" s="1"/>
  <c r="X971" i="142" s="1"/>
  <c r="AA970" i="142" l="1"/>
  <c r="AB970" i="142" s="1"/>
  <c r="Y971" i="142"/>
  <c r="Z971" i="142" s="1"/>
  <c r="S973" i="142"/>
  <c r="T972" i="142"/>
  <c r="U972" i="142" s="1"/>
  <c r="W972" i="142" s="1"/>
  <c r="X972" i="142" s="1"/>
  <c r="AA971" i="142" l="1"/>
  <c r="AB971" i="142" s="1"/>
  <c r="Y972" i="142"/>
  <c r="Z972" i="142" s="1"/>
  <c r="S974" i="142"/>
  <c r="T973" i="142"/>
  <c r="U973" i="142" s="1"/>
  <c r="W973" i="142" s="1"/>
  <c r="X973" i="142" s="1"/>
  <c r="AA972" i="142" l="1"/>
  <c r="AB972" i="142" s="1"/>
  <c r="Y973" i="142"/>
  <c r="Z973" i="142" s="1"/>
  <c r="S975" i="142"/>
  <c r="T974" i="142"/>
  <c r="U974" i="142" s="1"/>
  <c r="W974" i="142" s="1"/>
  <c r="X974" i="142" s="1"/>
  <c r="AA973" i="142" l="1"/>
  <c r="AB973" i="142" s="1"/>
  <c r="Y974" i="142"/>
  <c r="Z974" i="142" s="1"/>
  <c r="S976" i="142"/>
  <c r="T975" i="142"/>
  <c r="U975" i="142" s="1"/>
  <c r="W975" i="142" s="1"/>
  <c r="X975" i="142" s="1"/>
  <c r="AA974" i="142" l="1"/>
  <c r="AB974" i="142" s="1"/>
  <c r="Y975" i="142"/>
  <c r="Z975" i="142" s="1"/>
  <c r="S977" i="142"/>
  <c r="T976" i="142"/>
  <c r="U976" i="142" s="1"/>
  <c r="W976" i="142" s="1"/>
  <c r="X976" i="142" s="1"/>
  <c r="AA975" i="142" l="1"/>
  <c r="AB975" i="142" s="1"/>
  <c r="Y976" i="142"/>
  <c r="Z976" i="142" s="1"/>
  <c r="S978" i="142"/>
  <c r="T977" i="142"/>
  <c r="U977" i="142" s="1"/>
  <c r="W977" i="142" s="1"/>
  <c r="X977" i="142" s="1"/>
  <c r="AA976" i="142" l="1"/>
  <c r="AB976" i="142" s="1"/>
  <c r="Y977" i="142"/>
  <c r="Z977" i="142" s="1"/>
  <c r="S979" i="142"/>
  <c r="T978" i="142"/>
  <c r="U978" i="142" s="1"/>
  <c r="W978" i="142" s="1"/>
  <c r="X978" i="142" s="1"/>
  <c r="AA977" i="142" l="1"/>
  <c r="AB977" i="142" s="1"/>
  <c r="Y978" i="142"/>
  <c r="Z978" i="142" s="1"/>
  <c r="S980" i="142"/>
  <c r="T979" i="142"/>
  <c r="U979" i="142" s="1"/>
  <c r="W979" i="142" s="1"/>
  <c r="X979" i="142" s="1"/>
  <c r="AA978" i="142" l="1"/>
  <c r="AB978" i="142" s="1"/>
  <c r="Y979" i="142"/>
  <c r="Z979" i="142" s="1"/>
  <c r="S981" i="142"/>
  <c r="T980" i="142"/>
  <c r="U980" i="142" s="1"/>
  <c r="W980" i="142" s="1"/>
  <c r="X980" i="142" s="1"/>
  <c r="AA979" i="142" l="1"/>
  <c r="AB979" i="142" s="1"/>
  <c r="Y980" i="142"/>
  <c r="Z980" i="142" s="1"/>
  <c r="S982" i="142"/>
  <c r="T981" i="142"/>
  <c r="U981" i="142" s="1"/>
  <c r="W981" i="142" s="1"/>
  <c r="X981" i="142" s="1"/>
  <c r="AA980" i="142" l="1"/>
  <c r="AB980" i="142" s="1"/>
  <c r="Y981" i="142"/>
  <c r="Z981" i="142" s="1"/>
  <c r="S983" i="142"/>
  <c r="T982" i="142"/>
  <c r="U982" i="142" s="1"/>
  <c r="W982" i="142" s="1"/>
  <c r="X982" i="142" s="1"/>
  <c r="AA981" i="142" l="1"/>
  <c r="AB981" i="142" s="1"/>
  <c r="Y982" i="142"/>
  <c r="Z982" i="142" s="1"/>
  <c r="S984" i="142"/>
  <c r="T983" i="142"/>
  <c r="U983" i="142" s="1"/>
  <c r="W983" i="142" s="1"/>
  <c r="X983" i="142" s="1"/>
  <c r="AA982" i="142" l="1"/>
  <c r="AB982" i="142" s="1"/>
  <c r="Y983" i="142"/>
  <c r="Z983" i="142" s="1"/>
  <c r="S985" i="142"/>
  <c r="T984" i="142"/>
  <c r="U984" i="142" s="1"/>
  <c r="W984" i="142" s="1"/>
  <c r="X984" i="142" s="1"/>
  <c r="AA983" i="142" l="1"/>
  <c r="AB983" i="142" s="1"/>
  <c r="Y984" i="142"/>
  <c r="Z984" i="142" s="1"/>
  <c r="S986" i="142"/>
  <c r="T985" i="142"/>
  <c r="U985" i="142" s="1"/>
  <c r="W985" i="142" s="1"/>
  <c r="X985" i="142" s="1"/>
  <c r="AA984" i="142" l="1"/>
  <c r="AB984" i="142" s="1"/>
  <c r="Y985" i="142"/>
  <c r="Z985" i="142" s="1"/>
  <c r="S987" i="142"/>
  <c r="T986" i="142"/>
  <c r="U986" i="142" s="1"/>
  <c r="W986" i="142" s="1"/>
  <c r="X986" i="142" s="1"/>
  <c r="AA985" i="142" l="1"/>
  <c r="AB985" i="142" s="1"/>
  <c r="Y986" i="142"/>
  <c r="Z986" i="142" s="1"/>
  <c r="S988" i="142"/>
  <c r="T987" i="142"/>
  <c r="U987" i="142" s="1"/>
  <c r="W987" i="142" s="1"/>
  <c r="X987" i="142" s="1"/>
  <c r="AA986" i="142" l="1"/>
  <c r="AB986" i="142" s="1"/>
  <c r="Y987" i="142"/>
  <c r="Z987" i="142" s="1"/>
  <c r="S989" i="142"/>
  <c r="T988" i="142"/>
  <c r="U988" i="142" s="1"/>
  <c r="W988" i="142" s="1"/>
  <c r="X988" i="142" s="1"/>
  <c r="AA987" i="142" l="1"/>
  <c r="AB987" i="142" s="1"/>
  <c r="Y988" i="142"/>
  <c r="Z988" i="142" s="1"/>
  <c r="S990" i="142"/>
  <c r="T989" i="142"/>
  <c r="U989" i="142" s="1"/>
  <c r="W989" i="142" s="1"/>
  <c r="X989" i="142" s="1"/>
  <c r="AA988" i="142" l="1"/>
  <c r="AB988" i="142" s="1"/>
  <c r="Y989" i="142"/>
  <c r="Z989" i="142" s="1"/>
  <c r="S991" i="142"/>
  <c r="T990" i="142"/>
  <c r="U990" i="142" s="1"/>
  <c r="W990" i="142" s="1"/>
  <c r="X990" i="142" s="1"/>
  <c r="AA989" i="142" l="1"/>
  <c r="AB989" i="142" s="1"/>
  <c r="Y990" i="142"/>
  <c r="Z990" i="142" s="1"/>
  <c r="S992" i="142"/>
  <c r="T991" i="142"/>
  <c r="U991" i="142" s="1"/>
  <c r="W991" i="142" s="1"/>
  <c r="X991" i="142" s="1"/>
  <c r="AA990" i="142" l="1"/>
  <c r="AB990" i="142" s="1"/>
  <c r="Y991" i="142"/>
  <c r="Z991" i="142" s="1"/>
  <c r="S993" i="142"/>
  <c r="T992" i="142"/>
  <c r="U992" i="142" s="1"/>
  <c r="W992" i="142" s="1"/>
  <c r="X992" i="142" s="1"/>
  <c r="AA991" i="142" l="1"/>
  <c r="AB991" i="142" s="1"/>
  <c r="Y992" i="142"/>
  <c r="Z992" i="142" s="1"/>
  <c r="S994" i="142"/>
  <c r="T993" i="142"/>
  <c r="U993" i="142" s="1"/>
  <c r="W993" i="142" s="1"/>
  <c r="X993" i="142" s="1"/>
  <c r="AA992" i="142" l="1"/>
  <c r="AB992" i="142" s="1"/>
  <c r="Y993" i="142"/>
  <c r="Z993" i="142" s="1"/>
  <c r="S995" i="142"/>
  <c r="T994" i="142"/>
  <c r="U994" i="142" s="1"/>
  <c r="W994" i="142" s="1"/>
  <c r="X994" i="142" s="1"/>
  <c r="AA993" i="142" l="1"/>
  <c r="AB993" i="142" s="1"/>
  <c r="Y994" i="142"/>
  <c r="Z994" i="142" s="1"/>
  <c r="S996" i="142"/>
  <c r="T995" i="142"/>
  <c r="U995" i="142" s="1"/>
  <c r="W995" i="142" s="1"/>
  <c r="X995" i="142" s="1"/>
  <c r="AA994" i="142" l="1"/>
  <c r="AB994" i="142" s="1"/>
  <c r="Y995" i="142"/>
  <c r="Z995" i="142" s="1"/>
  <c r="S997" i="142"/>
  <c r="T996" i="142"/>
  <c r="U996" i="142" s="1"/>
  <c r="W996" i="142" s="1"/>
  <c r="X996" i="142" s="1"/>
  <c r="AA995" i="142" l="1"/>
  <c r="AB995" i="142" s="1"/>
  <c r="Y996" i="142"/>
  <c r="Z996" i="142" s="1"/>
  <c r="S998" i="142"/>
  <c r="T997" i="142"/>
  <c r="U997" i="142" s="1"/>
  <c r="W997" i="142" s="1"/>
  <c r="X997" i="142" s="1"/>
  <c r="AA996" i="142" l="1"/>
  <c r="AB996" i="142" s="1"/>
  <c r="Y997" i="142"/>
  <c r="Z997" i="142" s="1"/>
  <c r="S999" i="142"/>
  <c r="T998" i="142"/>
  <c r="U998" i="142" s="1"/>
  <c r="W998" i="142" s="1"/>
  <c r="X998" i="142" s="1"/>
  <c r="AA997" i="142" l="1"/>
  <c r="AB997" i="142" s="1"/>
  <c r="Y998" i="142"/>
  <c r="Z998" i="142" s="1"/>
  <c r="S1000" i="142"/>
  <c r="T999" i="142"/>
  <c r="U999" i="142" s="1"/>
  <c r="W999" i="142" s="1"/>
  <c r="X999" i="142" s="1"/>
  <c r="AA998" i="142" l="1"/>
  <c r="AB998" i="142" s="1"/>
  <c r="Y999" i="142"/>
  <c r="Z999" i="142" s="1"/>
  <c r="S1001" i="142"/>
  <c r="T1000" i="142"/>
  <c r="U1000" i="142" s="1"/>
  <c r="W1000" i="142" s="1"/>
  <c r="X1000" i="142" s="1"/>
  <c r="AA999" i="142" l="1"/>
  <c r="AB999" i="142" s="1"/>
  <c r="Y1000" i="142"/>
  <c r="Z1000" i="142" s="1"/>
  <c r="S1002" i="142"/>
  <c r="T1001" i="142"/>
  <c r="U1001" i="142" s="1"/>
  <c r="W1001" i="142" s="1"/>
  <c r="X1001" i="142" s="1"/>
  <c r="AA1000" i="142" l="1"/>
  <c r="AB1000" i="142" s="1"/>
  <c r="Y1001" i="142"/>
  <c r="Z1001" i="142" s="1"/>
  <c r="S1003" i="142"/>
  <c r="T1002" i="142"/>
  <c r="U1002" i="142" s="1"/>
  <c r="W1002" i="142" s="1"/>
  <c r="X1002" i="142" s="1"/>
  <c r="AA1001" i="142" l="1"/>
  <c r="AB1001" i="142" s="1"/>
  <c r="Y1002" i="142"/>
  <c r="Z1002" i="142" s="1"/>
  <c r="S1004" i="142"/>
  <c r="T1004" i="142" s="1"/>
  <c r="U1004" i="142" s="1"/>
  <c r="W1004" i="142" s="1"/>
  <c r="T1003" i="142"/>
  <c r="U1003" i="142" s="1"/>
  <c r="W1003" i="142" s="1"/>
  <c r="X1003" i="142" s="1"/>
  <c r="AA1002" i="142" l="1"/>
  <c r="AB1002" i="142" s="1"/>
  <c r="Y1003" i="142"/>
  <c r="Z1003" i="142" s="1"/>
  <c r="X1004" i="142"/>
  <c r="W5" i="142"/>
  <c r="H3" i="142" s="1"/>
  <c r="AA1003" i="142" l="1"/>
  <c r="AB1003" i="142" s="1"/>
  <c r="T4" i="142"/>
  <c r="U2" i="142"/>
  <c r="Y1004" i="142"/>
  <c r="Z1004" i="142" s="1"/>
  <c r="AA1004" i="142" l="1"/>
  <c r="AB1004" i="14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aamir hussain</author>
  </authors>
  <commentList>
    <comment ref="E1" authorId="0" shapeId="0" xr:uid="{A9ED6FD3-F58F-4E8F-9623-4E29D055821D}">
      <text>
        <r>
          <rPr>
            <b/>
            <sz val="9"/>
            <color indexed="81"/>
            <rFont val="Tahoma"/>
          </rPr>
          <t>aamir hussain:</t>
        </r>
        <r>
          <rPr>
            <sz val="9"/>
            <color indexed="81"/>
            <rFont val="Tahoma"/>
          </rPr>
          <t xml:space="preserve">
Enter Mouza By Self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aamir hussain</author>
  </authors>
  <commentList>
    <comment ref="R3" authorId="0" shapeId="0" xr:uid="{9DE17378-6A0F-4B1F-9FC5-76127F68563B}">
      <text>
        <r>
          <rPr>
            <b/>
            <sz val="9"/>
            <color indexed="81"/>
            <rFont val="Tahoma"/>
            <family val="2"/>
          </rPr>
          <t>aamir hussain:</t>
        </r>
        <r>
          <rPr>
            <sz val="9"/>
            <color indexed="81"/>
            <rFont val="Tahoma"/>
            <family val="2"/>
          </rPr>
          <t xml:space="preserve">
Yahan Pr Khewat ka raqba foot main khud likhain.</t>
        </r>
      </text>
    </comment>
  </commentList>
</comments>
</file>

<file path=xl/sharedStrings.xml><?xml version="1.0" encoding="utf-8"?>
<sst xmlns="http://schemas.openxmlformats.org/spreadsheetml/2006/main" count="106" uniqueCount="61">
  <si>
    <t>بشیر احمد</t>
  </si>
  <si>
    <t>دختر</t>
  </si>
  <si>
    <t>کلثوم</t>
  </si>
  <si>
    <t xml:space="preserve"> </t>
  </si>
  <si>
    <t>نسیم بیگم</t>
  </si>
  <si>
    <t>نسرین اختر</t>
  </si>
  <si>
    <t>یاسمین اختر</t>
  </si>
  <si>
    <t xml:space="preserve">شمیم اختر </t>
  </si>
  <si>
    <t>غلام سکینہ</t>
  </si>
  <si>
    <t>ولد</t>
  </si>
  <si>
    <t>T</t>
  </si>
  <si>
    <t>K</t>
  </si>
  <si>
    <t>Sr.</t>
  </si>
  <si>
    <t>Owner Name</t>
  </si>
  <si>
    <t>Cal.1</t>
  </si>
  <si>
    <t>Cal.2</t>
  </si>
  <si>
    <t>Cal.3</t>
  </si>
  <si>
    <t>Cal.4</t>
  </si>
  <si>
    <t>Kanal</t>
  </si>
  <si>
    <t>Cal.5</t>
  </si>
  <si>
    <t>Marla</t>
  </si>
  <si>
    <t>Feet</t>
  </si>
  <si>
    <t>-</t>
  </si>
  <si>
    <t>M</t>
  </si>
  <si>
    <t>Khasra</t>
  </si>
  <si>
    <t>Calculations</t>
  </si>
  <si>
    <t>Ownership
Type</t>
  </si>
  <si>
    <t>Person Share</t>
  </si>
  <si>
    <t>Manually
Edited</t>
  </si>
  <si>
    <t>Active</t>
  </si>
  <si>
    <t>In Feet</t>
  </si>
  <si>
    <t>Khewat Sum
in Feet</t>
  </si>
  <si>
    <t>Calculation</t>
  </si>
  <si>
    <t>F</t>
  </si>
  <si>
    <t>S</t>
  </si>
  <si>
    <t>Khewat Hissa</t>
  </si>
  <si>
    <t>Khewat &amp; Person Area Diff</t>
  </si>
  <si>
    <t>Khewat Status</t>
  </si>
  <si>
    <t>Person Share
Calculator 1</t>
  </si>
  <si>
    <t>Feet Into Kanal</t>
  </si>
  <si>
    <t>Mouza</t>
  </si>
  <si>
    <t>Sr. No</t>
  </si>
  <si>
    <t>Name of
Owner</t>
  </si>
  <si>
    <t>Share
In Feet</t>
  </si>
  <si>
    <t>Khewat</t>
  </si>
  <si>
    <t>Title</t>
  </si>
  <si>
    <t>Khasr No</t>
  </si>
  <si>
    <t>Area in
Feet</t>
  </si>
  <si>
    <t>Kanla</t>
  </si>
  <si>
    <t>Difference_1</t>
  </si>
  <si>
    <t>Manually Input
Area</t>
  </si>
  <si>
    <t>Khewat 
Area</t>
  </si>
  <si>
    <t>Diff %</t>
  </si>
  <si>
    <t>Verify 
Status</t>
  </si>
  <si>
    <t>Jand</t>
  </si>
  <si>
    <t>Khasra
No</t>
  </si>
  <si>
    <t>Khasra
Area</t>
  </si>
  <si>
    <t>عمر</t>
  </si>
  <si>
    <t>نوید</t>
  </si>
  <si>
    <t>زیشان</t>
  </si>
  <si>
    <t>Verify Actuall Area with 
People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</si>
</sst>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17" x14ac:knownFonts="1">
    <font>
      <sz val="14"/>
      <color theme="1"/>
      <name val="Jameel Noori Nastaleeq"/>
      <family val="2"/>
    </font>
    <font>
      <b/>
      <sz val="9"/>
      <color indexed="81"/>
      <name val="Tahoma"/>
      <family val="2"/>
    </font>
    <font>
      <sz val="12"/>
      <color theme="1"/>
      <name val="Jameel Noori Nastaleeq"/>
    </font>
    <font>
      <sz val="14"/>
      <color rgb="FFFF0000"/>
      <name val="Jameel Noori Nastaleeq"/>
      <family val="2"/>
    </font>
    <font>
      <b/>
      <sz val="12"/>
      <color theme="1"/>
      <name val="Jameel Noori Nastaleeq"/>
    </font>
    <font>
      <b/>
      <sz val="12"/>
      <color rgb="FFFF0000"/>
      <name val="Jameel Noori Nastaleeq"/>
    </font>
    <font>
      <b/>
      <sz val="12"/>
      <name val="Jameel Noori Nastaleeq"/>
    </font>
    <font>
      <sz val="9"/>
      <color indexed="81"/>
      <name val="Tahoma"/>
      <family val="2"/>
    </font>
    <font>
      <b/>
      <sz val="12"/>
      <color theme="0"/>
      <name val="Jameel Noori Nastaleeq"/>
    </font>
    <font>
      <sz val="12"/>
      <color theme="0"/>
      <name val="Jameel Noori Nastaleeq"/>
    </font>
    <font>
      <b/>
      <i/>
      <u/>
      <sz val="14"/>
      <color theme="1"/>
      <name val="Jameel Noori Nastaleeq"/>
    </font>
    <font>
      <sz val="9"/>
      <color indexed="81"/>
      <name val="Tahoma"/>
    </font>
    <font>
      <b/>
      <sz val="9"/>
      <color indexed="81"/>
      <name val="Tahoma"/>
    </font>
    <font>
      <sz val="12"/>
      <color theme="1"/>
      <name val="Jameel Noori Nastaleeq"/>
      <family val="2"/>
    </font>
    <font>
      <sz val="12"/>
      <name val="Jameel Noori Nastaleeq"/>
      <family val="2"/>
    </font>
    <font>
      <b/>
      <sz val="26"/>
      <color theme="1"/>
      <name val="Jameel Noori Nastaleeq"/>
    </font>
    <font>
      <sz val="11"/>
      <color theme="1"/>
      <name val="Jameel Noori Nastaleeq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0" fontId="0" fillId="3" borderId="0" xfId="0" applyFill="1" applyAlignment="1">
      <alignment horizontal="center"/>
    </xf>
    <xf numFmtId="0" fontId="4" fillId="10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0" xfId="0" applyFill="1" applyAlignment="1">
      <alignment horizontal="centerContinuous"/>
    </xf>
    <xf numFmtId="0" fontId="4" fillId="7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8" fillId="11" borderId="0" xfId="0" applyFont="1" applyFill="1" applyAlignment="1">
      <alignment horizontal="center" vertical="center"/>
    </xf>
    <xf numFmtId="0" fontId="2" fillId="0" borderId="0" xfId="0" applyFont="1"/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11" borderId="0" xfId="0" applyFont="1" applyFill="1"/>
    <xf numFmtId="0" fontId="2" fillId="7" borderId="0" xfId="0" applyFont="1" applyFill="1"/>
    <xf numFmtId="0" fontId="2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9" fillId="11" borderId="0" xfId="0" applyFont="1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2" fillId="6" borderId="0" xfId="0" applyFont="1" applyFill="1"/>
    <xf numFmtId="0" fontId="3" fillId="0" borderId="0" xfId="0" applyFont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64" fontId="2" fillId="0" borderId="0" xfId="0" applyNumberFormat="1" applyFont="1" applyAlignment="1">
      <alignment horizontal="right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 wrapText="1"/>
    </xf>
    <xf numFmtId="0" fontId="13" fillId="0" borderId="0" xfId="0" applyFont="1"/>
    <xf numFmtId="0" fontId="13" fillId="0" borderId="0" xfId="0" applyFont="1" applyAlignment="1">
      <alignment horizontal="right"/>
    </xf>
    <xf numFmtId="0" fontId="14" fillId="0" borderId="0" xfId="0" applyFont="1"/>
    <xf numFmtId="0" fontId="15" fillId="8" borderId="0" xfId="0" applyFont="1" applyFill="1" applyAlignment="1">
      <alignment horizontal="center" vertical="center"/>
    </xf>
    <xf numFmtId="0" fontId="16" fillId="0" borderId="0" xfId="0" applyFont="1" applyAlignment="1">
      <alignment horizontal="right"/>
    </xf>
    <xf numFmtId="0" fontId="0" fillId="0" borderId="0" xfId="0" applyAlignment="1">
      <alignment vertical="center" wrapText="1"/>
    </xf>
    <xf numFmtId="0" fontId="0" fillId="6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8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0" fillId="0" borderId="1" xfId="0" applyBorder="1" applyAlignment="1">
      <alignment horizontal="center" vertical="top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2" fillId="2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93621-A499-4D98-B3F5-5E045A35807A}">
  <dimension ref="A1:J16"/>
  <sheetViews>
    <sheetView topLeftCell="A2" workbookViewId="0">
      <selection activeCell="F4" sqref="F4"/>
    </sheetView>
  </sheetViews>
  <sheetFormatPr defaultRowHeight="28.5" x14ac:dyDescent="0.7"/>
  <cols>
    <col min="2" max="2" width="12" bestFit="1" customWidth="1"/>
    <col min="6" max="6" width="19.44140625" bestFit="1" customWidth="1"/>
  </cols>
  <sheetData>
    <row r="1" spans="1:10" x14ac:dyDescent="0.7">
      <c r="G1">
        <v>25</v>
      </c>
      <c r="H1">
        <v>0</v>
      </c>
      <c r="I1">
        <v>0</v>
      </c>
      <c r="J1">
        <f>(G1*5440)+(H1*272)+I1</f>
        <v>136000</v>
      </c>
    </row>
    <row r="3" spans="1:10" x14ac:dyDescent="0.7">
      <c r="A3">
        <v>1</v>
      </c>
      <c r="B3" t="s">
        <v>0</v>
      </c>
      <c r="C3" t="s">
        <v>1</v>
      </c>
      <c r="D3" t="s">
        <v>2</v>
      </c>
      <c r="E3" t="s">
        <v>3</v>
      </c>
      <c r="F3" t="str">
        <f>D3&amp;E3&amp;C3&amp;E3&amp;B3</f>
        <v>کلثوم دختر بشیر احمد</v>
      </c>
    </row>
    <row r="4" spans="1:10" x14ac:dyDescent="0.7">
      <c r="A4">
        <v>2</v>
      </c>
      <c r="B4" t="s">
        <v>0</v>
      </c>
      <c r="C4" t="s">
        <v>1</v>
      </c>
      <c r="D4" t="s">
        <v>4</v>
      </c>
      <c r="E4" t="s">
        <v>3</v>
      </c>
      <c r="F4" t="str">
        <f t="shared" ref="F4" si="0">D4&amp;E4&amp;C4&amp;E4&amp;B4</f>
        <v>نسیم بیگم دختر بشیر احمد</v>
      </c>
    </row>
    <row r="5" spans="1:10" x14ac:dyDescent="0.7">
      <c r="A5">
        <v>3</v>
      </c>
      <c r="B5" t="s">
        <v>0</v>
      </c>
      <c r="C5" t="s">
        <v>1</v>
      </c>
      <c r="D5" t="s">
        <v>5</v>
      </c>
      <c r="E5" t="s">
        <v>3</v>
      </c>
      <c r="F5" t="str">
        <f t="shared" ref="F5:F10" si="1">D5&amp;E5&amp;C5&amp;E5&amp;B5</f>
        <v>نسرین اختر دختر بشیر احمد</v>
      </c>
    </row>
    <row r="6" spans="1:10" x14ac:dyDescent="0.7">
      <c r="A6">
        <v>4</v>
      </c>
      <c r="B6" t="s">
        <v>0</v>
      </c>
      <c r="C6" t="s">
        <v>1</v>
      </c>
      <c r="D6" t="s">
        <v>6</v>
      </c>
      <c r="E6" t="s">
        <v>3</v>
      </c>
      <c r="F6" t="str">
        <f t="shared" si="1"/>
        <v>یاسمین اختر دختر بشیر احمد</v>
      </c>
    </row>
    <row r="7" spans="1:10" x14ac:dyDescent="0.7">
      <c r="A7">
        <v>5</v>
      </c>
      <c r="B7" t="s">
        <v>0</v>
      </c>
      <c r="C7" t="s">
        <v>1</v>
      </c>
      <c r="D7" t="s">
        <v>7</v>
      </c>
      <c r="E7" t="s">
        <v>3</v>
      </c>
      <c r="F7" t="str">
        <f t="shared" si="1"/>
        <v>شمیم اختر  دختر بشیر احمد</v>
      </c>
    </row>
    <row r="8" spans="1:10" x14ac:dyDescent="0.7">
      <c r="A8">
        <v>6</v>
      </c>
      <c r="B8" t="s">
        <v>0</v>
      </c>
      <c r="C8" t="s">
        <v>1</v>
      </c>
      <c r="D8" t="s">
        <v>8</v>
      </c>
      <c r="E8" t="s">
        <v>3</v>
      </c>
      <c r="F8" t="str">
        <f t="shared" si="1"/>
        <v>غلام سکینہ دختر بشیر احمد</v>
      </c>
    </row>
    <row r="9" spans="1:10" x14ac:dyDescent="0.7">
      <c r="A9">
        <v>7</v>
      </c>
      <c r="E9" t="s">
        <v>3</v>
      </c>
      <c r="F9" t="str">
        <f t="shared" si="1"/>
        <v xml:space="preserve">  </v>
      </c>
    </row>
    <row r="10" spans="1:10" x14ac:dyDescent="0.7">
      <c r="A10">
        <v>8</v>
      </c>
      <c r="C10" t="s">
        <v>1</v>
      </c>
      <c r="E10" t="s">
        <v>3</v>
      </c>
      <c r="F10" t="str">
        <f t="shared" si="1"/>
        <v xml:space="preserve"> دختر </v>
      </c>
    </row>
    <row r="11" spans="1:10" x14ac:dyDescent="0.7">
      <c r="A11">
        <v>9</v>
      </c>
      <c r="C11" t="s">
        <v>9</v>
      </c>
      <c r="E11" t="s">
        <v>3</v>
      </c>
      <c r="F11" t="str">
        <f t="shared" ref="F11:F16" si="2">D11&amp;E11&amp;C11&amp;E11&amp;B11</f>
        <v xml:space="preserve"> ولد </v>
      </c>
    </row>
    <row r="12" spans="1:10" x14ac:dyDescent="0.7">
      <c r="A12">
        <v>10</v>
      </c>
      <c r="C12" t="s">
        <v>9</v>
      </c>
      <c r="E12" t="s">
        <v>3</v>
      </c>
      <c r="F12" t="str">
        <f t="shared" si="2"/>
        <v xml:space="preserve"> ولد </v>
      </c>
    </row>
    <row r="13" spans="1:10" x14ac:dyDescent="0.7">
      <c r="A13">
        <v>11</v>
      </c>
      <c r="C13" t="s">
        <v>9</v>
      </c>
      <c r="E13" t="s">
        <v>3</v>
      </c>
      <c r="F13" t="str">
        <f t="shared" si="2"/>
        <v xml:space="preserve"> ولد </v>
      </c>
    </row>
    <row r="14" spans="1:10" x14ac:dyDescent="0.7">
      <c r="A14">
        <v>12</v>
      </c>
      <c r="C14" t="s">
        <v>9</v>
      </c>
      <c r="E14" t="s">
        <v>3</v>
      </c>
      <c r="F14" t="str">
        <f t="shared" si="2"/>
        <v xml:space="preserve"> ولد </v>
      </c>
    </row>
    <row r="15" spans="1:10" x14ac:dyDescent="0.7">
      <c r="A15">
        <v>13</v>
      </c>
      <c r="C15" t="s">
        <v>9</v>
      </c>
      <c r="E15" t="s">
        <v>3</v>
      </c>
      <c r="F15" t="str">
        <f t="shared" si="2"/>
        <v xml:space="preserve"> ولد </v>
      </c>
    </row>
    <row r="16" spans="1:10" x14ac:dyDescent="0.7">
      <c r="A16">
        <v>14</v>
      </c>
      <c r="E16" t="s">
        <v>3</v>
      </c>
      <c r="F16" t="str">
        <f t="shared" si="2"/>
        <v xml:space="preserve">  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0C508-3ED6-4B29-AE95-DFA18C5FA789}">
  <dimension ref="A1:K119"/>
  <sheetViews>
    <sheetView view="pageBreakPreview" topLeftCell="A98" zoomScale="60" zoomScaleNormal="100" workbookViewId="0">
      <selection activeCell="D103" sqref="D103"/>
    </sheetView>
  </sheetViews>
  <sheetFormatPr defaultRowHeight="82.5" customHeight="1" x14ac:dyDescent="0.7"/>
  <cols>
    <col min="3" max="3" width="17.21875" style="74" customWidth="1"/>
    <col min="14" max="14" width="15.44140625" customWidth="1"/>
  </cols>
  <sheetData>
    <row r="1" spans="1:11" s="2" customFormat="1" ht="82.5" customHeight="1" x14ac:dyDescent="0.7">
      <c r="A1" s="46"/>
      <c r="B1" s="2" t="s">
        <v>44</v>
      </c>
      <c r="C1" s="72" t="e">
        <f>VLOOKUP(B1,TT,2,FALSE)</f>
        <v>#REF!</v>
      </c>
      <c r="D1" s="2" t="s">
        <v>40</v>
      </c>
      <c r="E1" s="75" t="e">
        <f>VLOOKUP(D1,KK,2,FALSE)</f>
        <v>#REF!</v>
      </c>
      <c r="F1" s="75"/>
      <c r="G1" s="75"/>
      <c r="H1" s="75"/>
    </row>
    <row r="2" spans="1:11" s="2" customFormat="1" ht="28.5" x14ac:dyDescent="0.7">
      <c r="A2" s="2" t="s">
        <v>24</v>
      </c>
      <c r="B2" s="68"/>
      <c r="C2" s="68"/>
      <c r="D2" s="68"/>
      <c r="E2" s="76">
        <f>SUM(E4:E101)</f>
        <v>0</v>
      </c>
      <c r="F2" s="76"/>
      <c r="G2" s="76"/>
      <c r="H2" s="76"/>
    </row>
    <row r="3" spans="1:11" s="2" customFormat="1" ht="82.5" customHeight="1" x14ac:dyDescent="0.7">
      <c r="A3" s="45" t="s">
        <v>10</v>
      </c>
      <c r="B3" s="67" t="s">
        <v>41</v>
      </c>
      <c r="C3" s="59" t="s">
        <v>42</v>
      </c>
      <c r="D3" s="59" t="s">
        <v>26</v>
      </c>
      <c r="E3" s="59" t="s">
        <v>43</v>
      </c>
      <c r="F3" s="59" t="s">
        <v>18</v>
      </c>
      <c r="G3" s="59" t="s">
        <v>20</v>
      </c>
      <c r="H3" s="59" t="s">
        <v>21</v>
      </c>
      <c r="J3" s="59" t="s">
        <v>55</v>
      </c>
      <c r="K3" s="59" t="s">
        <v>56</v>
      </c>
    </row>
    <row r="4" spans="1:11" ht="82.5" customHeight="1" x14ac:dyDescent="0.7">
      <c r="A4" s="44">
        <v>1</v>
      </c>
      <c r="B4" s="69" t="str">
        <f>IFERROR(VLOOKUP($A4,T,1,FALSE),"")</f>
        <v/>
      </c>
      <c r="C4" s="73" t="str">
        <f t="shared" ref="C4:C67" si="0">IFERROR(VLOOKUP($A4,T,2,FALSE),"")</f>
        <v/>
      </c>
      <c r="D4" s="69" t="str">
        <f t="shared" ref="D4:D67" si="1">IFERROR(VLOOKUP($A4,T,3,FALSE),"")</f>
        <v/>
      </c>
      <c r="E4" s="69" t="str">
        <f t="shared" ref="E4:E67" si="2">IFERROR(VLOOKUP($A4,T,9,FALSE),"")</f>
        <v/>
      </c>
      <c r="F4" s="69" t="str">
        <f t="shared" ref="F4:F67" si="3">IFERROR(VLOOKUP($A4,T,11,FALSE),"")</f>
        <v/>
      </c>
      <c r="G4" s="69" t="str">
        <f t="shared" ref="G4:G67" si="4">IFERROR(VLOOKUP($A4,T,13,FALSE),"")</f>
        <v/>
      </c>
      <c r="H4" s="69" t="str">
        <f t="shared" ref="H4:H67" si="5">IFERROR(VLOOKUP($A4,T,14,FALSE),"")</f>
        <v/>
      </c>
      <c r="I4" s="70"/>
      <c r="J4" s="71" t="str">
        <f t="shared" ref="J4:J67" si="6">IFERROR(VLOOKUP($A4,G,2,FALSE),"")</f>
        <v/>
      </c>
      <c r="K4" s="71" t="str">
        <f t="shared" ref="K4:K67" si="7">IFERROR(VLOOKUP($A4,G,5,FALSE),"")</f>
        <v/>
      </c>
    </row>
    <row r="5" spans="1:11" ht="82.5" customHeight="1" x14ac:dyDescent="0.7">
      <c r="A5" s="44">
        <v>2</v>
      </c>
      <c r="B5" s="69" t="str">
        <f t="shared" ref="B5:B68" si="8">IFERROR(VLOOKUP(A5,T,1,FALSE),"")</f>
        <v/>
      </c>
      <c r="C5" s="73" t="str">
        <f t="shared" si="0"/>
        <v/>
      </c>
      <c r="D5" s="69" t="str">
        <f t="shared" si="1"/>
        <v/>
      </c>
      <c r="E5" s="69" t="str">
        <f t="shared" si="2"/>
        <v/>
      </c>
      <c r="F5" s="69" t="str">
        <f t="shared" si="3"/>
        <v/>
      </c>
      <c r="G5" s="69" t="str">
        <f t="shared" si="4"/>
        <v/>
      </c>
      <c r="H5" s="69" t="str">
        <f t="shared" si="5"/>
        <v/>
      </c>
      <c r="I5" s="70"/>
      <c r="J5" s="71" t="str">
        <f t="shared" si="6"/>
        <v/>
      </c>
      <c r="K5" s="71" t="str">
        <f t="shared" si="7"/>
        <v/>
      </c>
    </row>
    <row r="6" spans="1:11" ht="82.5" customHeight="1" x14ac:dyDescent="0.7">
      <c r="A6" s="44">
        <v>3</v>
      </c>
      <c r="B6" s="69" t="str">
        <f t="shared" si="8"/>
        <v/>
      </c>
      <c r="C6" s="73" t="str">
        <f t="shared" si="0"/>
        <v/>
      </c>
      <c r="D6" s="69" t="str">
        <f t="shared" si="1"/>
        <v/>
      </c>
      <c r="E6" s="69" t="str">
        <f t="shared" si="2"/>
        <v/>
      </c>
      <c r="F6" s="69" t="str">
        <f t="shared" si="3"/>
        <v/>
      </c>
      <c r="G6" s="69" t="str">
        <f t="shared" si="4"/>
        <v/>
      </c>
      <c r="H6" s="69" t="str">
        <f t="shared" si="5"/>
        <v/>
      </c>
      <c r="I6" s="70"/>
      <c r="J6" s="71" t="str">
        <f t="shared" si="6"/>
        <v/>
      </c>
      <c r="K6" s="71" t="str">
        <f t="shared" si="7"/>
        <v/>
      </c>
    </row>
    <row r="7" spans="1:11" ht="82.5" customHeight="1" x14ac:dyDescent="0.7">
      <c r="A7" s="44">
        <v>4</v>
      </c>
      <c r="B7" s="69" t="str">
        <f t="shared" si="8"/>
        <v/>
      </c>
      <c r="C7" s="73" t="str">
        <f t="shared" si="0"/>
        <v/>
      </c>
      <c r="D7" s="69" t="str">
        <f t="shared" si="1"/>
        <v/>
      </c>
      <c r="E7" s="69" t="str">
        <f t="shared" si="2"/>
        <v/>
      </c>
      <c r="F7" s="69" t="str">
        <f t="shared" si="3"/>
        <v/>
      </c>
      <c r="G7" s="69" t="str">
        <f t="shared" si="4"/>
        <v/>
      </c>
      <c r="H7" s="69" t="str">
        <f t="shared" si="5"/>
        <v/>
      </c>
      <c r="I7" s="70"/>
      <c r="J7" s="71" t="str">
        <f t="shared" si="6"/>
        <v/>
      </c>
      <c r="K7" s="71" t="str">
        <f t="shared" si="7"/>
        <v/>
      </c>
    </row>
    <row r="8" spans="1:11" ht="82.5" customHeight="1" x14ac:dyDescent="0.7">
      <c r="A8" s="44">
        <v>5</v>
      </c>
      <c r="B8" s="69" t="str">
        <f t="shared" si="8"/>
        <v/>
      </c>
      <c r="C8" s="73" t="str">
        <f t="shared" si="0"/>
        <v/>
      </c>
      <c r="D8" s="69" t="str">
        <f t="shared" si="1"/>
        <v/>
      </c>
      <c r="E8" s="69" t="str">
        <f t="shared" si="2"/>
        <v/>
      </c>
      <c r="F8" s="69" t="str">
        <f t="shared" si="3"/>
        <v/>
      </c>
      <c r="G8" s="69" t="str">
        <f t="shared" si="4"/>
        <v/>
      </c>
      <c r="H8" s="69" t="str">
        <f t="shared" si="5"/>
        <v/>
      </c>
      <c r="I8" s="70"/>
      <c r="J8" s="71" t="str">
        <f t="shared" si="6"/>
        <v/>
      </c>
      <c r="K8" s="71" t="str">
        <f t="shared" si="7"/>
        <v/>
      </c>
    </row>
    <row r="9" spans="1:11" ht="82.5" customHeight="1" x14ac:dyDescent="0.7">
      <c r="A9" s="44">
        <v>6</v>
      </c>
      <c r="B9" s="69" t="str">
        <f t="shared" si="8"/>
        <v/>
      </c>
      <c r="C9" s="73" t="str">
        <f t="shared" si="0"/>
        <v/>
      </c>
      <c r="D9" s="69" t="str">
        <f t="shared" si="1"/>
        <v/>
      </c>
      <c r="E9" s="69" t="str">
        <f t="shared" si="2"/>
        <v/>
      </c>
      <c r="F9" s="69" t="str">
        <f t="shared" si="3"/>
        <v/>
      </c>
      <c r="G9" s="69" t="str">
        <f t="shared" si="4"/>
        <v/>
      </c>
      <c r="H9" s="69" t="str">
        <f t="shared" si="5"/>
        <v/>
      </c>
      <c r="I9" s="70"/>
      <c r="J9" s="71" t="str">
        <f t="shared" si="6"/>
        <v/>
      </c>
      <c r="K9" s="71" t="str">
        <f t="shared" si="7"/>
        <v/>
      </c>
    </row>
    <row r="10" spans="1:11" ht="82.5" customHeight="1" x14ac:dyDescent="0.7">
      <c r="A10" s="44">
        <v>7</v>
      </c>
      <c r="B10" s="69" t="str">
        <f t="shared" si="8"/>
        <v/>
      </c>
      <c r="C10" s="73" t="str">
        <f t="shared" si="0"/>
        <v/>
      </c>
      <c r="D10" s="69" t="str">
        <f t="shared" si="1"/>
        <v/>
      </c>
      <c r="E10" s="69" t="str">
        <f t="shared" si="2"/>
        <v/>
      </c>
      <c r="F10" s="69" t="str">
        <f t="shared" si="3"/>
        <v/>
      </c>
      <c r="G10" s="69" t="str">
        <f t="shared" si="4"/>
        <v/>
      </c>
      <c r="H10" s="69" t="str">
        <f t="shared" si="5"/>
        <v/>
      </c>
      <c r="I10" s="70"/>
      <c r="J10" s="71" t="str">
        <f t="shared" si="6"/>
        <v/>
      </c>
      <c r="K10" s="71" t="str">
        <f t="shared" si="7"/>
        <v/>
      </c>
    </row>
    <row r="11" spans="1:11" ht="82.5" customHeight="1" x14ac:dyDescent="0.7">
      <c r="A11" s="44">
        <v>8</v>
      </c>
      <c r="B11" s="69" t="str">
        <f t="shared" si="8"/>
        <v/>
      </c>
      <c r="C11" s="73" t="str">
        <f t="shared" si="0"/>
        <v/>
      </c>
      <c r="D11" s="69" t="str">
        <f t="shared" si="1"/>
        <v/>
      </c>
      <c r="E11" s="69" t="str">
        <f t="shared" si="2"/>
        <v/>
      </c>
      <c r="F11" s="69" t="str">
        <f t="shared" si="3"/>
        <v/>
      </c>
      <c r="G11" s="69" t="str">
        <f t="shared" si="4"/>
        <v/>
      </c>
      <c r="H11" s="69" t="str">
        <f t="shared" si="5"/>
        <v/>
      </c>
      <c r="I11" s="70"/>
      <c r="J11" s="71" t="str">
        <f t="shared" si="6"/>
        <v/>
      </c>
      <c r="K11" s="71" t="str">
        <f t="shared" si="7"/>
        <v/>
      </c>
    </row>
    <row r="12" spans="1:11" ht="82.5" customHeight="1" x14ac:dyDescent="0.7">
      <c r="A12" s="44">
        <v>9</v>
      </c>
      <c r="B12" s="69" t="str">
        <f t="shared" si="8"/>
        <v/>
      </c>
      <c r="C12" s="73" t="str">
        <f t="shared" si="0"/>
        <v/>
      </c>
      <c r="D12" s="69" t="str">
        <f t="shared" si="1"/>
        <v/>
      </c>
      <c r="E12" s="69" t="str">
        <f t="shared" si="2"/>
        <v/>
      </c>
      <c r="F12" s="69" t="str">
        <f t="shared" si="3"/>
        <v/>
      </c>
      <c r="G12" s="69" t="str">
        <f t="shared" si="4"/>
        <v/>
      </c>
      <c r="H12" s="69" t="str">
        <f t="shared" si="5"/>
        <v/>
      </c>
      <c r="I12" s="70"/>
      <c r="J12" s="71" t="str">
        <f t="shared" si="6"/>
        <v/>
      </c>
      <c r="K12" s="71" t="str">
        <f t="shared" si="7"/>
        <v/>
      </c>
    </row>
    <row r="13" spans="1:11" ht="82.5" customHeight="1" x14ac:dyDescent="0.7">
      <c r="A13" s="44">
        <v>10</v>
      </c>
      <c r="B13" s="69" t="str">
        <f t="shared" si="8"/>
        <v/>
      </c>
      <c r="C13" s="73" t="str">
        <f t="shared" si="0"/>
        <v/>
      </c>
      <c r="D13" s="69" t="str">
        <f t="shared" si="1"/>
        <v/>
      </c>
      <c r="E13" s="69" t="str">
        <f t="shared" si="2"/>
        <v/>
      </c>
      <c r="F13" s="69" t="str">
        <f t="shared" si="3"/>
        <v/>
      </c>
      <c r="G13" s="69" t="str">
        <f t="shared" si="4"/>
        <v/>
      </c>
      <c r="H13" s="69" t="str">
        <f t="shared" si="5"/>
        <v/>
      </c>
      <c r="I13" s="70"/>
      <c r="J13" s="71" t="str">
        <f t="shared" si="6"/>
        <v/>
      </c>
      <c r="K13" s="71" t="str">
        <f t="shared" si="7"/>
        <v/>
      </c>
    </row>
    <row r="14" spans="1:11" ht="82.5" customHeight="1" x14ac:dyDescent="0.7">
      <c r="A14" s="44">
        <v>11</v>
      </c>
      <c r="B14" s="69" t="str">
        <f t="shared" si="8"/>
        <v/>
      </c>
      <c r="C14" s="73" t="str">
        <f t="shared" si="0"/>
        <v/>
      </c>
      <c r="D14" s="69" t="str">
        <f t="shared" si="1"/>
        <v/>
      </c>
      <c r="E14" s="69" t="str">
        <f t="shared" si="2"/>
        <v/>
      </c>
      <c r="F14" s="69" t="str">
        <f t="shared" si="3"/>
        <v/>
      </c>
      <c r="G14" s="69" t="str">
        <f t="shared" si="4"/>
        <v/>
      </c>
      <c r="H14" s="69" t="str">
        <f t="shared" si="5"/>
        <v/>
      </c>
      <c r="I14" s="70"/>
      <c r="J14" s="71" t="str">
        <f t="shared" si="6"/>
        <v/>
      </c>
      <c r="K14" s="71" t="str">
        <f t="shared" si="7"/>
        <v/>
      </c>
    </row>
    <row r="15" spans="1:11" ht="82.5" customHeight="1" x14ac:dyDescent="0.7">
      <c r="A15" s="44">
        <v>12</v>
      </c>
      <c r="B15" s="69" t="str">
        <f t="shared" si="8"/>
        <v/>
      </c>
      <c r="C15" s="73" t="str">
        <f t="shared" si="0"/>
        <v/>
      </c>
      <c r="D15" s="69" t="str">
        <f t="shared" si="1"/>
        <v/>
      </c>
      <c r="E15" s="69" t="str">
        <f t="shared" si="2"/>
        <v/>
      </c>
      <c r="F15" s="69" t="str">
        <f t="shared" si="3"/>
        <v/>
      </c>
      <c r="G15" s="69" t="str">
        <f t="shared" si="4"/>
        <v/>
      </c>
      <c r="H15" s="69" t="str">
        <f t="shared" si="5"/>
        <v/>
      </c>
      <c r="I15" s="70"/>
      <c r="J15" s="71" t="str">
        <f t="shared" si="6"/>
        <v/>
      </c>
      <c r="K15" s="71" t="str">
        <f t="shared" si="7"/>
        <v/>
      </c>
    </row>
    <row r="16" spans="1:11" ht="82.5" customHeight="1" x14ac:dyDescent="0.7">
      <c r="A16" s="44">
        <v>13</v>
      </c>
      <c r="B16" s="69" t="str">
        <f t="shared" si="8"/>
        <v/>
      </c>
      <c r="C16" s="73" t="str">
        <f t="shared" si="0"/>
        <v/>
      </c>
      <c r="D16" s="69" t="str">
        <f t="shared" si="1"/>
        <v/>
      </c>
      <c r="E16" s="69" t="str">
        <f t="shared" si="2"/>
        <v/>
      </c>
      <c r="F16" s="69" t="str">
        <f t="shared" si="3"/>
        <v/>
      </c>
      <c r="G16" s="69" t="str">
        <f t="shared" si="4"/>
        <v/>
      </c>
      <c r="H16" s="69" t="str">
        <f t="shared" si="5"/>
        <v/>
      </c>
      <c r="I16" s="70"/>
      <c r="J16" s="71" t="str">
        <f t="shared" si="6"/>
        <v/>
      </c>
      <c r="K16" s="71" t="str">
        <f t="shared" si="7"/>
        <v/>
      </c>
    </row>
    <row r="17" spans="1:11" ht="82.5" customHeight="1" x14ac:dyDescent="0.7">
      <c r="A17" s="44">
        <v>14</v>
      </c>
      <c r="B17" s="69" t="str">
        <f t="shared" si="8"/>
        <v/>
      </c>
      <c r="C17" s="73" t="str">
        <f t="shared" si="0"/>
        <v/>
      </c>
      <c r="D17" s="69" t="str">
        <f t="shared" si="1"/>
        <v/>
      </c>
      <c r="E17" s="69" t="str">
        <f t="shared" si="2"/>
        <v/>
      </c>
      <c r="F17" s="69" t="str">
        <f t="shared" si="3"/>
        <v/>
      </c>
      <c r="G17" s="69" t="str">
        <f t="shared" si="4"/>
        <v/>
      </c>
      <c r="H17" s="69" t="str">
        <f t="shared" si="5"/>
        <v/>
      </c>
      <c r="I17" s="70"/>
      <c r="J17" s="71" t="str">
        <f t="shared" si="6"/>
        <v/>
      </c>
      <c r="K17" s="71" t="str">
        <f t="shared" si="7"/>
        <v/>
      </c>
    </row>
    <row r="18" spans="1:11" ht="82.5" customHeight="1" x14ac:dyDescent="0.7">
      <c r="A18" s="44">
        <v>15</v>
      </c>
      <c r="B18" s="69" t="str">
        <f t="shared" si="8"/>
        <v/>
      </c>
      <c r="C18" s="73" t="str">
        <f t="shared" si="0"/>
        <v/>
      </c>
      <c r="D18" s="69" t="str">
        <f t="shared" si="1"/>
        <v/>
      </c>
      <c r="E18" s="69" t="str">
        <f t="shared" si="2"/>
        <v/>
      </c>
      <c r="F18" s="69" t="str">
        <f t="shared" si="3"/>
        <v/>
      </c>
      <c r="G18" s="69" t="str">
        <f t="shared" si="4"/>
        <v/>
      </c>
      <c r="H18" s="69" t="str">
        <f t="shared" si="5"/>
        <v/>
      </c>
      <c r="I18" s="70"/>
      <c r="J18" s="71" t="str">
        <f t="shared" si="6"/>
        <v/>
      </c>
      <c r="K18" s="71" t="str">
        <f t="shared" si="7"/>
        <v/>
      </c>
    </row>
    <row r="19" spans="1:11" ht="82.5" customHeight="1" x14ac:dyDescent="0.7">
      <c r="A19" s="44">
        <v>16</v>
      </c>
      <c r="B19" s="69" t="str">
        <f t="shared" si="8"/>
        <v/>
      </c>
      <c r="C19" s="73" t="str">
        <f t="shared" si="0"/>
        <v/>
      </c>
      <c r="D19" s="69" t="str">
        <f t="shared" si="1"/>
        <v/>
      </c>
      <c r="E19" s="69" t="str">
        <f t="shared" si="2"/>
        <v/>
      </c>
      <c r="F19" s="69" t="str">
        <f t="shared" si="3"/>
        <v/>
      </c>
      <c r="G19" s="69" t="str">
        <f t="shared" si="4"/>
        <v/>
      </c>
      <c r="H19" s="69" t="str">
        <f t="shared" si="5"/>
        <v/>
      </c>
      <c r="I19" s="70"/>
      <c r="J19" s="71" t="str">
        <f t="shared" si="6"/>
        <v/>
      </c>
      <c r="K19" s="71" t="str">
        <f t="shared" si="7"/>
        <v/>
      </c>
    </row>
    <row r="20" spans="1:11" ht="82.5" customHeight="1" x14ac:dyDescent="0.7">
      <c r="A20" s="44">
        <v>17</v>
      </c>
      <c r="B20" s="69" t="str">
        <f t="shared" si="8"/>
        <v/>
      </c>
      <c r="C20" s="73" t="str">
        <f t="shared" si="0"/>
        <v/>
      </c>
      <c r="D20" s="69" t="str">
        <f t="shared" si="1"/>
        <v/>
      </c>
      <c r="E20" s="69" t="str">
        <f t="shared" si="2"/>
        <v/>
      </c>
      <c r="F20" s="69" t="str">
        <f t="shared" si="3"/>
        <v/>
      </c>
      <c r="G20" s="69" t="str">
        <f t="shared" si="4"/>
        <v/>
      </c>
      <c r="H20" s="69" t="str">
        <f t="shared" si="5"/>
        <v/>
      </c>
      <c r="I20" s="70"/>
      <c r="J20" s="71" t="str">
        <f t="shared" si="6"/>
        <v/>
      </c>
      <c r="K20" s="71" t="str">
        <f t="shared" si="7"/>
        <v/>
      </c>
    </row>
    <row r="21" spans="1:11" ht="82.5" customHeight="1" x14ac:dyDescent="0.7">
      <c r="A21" s="44">
        <v>18</v>
      </c>
      <c r="B21" s="69" t="str">
        <f t="shared" si="8"/>
        <v/>
      </c>
      <c r="C21" s="73" t="str">
        <f t="shared" si="0"/>
        <v/>
      </c>
      <c r="D21" s="69" t="str">
        <f t="shared" si="1"/>
        <v/>
      </c>
      <c r="E21" s="69" t="str">
        <f t="shared" si="2"/>
        <v/>
      </c>
      <c r="F21" s="69" t="str">
        <f t="shared" si="3"/>
        <v/>
      </c>
      <c r="G21" s="69" t="str">
        <f t="shared" si="4"/>
        <v/>
      </c>
      <c r="H21" s="69" t="str">
        <f t="shared" si="5"/>
        <v/>
      </c>
      <c r="I21" s="70"/>
      <c r="J21" s="71" t="str">
        <f t="shared" si="6"/>
        <v/>
      </c>
      <c r="K21" s="71" t="str">
        <f t="shared" si="7"/>
        <v/>
      </c>
    </row>
    <row r="22" spans="1:11" ht="82.5" customHeight="1" x14ac:dyDescent="0.7">
      <c r="A22" s="44">
        <v>19</v>
      </c>
      <c r="B22" s="69" t="str">
        <f t="shared" si="8"/>
        <v/>
      </c>
      <c r="C22" s="73" t="str">
        <f t="shared" si="0"/>
        <v/>
      </c>
      <c r="D22" s="69" t="str">
        <f t="shared" si="1"/>
        <v/>
      </c>
      <c r="E22" s="69" t="str">
        <f t="shared" si="2"/>
        <v/>
      </c>
      <c r="F22" s="69" t="str">
        <f t="shared" si="3"/>
        <v/>
      </c>
      <c r="G22" s="69" t="str">
        <f t="shared" si="4"/>
        <v/>
      </c>
      <c r="H22" s="69" t="str">
        <f t="shared" si="5"/>
        <v/>
      </c>
      <c r="I22" s="70"/>
      <c r="J22" s="71" t="str">
        <f t="shared" si="6"/>
        <v/>
      </c>
      <c r="K22" s="71" t="str">
        <f t="shared" si="7"/>
        <v/>
      </c>
    </row>
    <row r="23" spans="1:11" ht="82.5" customHeight="1" x14ac:dyDescent="0.7">
      <c r="A23" s="44">
        <v>20</v>
      </c>
      <c r="B23" s="69" t="str">
        <f t="shared" si="8"/>
        <v/>
      </c>
      <c r="C23" s="73" t="str">
        <f t="shared" si="0"/>
        <v/>
      </c>
      <c r="D23" s="69" t="str">
        <f t="shared" si="1"/>
        <v/>
      </c>
      <c r="E23" s="69" t="str">
        <f t="shared" si="2"/>
        <v/>
      </c>
      <c r="F23" s="69" t="str">
        <f t="shared" si="3"/>
        <v/>
      </c>
      <c r="G23" s="69" t="str">
        <f t="shared" si="4"/>
        <v/>
      </c>
      <c r="H23" s="69" t="str">
        <f t="shared" si="5"/>
        <v/>
      </c>
      <c r="I23" s="70"/>
      <c r="J23" s="71" t="str">
        <f t="shared" si="6"/>
        <v/>
      </c>
      <c r="K23" s="71" t="str">
        <f t="shared" si="7"/>
        <v/>
      </c>
    </row>
    <row r="24" spans="1:11" ht="82.5" customHeight="1" x14ac:dyDescent="0.7">
      <c r="A24" s="44">
        <v>21</v>
      </c>
      <c r="B24" s="69" t="str">
        <f t="shared" si="8"/>
        <v/>
      </c>
      <c r="C24" s="73" t="str">
        <f t="shared" si="0"/>
        <v/>
      </c>
      <c r="D24" s="69" t="str">
        <f t="shared" si="1"/>
        <v/>
      </c>
      <c r="E24" s="69" t="str">
        <f t="shared" si="2"/>
        <v/>
      </c>
      <c r="F24" s="69" t="str">
        <f t="shared" si="3"/>
        <v/>
      </c>
      <c r="G24" s="69" t="str">
        <f t="shared" si="4"/>
        <v/>
      </c>
      <c r="H24" s="69" t="str">
        <f t="shared" si="5"/>
        <v/>
      </c>
      <c r="I24" s="70"/>
      <c r="J24" s="71" t="str">
        <f t="shared" si="6"/>
        <v/>
      </c>
      <c r="K24" s="71" t="str">
        <f t="shared" si="7"/>
        <v/>
      </c>
    </row>
    <row r="25" spans="1:11" ht="82.5" customHeight="1" x14ac:dyDescent="0.7">
      <c r="A25" s="44">
        <v>22</v>
      </c>
      <c r="B25" s="69" t="str">
        <f t="shared" si="8"/>
        <v/>
      </c>
      <c r="C25" s="73" t="str">
        <f t="shared" si="0"/>
        <v/>
      </c>
      <c r="D25" s="69" t="str">
        <f t="shared" si="1"/>
        <v/>
      </c>
      <c r="E25" s="69" t="str">
        <f t="shared" si="2"/>
        <v/>
      </c>
      <c r="F25" s="69" t="str">
        <f t="shared" si="3"/>
        <v/>
      </c>
      <c r="G25" s="69" t="str">
        <f t="shared" si="4"/>
        <v/>
      </c>
      <c r="H25" s="69" t="str">
        <f t="shared" si="5"/>
        <v/>
      </c>
      <c r="I25" s="70"/>
      <c r="J25" s="71" t="str">
        <f t="shared" si="6"/>
        <v/>
      </c>
      <c r="K25" s="71" t="str">
        <f t="shared" si="7"/>
        <v/>
      </c>
    </row>
    <row r="26" spans="1:11" ht="82.5" customHeight="1" x14ac:dyDescent="0.7">
      <c r="A26" s="44">
        <v>23</v>
      </c>
      <c r="B26" s="69" t="str">
        <f t="shared" si="8"/>
        <v/>
      </c>
      <c r="C26" s="73" t="str">
        <f t="shared" si="0"/>
        <v/>
      </c>
      <c r="D26" s="69" t="str">
        <f t="shared" si="1"/>
        <v/>
      </c>
      <c r="E26" s="69" t="str">
        <f t="shared" si="2"/>
        <v/>
      </c>
      <c r="F26" s="69" t="str">
        <f t="shared" si="3"/>
        <v/>
      </c>
      <c r="G26" s="69" t="str">
        <f t="shared" si="4"/>
        <v/>
      </c>
      <c r="H26" s="69" t="str">
        <f t="shared" si="5"/>
        <v/>
      </c>
      <c r="I26" s="70"/>
      <c r="J26" s="71" t="str">
        <f t="shared" si="6"/>
        <v/>
      </c>
      <c r="K26" s="71" t="str">
        <f t="shared" si="7"/>
        <v/>
      </c>
    </row>
    <row r="27" spans="1:11" ht="82.5" customHeight="1" x14ac:dyDescent="0.7">
      <c r="A27" s="44">
        <v>24</v>
      </c>
      <c r="B27" s="69" t="str">
        <f t="shared" si="8"/>
        <v/>
      </c>
      <c r="C27" s="73" t="str">
        <f t="shared" si="0"/>
        <v/>
      </c>
      <c r="D27" s="69" t="str">
        <f t="shared" si="1"/>
        <v/>
      </c>
      <c r="E27" s="69" t="str">
        <f t="shared" si="2"/>
        <v/>
      </c>
      <c r="F27" s="69" t="str">
        <f t="shared" si="3"/>
        <v/>
      </c>
      <c r="G27" s="69" t="str">
        <f t="shared" si="4"/>
        <v/>
      </c>
      <c r="H27" s="69" t="str">
        <f t="shared" si="5"/>
        <v/>
      </c>
      <c r="I27" s="70"/>
      <c r="J27" s="71" t="str">
        <f t="shared" si="6"/>
        <v/>
      </c>
      <c r="K27" s="71" t="str">
        <f t="shared" si="7"/>
        <v/>
      </c>
    </row>
    <row r="28" spans="1:11" ht="82.5" customHeight="1" x14ac:dyDescent="0.7">
      <c r="A28" s="44">
        <v>25</v>
      </c>
      <c r="B28" s="69" t="str">
        <f t="shared" si="8"/>
        <v/>
      </c>
      <c r="C28" s="73" t="str">
        <f t="shared" si="0"/>
        <v/>
      </c>
      <c r="D28" s="69" t="str">
        <f t="shared" si="1"/>
        <v/>
      </c>
      <c r="E28" s="69" t="str">
        <f t="shared" si="2"/>
        <v/>
      </c>
      <c r="F28" s="69" t="str">
        <f t="shared" si="3"/>
        <v/>
      </c>
      <c r="G28" s="69" t="str">
        <f t="shared" si="4"/>
        <v/>
      </c>
      <c r="H28" s="69" t="str">
        <f t="shared" si="5"/>
        <v/>
      </c>
      <c r="I28" s="70"/>
      <c r="J28" s="71" t="str">
        <f t="shared" si="6"/>
        <v/>
      </c>
      <c r="K28" s="71" t="str">
        <f t="shared" si="7"/>
        <v/>
      </c>
    </row>
    <row r="29" spans="1:11" ht="82.5" customHeight="1" x14ac:dyDescent="0.7">
      <c r="A29" s="44">
        <v>26</v>
      </c>
      <c r="B29" s="69" t="str">
        <f t="shared" si="8"/>
        <v/>
      </c>
      <c r="C29" s="73" t="str">
        <f t="shared" si="0"/>
        <v/>
      </c>
      <c r="D29" s="69" t="str">
        <f t="shared" si="1"/>
        <v/>
      </c>
      <c r="E29" s="69" t="str">
        <f t="shared" si="2"/>
        <v/>
      </c>
      <c r="F29" s="69" t="str">
        <f t="shared" si="3"/>
        <v/>
      </c>
      <c r="G29" s="69" t="str">
        <f t="shared" si="4"/>
        <v/>
      </c>
      <c r="H29" s="69" t="str">
        <f t="shared" si="5"/>
        <v/>
      </c>
      <c r="I29" s="70"/>
      <c r="J29" s="71" t="str">
        <f t="shared" si="6"/>
        <v/>
      </c>
      <c r="K29" s="71" t="str">
        <f t="shared" si="7"/>
        <v/>
      </c>
    </row>
    <row r="30" spans="1:11" ht="82.5" customHeight="1" x14ac:dyDescent="0.7">
      <c r="A30" s="44">
        <v>27</v>
      </c>
      <c r="B30" s="69" t="str">
        <f t="shared" si="8"/>
        <v/>
      </c>
      <c r="C30" s="73" t="str">
        <f t="shared" si="0"/>
        <v/>
      </c>
      <c r="D30" s="69" t="str">
        <f t="shared" si="1"/>
        <v/>
      </c>
      <c r="E30" s="69" t="str">
        <f t="shared" si="2"/>
        <v/>
      </c>
      <c r="F30" s="69" t="str">
        <f t="shared" si="3"/>
        <v/>
      </c>
      <c r="G30" s="69" t="str">
        <f t="shared" si="4"/>
        <v/>
      </c>
      <c r="H30" s="69" t="str">
        <f t="shared" si="5"/>
        <v/>
      </c>
      <c r="I30" s="70"/>
      <c r="J30" s="71" t="str">
        <f t="shared" si="6"/>
        <v/>
      </c>
      <c r="K30" s="71" t="str">
        <f t="shared" si="7"/>
        <v/>
      </c>
    </row>
    <row r="31" spans="1:11" ht="82.5" customHeight="1" x14ac:dyDescent="0.7">
      <c r="A31" s="44">
        <v>28</v>
      </c>
      <c r="B31" s="69" t="str">
        <f t="shared" si="8"/>
        <v/>
      </c>
      <c r="C31" s="73" t="str">
        <f t="shared" si="0"/>
        <v/>
      </c>
      <c r="D31" s="69" t="str">
        <f t="shared" si="1"/>
        <v/>
      </c>
      <c r="E31" s="69" t="str">
        <f t="shared" si="2"/>
        <v/>
      </c>
      <c r="F31" s="69" t="str">
        <f t="shared" si="3"/>
        <v/>
      </c>
      <c r="G31" s="69" t="str">
        <f t="shared" si="4"/>
        <v/>
      </c>
      <c r="H31" s="69" t="str">
        <f t="shared" si="5"/>
        <v/>
      </c>
      <c r="I31" s="70"/>
      <c r="J31" s="71" t="str">
        <f t="shared" si="6"/>
        <v/>
      </c>
      <c r="K31" s="71" t="str">
        <f t="shared" si="7"/>
        <v/>
      </c>
    </row>
    <row r="32" spans="1:11" ht="82.5" customHeight="1" x14ac:dyDescent="0.7">
      <c r="A32" s="44">
        <v>29</v>
      </c>
      <c r="B32" s="69" t="str">
        <f t="shared" si="8"/>
        <v/>
      </c>
      <c r="C32" s="73" t="str">
        <f t="shared" si="0"/>
        <v/>
      </c>
      <c r="D32" s="69" t="str">
        <f t="shared" si="1"/>
        <v/>
      </c>
      <c r="E32" s="69" t="str">
        <f t="shared" si="2"/>
        <v/>
      </c>
      <c r="F32" s="69" t="str">
        <f t="shared" si="3"/>
        <v/>
      </c>
      <c r="G32" s="69" t="str">
        <f t="shared" si="4"/>
        <v/>
      </c>
      <c r="H32" s="69" t="str">
        <f t="shared" si="5"/>
        <v/>
      </c>
      <c r="I32" s="70"/>
      <c r="J32" s="71" t="str">
        <f t="shared" si="6"/>
        <v/>
      </c>
      <c r="K32" s="71" t="str">
        <f t="shared" si="7"/>
        <v/>
      </c>
    </row>
    <row r="33" spans="1:11" ht="82.5" customHeight="1" x14ac:dyDescent="0.7">
      <c r="A33" s="44">
        <v>30</v>
      </c>
      <c r="B33" s="69" t="str">
        <f t="shared" si="8"/>
        <v/>
      </c>
      <c r="C33" s="73" t="str">
        <f t="shared" si="0"/>
        <v/>
      </c>
      <c r="D33" s="69" t="str">
        <f t="shared" si="1"/>
        <v/>
      </c>
      <c r="E33" s="69" t="str">
        <f t="shared" si="2"/>
        <v/>
      </c>
      <c r="F33" s="69" t="str">
        <f t="shared" si="3"/>
        <v/>
      </c>
      <c r="G33" s="69" t="str">
        <f t="shared" si="4"/>
        <v/>
      </c>
      <c r="H33" s="69" t="str">
        <f t="shared" si="5"/>
        <v/>
      </c>
      <c r="I33" s="70"/>
      <c r="J33" s="71" t="str">
        <f t="shared" si="6"/>
        <v/>
      </c>
      <c r="K33" s="71" t="str">
        <f t="shared" si="7"/>
        <v/>
      </c>
    </row>
    <row r="34" spans="1:11" ht="82.5" customHeight="1" x14ac:dyDescent="0.7">
      <c r="A34" s="44">
        <v>31</v>
      </c>
      <c r="B34" s="69" t="str">
        <f t="shared" si="8"/>
        <v/>
      </c>
      <c r="C34" s="73" t="str">
        <f t="shared" si="0"/>
        <v/>
      </c>
      <c r="D34" s="69" t="str">
        <f t="shared" si="1"/>
        <v/>
      </c>
      <c r="E34" s="69" t="str">
        <f t="shared" si="2"/>
        <v/>
      </c>
      <c r="F34" s="69" t="str">
        <f t="shared" si="3"/>
        <v/>
      </c>
      <c r="G34" s="69" t="str">
        <f t="shared" si="4"/>
        <v/>
      </c>
      <c r="H34" s="69" t="str">
        <f t="shared" si="5"/>
        <v/>
      </c>
      <c r="I34" s="70"/>
      <c r="J34" s="71" t="str">
        <f t="shared" si="6"/>
        <v/>
      </c>
      <c r="K34" s="71" t="str">
        <f t="shared" si="7"/>
        <v/>
      </c>
    </row>
    <row r="35" spans="1:11" ht="82.5" customHeight="1" x14ac:dyDescent="0.7">
      <c r="A35" s="44">
        <v>32</v>
      </c>
      <c r="B35" s="69" t="str">
        <f t="shared" si="8"/>
        <v/>
      </c>
      <c r="C35" s="73" t="str">
        <f t="shared" si="0"/>
        <v/>
      </c>
      <c r="D35" s="69" t="str">
        <f t="shared" si="1"/>
        <v/>
      </c>
      <c r="E35" s="69" t="str">
        <f t="shared" si="2"/>
        <v/>
      </c>
      <c r="F35" s="69" t="str">
        <f t="shared" si="3"/>
        <v/>
      </c>
      <c r="G35" s="69" t="str">
        <f t="shared" si="4"/>
        <v/>
      </c>
      <c r="H35" s="69" t="str">
        <f t="shared" si="5"/>
        <v/>
      </c>
      <c r="I35" s="70"/>
      <c r="J35" s="71" t="str">
        <f t="shared" si="6"/>
        <v/>
      </c>
      <c r="K35" s="71" t="str">
        <f t="shared" si="7"/>
        <v/>
      </c>
    </row>
    <row r="36" spans="1:11" ht="82.5" customHeight="1" x14ac:dyDescent="0.7">
      <c r="A36" s="44">
        <v>33</v>
      </c>
      <c r="B36" s="69" t="str">
        <f t="shared" si="8"/>
        <v/>
      </c>
      <c r="C36" s="73" t="str">
        <f t="shared" si="0"/>
        <v/>
      </c>
      <c r="D36" s="69" t="str">
        <f t="shared" si="1"/>
        <v/>
      </c>
      <c r="E36" s="69" t="str">
        <f t="shared" si="2"/>
        <v/>
      </c>
      <c r="F36" s="69" t="str">
        <f t="shared" si="3"/>
        <v/>
      </c>
      <c r="G36" s="69" t="str">
        <f t="shared" si="4"/>
        <v/>
      </c>
      <c r="H36" s="69" t="str">
        <f t="shared" si="5"/>
        <v/>
      </c>
      <c r="I36" s="70"/>
      <c r="J36" s="71" t="str">
        <f t="shared" si="6"/>
        <v/>
      </c>
      <c r="K36" s="71" t="str">
        <f t="shared" si="7"/>
        <v/>
      </c>
    </row>
    <row r="37" spans="1:11" ht="82.5" customHeight="1" x14ac:dyDescent="0.7">
      <c r="A37" s="44">
        <v>34</v>
      </c>
      <c r="B37" s="69" t="str">
        <f t="shared" si="8"/>
        <v/>
      </c>
      <c r="C37" s="73" t="str">
        <f t="shared" si="0"/>
        <v/>
      </c>
      <c r="D37" s="69" t="str">
        <f t="shared" si="1"/>
        <v/>
      </c>
      <c r="E37" s="69" t="str">
        <f t="shared" si="2"/>
        <v/>
      </c>
      <c r="F37" s="69" t="str">
        <f t="shared" si="3"/>
        <v/>
      </c>
      <c r="G37" s="69" t="str">
        <f t="shared" si="4"/>
        <v/>
      </c>
      <c r="H37" s="69" t="str">
        <f t="shared" si="5"/>
        <v/>
      </c>
      <c r="I37" s="70"/>
      <c r="J37" s="71" t="str">
        <f t="shared" si="6"/>
        <v/>
      </c>
      <c r="K37" s="71" t="str">
        <f t="shared" si="7"/>
        <v/>
      </c>
    </row>
    <row r="38" spans="1:11" ht="82.5" customHeight="1" x14ac:dyDescent="0.7">
      <c r="A38" s="44">
        <v>35</v>
      </c>
      <c r="B38" s="69" t="str">
        <f t="shared" si="8"/>
        <v/>
      </c>
      <c r="C38" s="73" t="str">
        <f t="shared" si="0"/>
        <v/>
      </c>
      <c r="D38" s="69" t="str">
        <f t="shared" si="1"/>
        <v/>
      </c>
      <c r="E38" s="69" t="str">
        <f t="shared" si="2"/>
        <v/>
      </c>
      <c r="F38" s="69" t="str">
        <f t="shared" si="3"/>
        <v/>
      </c>
      <c r="G38" s="69" t="str">
        <f t="shared" si="4"/>
        <v/>
      </c>
      <c r="H38" s="69" t="str">
        <f t="shared" si="5"/>
        <v/>
      </c>
      <c r="I38" s="70"/>
      <c r="J38" s="71" t="str">
        <f t="shared" si="6"/>
        <v/>
      </c>
      <c r="K38" s="71" t="str">
        <f t="shared" si="7"/>
        <v/>
      </c>
    </row>
    <row r="39" spans="1:11" ht="82.5" customHeight="1" x14ac:dyDescent="0.7">
      <c r="A39" s="44">
        <v>36</v>
      </c>
      <c r="B39" s="69" t="str">
        <f t="shared" si="8"/>
        <v/>
      </c>
      <c r="C39" s="73" t="str">
        <f t="shared" si="0"/>
        <v/>
      </c>
      <c r="D39" s="69" t="str">
        <f t="shared" si="1"/>
        <v/>
      </c>
      <c r="E39" s="69" t="str">
        <f t="shared" si="2"/>
        <v/>
      </c>
      <c r="F39" s="69" t="str">
        <f t="shared" si="3"/>
        <v/>
      </c>
      <c r="G39" s="69" t="str">
        <f t="shared" si="4"/>
        <v/>
      </c>
      <c r="H39" s="69" t="str">
        <f t="shared" si="5"/>
        <v/>
      </c>
      <c r="I39" s="70"/>
      <c r="J39" s="71" t="str">
        <f t="shared" si="6"/>
        <v/>
      </c>
      <c r="K39" s="71" t="str">
        <f t="shared" si="7"/>
        <v/>
      </c>
    </row>
    <row r="40" spans="1:11" ht="82.5" customHeight="1" x14ac:dyDescent="0.7">
      <c r="A40" s="44">
        <v>37</v>
      </c>
      <c r="B40" s="69" t="str">
        <f t="shared" si="8"/>
        <v/>
      </c>
      <c r="C40" s="73" t="str">
        <f t="shared" si="0"/>
        <v/>
      </c>
      <c r="D40" s="69" t="str">
        <f t="shared" si="1"/>
        <v/>
      </c>
      <c r="E40" s="69" t="str">
        <f t="shared" si="2"/>
        <v/>
      </c>
      <c r="F40" s="69" t="str">
        <f t="shared" si="3"/>
        <v/>
      </c>
      <c r="G40" s="69" t="str">
        <f t="shared" si="4"/>
        <v/>
      </c>
      <c r="H40" s="69" t="str">
        <f t="shared" si="5"/>
        <v/>
      </c>
      <c r="I40" s="70"/>
      <c r="J40" s="71" t="str">
        <f t="shared" si="6"/>
        <v/>
      </c>
      <c r="K40" s="71" t="str">
        <f t="shared" si="7"/>
        <v/>
      </c>
    </row>
    <row r="41" spans="1:11" ht="82.5" customHeight="1" x14ac:dyDescent="0.7">
      <c r="A41" s="44">
        <v>38</v>
      </c>
      <c r="B41" s="69" t="str">
        <f t="shared" si="8"/>
        <v/>
      </c>
      <c r="C41" s="73" t="str">
        <f t="shared" si="0"/>
        <v/>
      </c>
      <c r="D41" s="69" t="str">
        <f t="shared" si="1"/>
        <v/>
      </c>
      <c r="E41" s="69" t="str">
        <f t="shared" si="2"/>
        <v/>
      </c>
      <c r="F41" s="69" t="str">
        <f t="shared" si="3"/>
        <v/>
      </c>
      <c r="G41" s="69" t="str">
        <f t="shared" si="4"/>
        <v/>
      </c>
      <c r="H41" s="69" t="str">
        <f t="shared" si="5"/>
        <v/>
      </c>
      <c r="I41" s="70"/>
      <c r="J41" s="71" t="str">
        <f t="shared" si="6"/>
        <v/>
      </c>
      <c r="K41" s="71" t="str">
        <f t="shared" si="7"/>
        <v/>
      </c>
    </row>
    <row r="42" spans="1:11" ht="82.5" customHeight="1" x14ac:dyDescent="0.7">
      <c r="A42" s="44">
        <v>39</v>
      </c>
      <c r="B42" s="69" t="str">
        <f t="shared" si="8"/>
        <v/>
      </c>
      <c r="C42" s="73" t="str">
        <f t="shared" si="0"/>
        <v/>
      </c>
      <c r="D42" s="69" t="str">
        <f t="shared" si="1"/>
        <v/>
      </c>
      <c r="E42" s="69" t="str">
        <f t="shared" si="2"/>
        <v/>
      </c>
      <c r="F42" s="69" t="str">
        <f t="shared" si="3"/>
        <v/>
      </c>
      <c r="G42" s="69" t="str">
        <f t="shared" si="4"/>
        <v/>
      </c>
      <c r="H42" s="69" t="str">
        <f t="shared" si="5"/>
        <v/>
      </c>
      <c r="I42" s="70"/>
      <c r="J42" s="71" t="str">
        <f t="shared" si="6"/>
        <v/>
      </c>
      <c r="K42" s="71" t="str">
        <f t="shared" si="7"/>
        <v/>
      </c>
    </row>
    <row r="43" spans="1:11" ht="82.5" customHeight="1" x14ac:dyDescent="0.7">
      <c r="A43" s="44">
        <v>40</v>
      </c>
      <c r="B43" s="69" t="str">
        <f t="shared" si="8"/>
        <v/>
      </c>
      <c r="C43" s="73" t="str">
        <f t="shared" si="0"/>
        <v/>
      </c>
      <c r="D43" s="69" t="str">
        <f t="shared" si="1"/>
        <v/>
      </c>
      <c r="E43" s="69" t="str">
        <f t="shared" si="2"/>
        <v/>
      </c>
      <c r="F43" s="69" t="str">
        <f t="shared" si="3"/>
        <v/>
      </c>
      <c r="G43" s="69" t="str">
        <f t="shared" si="4"/>
        <v/>
      </c>
      <c r="H43" s="69" t="str">
        <f t="shared" si="5"/>
        <v/>
      </c>
      <c r="I43" s="70"/>
      <c r="J43" s="71" t="str">
        <f t="shared" si="6"/>
        <v/>
      </c>
      <c r="K43" s="71" t="str">
        <f t="shared" si="7"/>
        <v/>
      </c>
    </row>
    <row r="44" spans="1:11" ht="82.5" customHeight="1" x14ac:dyDescent="0.7">
      <c r="A44" s="44">
        <v>41</v>
      </c>
      <c r="B44" s="69" t="str">
        <f t="shared" si="8"/>
        <v/>
      </c>
      <c r="C44" s="73" t="str">
        <f t="shared" si="0"/>
        <v/>
      </c>
      <c r="D44" s="69" t="str">
        <f t="shared" si="1"/>
        <v/>
      </c>
      <c r="E44" s="69" t="str">
        <f t="shared" si="2"/>
        <v/>
      </c>
      <c r="F44" s="69" t="str">
        <f t="shared" si="3"/>
        <v/>
      </c>
      <c r="G44" s="69" t="str">
        <f t="shared" si="4"/>
        <v/>
      </c>
      <c r="H44" s="69" t="str">
        <f t="shared" si="5"/>
        <v/>
      </c>
      <c r="I44" s="70"/>
      <c r="J44" s="71" t="str">
        <f t="shared" si="6"/>
        <v/>
      </c>
      <c r="K44" s="71" t="str">
        <f t="shared" si="7"/>
        <v/>
      </c>
    </row>
    <row r="45" spans="1:11" ht="82.5" customHeight="1" x14ac:dyDescent="0.7">
      <c r="A45" s="44">
        <v>42</v>
      </c>
      <c r="B45" s="69" t="str">
        <f t="shared" si="8"/>
        <v/>
      </c>
      <c r="C45" s="73" t="str">
        <f t="shared" si="0"/>
        <v/>
      </c>
      <c r="D45" s="69" t="str">
        <f t="shared" si="1"/>
        <v/>
      </c>
      <c r="E45" s="69" t="str">
        <f t="shared" si="2"/>
        <v/>
      </c>
      <c r="F45" s="69" t="str">
        <f t="shared" si="3"/>
        <v/>
      </c>
      <c r="G45" s="69" t="str">
        <f t="shared" si="4"/>
        <v/>
      </c>
      <c r="H45" s="69" t="str">
        <f t="shared" si="5"/>
        <v/>
      </c>
      <c r="I45" s="70"/>
      <c r="J45" s="71" t="str">
        <f t="shared" si="6"/>
        <v/>
      </c>
      <c r="K45" s="71" t="str">
        <f t="shared" si="7"/>
        <v/>
      </c>
    </row>
    <row r="46" spans="1:11" ht="82.5" customHeight="1" x14ac:dyDescent="0.7">
      <c r="A46" s="44">
        <v>43</v>
      </c>
      <c r="B46" s="69" t="str">
        <f t="shared" si="8"/>
        <v/>
      </c>
      <c r="C46" s="73" t="str">
        <f t="shared" si="0"/>
        <v/>
      </c>
      <c r="D46" s="69" t="str">
        <f t="shared" si="1"/>
        <v/>
      </c>
      <c r="E46" s="69" t="str">
        <f t="shared" si="2"/>
        <v/>
      </c>
      <c r="F46" s="69" t="str">
        <f t="shared" si="3"/>
        <v/>
      </c>
      <c r="G46" s="69" t="str">
        <f t="shared" si="4"/>
        <v/>
      </c>
      <c r="H46" s="69" t="str">
        <f t="shared" si="5"/>
        <v/>
      </c>
      <c r="I46" s="70"/>
      <c r="J46" s="71" t="str">
        <f t="shared" si="6"/>
        <v/>
      </c>
      <c r="K46" s="71" t="str">
        <f t="shared" si="7"/>
        <v/>
      </c>
    </row>
    <row r="47" spans="1:11" ht="82.5" customHeight="1" x14ac:dyDescent="0.7">
      <c r="A47" s="44">
        <v>44</v>
      </c>
      <c r="B47" s="69" t="str">
        <f t="shared" si="8"/>
        <v/>
      </c>
      <c r="C47" s="73" t="str">
        <f t="shared" si="0"/>
        <v/>
      </c>
      <c r="D47" s="69" t="str">
        <f t="shared" si="1"/>
        <v/>
      </c>
      <c r="E47" s="69" t="str">
        <f t="shared" si="2"/>
        <v/>
      </c>
      <c r="F47" s="69" t="str">
        <f t="shared" si="3"/>
        <v/>
      </c>
      <c r="G47" s="69" t="str">
        <f t="shared" si="4"/>
        <v/>
      </c>
      <c r="H47" s="69" t="str">
        <f t="shared" si="5"/>
        <v/>
      </c>
      <c r="I47" s="70"/>
      <c r="J47" s="71" t="str">
        <f t="shared" si="6"/>
        <v/>
      </c>
      <c r="K47" s="71" t="str">
        <f t="shared" si="7"/>
        <v/>
      </c>
    </row>
    <row r="48" spans="1:11" ht="82.5" customHeight="1" x14ac:dyDescent="0.7">
      <c r="A48" s="44">
        <v>45</v>
      </c>
      <c r="B48" s="69" t="str">
        <f t="shared" si="8"/>
        <v/>
      </c>
      <c r="C48" s="73" t="str">
        <f t="shared" si="0"/>
        <v/>
      </c>
      <c r="D48" s="69" t="str">
        <f t="shared" si="1"/>
        <v/>
      </c>
      <c r="E48" s="69" t="str">
        <f t="shared" si="2"/>
        <v/>
      </c>
      <c r="F48" s="69" t="str">
        <f t="shared" si="3"/>
        <v/>
      </c>
      <c r="G48" s="69" t="str">
        <f t="shared" si="4"/>
        <v/>
      </c>
      <c r="H48" s="69" t="str">
        <f t="shared" si="5"/>
        <v/>
      </c>
      <c r="I48" s="70"/>
      <c r="J48" s="71" t="str">
        <f t="shared" si="6"/>
        <v/>
      </c>
      <c r="K48" s="71" t="str">
        <f t="shared" si="7"/>
        <v/>
      </c>
    </row>
    <row r="49" spans="1:11" ht="82.5" customHeight="1" x14ac:dyDescent="0.7">
      <c r="A49" s="44">
        <v>46</v>
      </c>
      <c r="B49" s="69" t="str">
        <f t="shared" si="8"/>
        <v/>
      </c>
      <c r="C49" s="73" t="str">
        <f t="shared" si="0"/>
        <v/>
      </c>
      <c r="D49" s="69" t="str">
        <f t="shared" si="1"/>
        <v/>
      </c>
      <c r="E49" s="69" t="str">
        <f t="shared" si="2"/>
        <v/>
      </c>
      <c r="F49" s="69" t="str">
        <f t="shared" si="3"/>
        <v/>
      </c>
      <c r="G49" s="69" t="str">
        <f t="shared" si="4"/>
        <v/>
      </c>
      <c r="H49" s="69" t="str">
        <f t="shared" si="5"/>
        <v/>
      </c>
      <c r="I49" s="70"/>
      <c r="J49" s="71" t="str">
        <f t="shared" si="6"/>
        <v/>
      </c>
      <c r="K49" s="71" t="str">
        <f t="shared" si="7"/>
        <v/>
      </c>
    </row>
    <row r="50" spans="1:11" ht="82.5" customHeight="1" x14ac:dyDescent="0.7">
      <c r="A50" s="44">
        <v>47</v>
      </c>
      <c r="B50" s="69" t="str">
        <f t="shared" si="8"/>
        <v/>
      </c>
      <c r="C50" s="73" t="str">
        <f t="shared" si="0"/>
        <v/>
      </c>
      <c r="D50" s="69" t="str">
        <f t="shared" si="1"/>
        <v/>
      </c>
      <c r="E50" s="69" t="str">
        <f t="shared" si="2"/>
        <v/>
      </c>
      <c r="F50" s="69" t="str">
        <f t="shared" si="3"/>
        <v/>
      </c>
      <c r="G50" s="69" t="str">
        <f t="shared" si="4"/>
        <v/>
      </c>
      <c r="H50" s="69" t="str">
        <f t="shared" si="5"/>
        <v/>
      </c>
      <c r="I50" s="70"/>
      <c r="J50" s="71" t="str">
        <f t="shared" si="6"/>
        <v/>
      </c>
      <c r="K50" s="71" t="str">
        <f t="shared" si="7"/>
        <v/>
      </c>
    </row>
    <row r="51" spans="1:11" ht="82.5" customHeight="1" x14ac:dyDescent="0.7">
      <c r="A51" s="44">
        <v>48</v>
      </c>
      <c r="B51" s="69" t="str">
        <f t="shared" si="8"/>
        <v/>
      </c>
      <c r="C51" s="73" t="str">
        <f t="shared" si="0"/>
        <v/>
      </c>
      <c r="D51" s="69" t="str">
        <f t="shared" si="1"/>
        <v/>
      </c>
      <c r="E51" s="69" t="str">
        <f t="shared" si="2"/>
        <v/>
      </c>
      <c r="F51" s="69" t="str">
        <f t="shared" si="3"/>
        <v/>
      </c>
      <c r="G51" s="69" t="str">
        <f t="shared" si="4"/>
        <v/>
      </c>
      <c r="H51" s="69" t="str">
        <f t="shared" si="5"/>
        <v/>
      </c>
      <c r="I51" s="70"/>
      <c r="J51" s="71" t="str">
        <f t="shared" si="6"/>
        <v/>
      </c>
      <c r="K51" s="71" t="str">
        <f t="shared" si="7"/>
        <v/>
      </c>
    </row>
    <row r="52" spans="1:11" ht="82.5" customHeight="1" x14ac:dyDescent="0.7">
      <c r="A52" s="44">
        <v>49</v>
      </c>
      <c r="B52" s="69" t="str">
        <f t="shared" si="8"/>
        <v/>
      </c>
      <c r="C52" s="73" t="str">
        <f t="shared" si="0"/>
        <v/>
      </c>
      <c r="D52" s="69" t="str">
        <f t="shared" si="1"/>
        <v/>
      </c>
      <c r="E52" s="69" t="str">
        <f t="shared" si="2"/>
        <v/>
      </c>
      <c r="F52" s="69" t="str">
        <f t="shared" si="3"/>
        <v/>
      </c>
      <c r="G52" s="69" t="str">
        <f t="shared" si="4"/>
        <v/>
      </c>
      <c r="H52" s="69" t="str">
        <f t="shared" si="5"/>
        <v/>
      </c>
      <c r="I52" s="70"/>
      <c r="J52" s="71" t="str">
        <f t="shared" si="6"/>
        <v/>
      </c>
      <c r="K52" s="71" t="str">
        <f t="shared" si="7"/>
        <v/>
      </c>
    </row>
    <row r="53" spans="1:11" ht="82.5" customHeight="1" x14ac:dyDescent="0.7">
      <c r="A53" s="44">
        <v>50</v>
      </c>
      <c r="B53" s="69" t="str">
        <f t="shared" si="8"/>
        <v/>
      </c>
      <c r="C53" s="73" t="str">
        <f t="shared" si="0"/>
        <v/>
      </c>
      <c r="D53" s="69" t="str">
        <f t="shared" si="1"/>
        <v/>
      </c>
      <c r="E53" s="69" t="str">
        <f t="shared" si="2"/>
        <v/>
      </c>
      <c r="F53" s="69" t="str">
        <f t="shared" si="3"/>
        <v/>
      </c>
      <c r="G53" s="69" t="str">
        <f t="shared" si="4"/>
        <v/>
      </c>
      <c r="H53" s="69" t="str">
        <f t="shared" si="5"/>
        <v/>
      </c>
      <c r="I53" s="70"/>
      <c r="J53" s="71" t="str">
        <f t="shared" si="6"/>
        <v/>
      </c>
      <c r="K53" s="71" t="str">
        <f t="shared" si="7"/>
        <v/>
      </c>
    </row>
    <row r="54" spans="1:11" ht="82.5" customHeight="1" x14ac:dyDescent="0.7">
      <c r="A54" s="44">
        <v>51</v>
      </c>
      <c r="B54" s="69" t="str">
        <f t="shared" si="8"/>
        <v/>
      </c>
      <c r="C54" s="73" t="str">
        <f t="shared" si="0"/>
        <v/>
      </c>
      <c r="D54" s="69" t="str">
        <f t="shared" si="1"/>
        <v/>
      </c>
      <c r="E54" s="69" t="str">
        <f t="shared" si="2"/>
        <v/>
      </c>
      <c r="F54" s="69" t="str">
        <f t="shared" si="3"/>
        <v/>
      </c>
      <c r="G54" s="69" t="str">
        <f t="shared" si="4"/>
        <v/>
      </c>
      <c r="H54" s="69" t="str">
        <f t="shared" si="5"/>
        <v/>
      </c>
      <c r="I54" s="70"/>
      <c r="J54" s="71" t="str">
        <f t="shared" si="6"/>
        <v/>
      </c>
      <c r="K54" s="71" t="str">
        <f t="shared" si="7"/>
        <v/>
      </c>
    </row>
    <row r="55" spans="1:11" ht="82.5" customHeight="1" x14ac:dyDescent="0.7">
      <c r="A55" s="44">
        <v>52</v>
      </c>
      <c r="B55" s="69" t="str">
        <f t="shared" si="8"/>
        <v/>
      </c>
      <c r="C55" s="73" t="str">
        <f t="shared" si="0"/>
        <v/>
      </c>
      <c r="D55" s="69" t="str">
        <f t="shared" si="1"/>
        <v/>
      </c>
      <c r="E55" s="69" t="str">
        <f t="shared" si="2"/>
        <v/>
      </c>
      <c r="F55" s="69" t="str">
        <f t="shared" si="3"/>
        <v/>
      </c>
      <c r="G55" s="69" t="str">
        <f t="shared" si="4"/>
        <v/>
      </c>
      <c r="H55" s="69" t="str">
        <f t="shared" si="5"/>
        <v/>
      </c>
      <c r="I55" s="70"/>
      <c r="J55" s="71" t="str">
        <f t="shared" si="6"/>
        <v/>
      </c>
      <c r="K55" s="71" t="str">
        <f t="shared" si="7"/>
        <v/>
      </c>
    </row>
    <row r="56" spans="1:11" ht="82.5" customHeight="1" x14ac:dyDescent="0.7">
      <c r="A56" s="44">
        <v>53</v>
      </c>
      <c r="B56" s="69" t="str">
        <f t="shared" si="8"/>
        <v/>
      </c>
      <c r="C56" s="73" t="str">
        <f t="shared" si="0"/>
        <v/>
      </c>
      <c r="D56" s="69" t="str">
        <f t="shared" si="1"/>
        <v/>
      </c>
      <c r="E56" s="69" t="str">
        <f t="shared" si="2"/>
        <v/>
      </c>
      <c r="F56" s="69" t="str">
        <f t="shared" si="3"/>
        <v/>
      </c>
      <c r="G56" s="69" t="str">
        <f t="shared" si="4"/>
        <v/>
      </c>
      <c r="H56" s="69" t="str">
        <f t="shared" si="5"/>
        <v/>
      </c>
      <c r="I56" s="70"/>
      <c r="J56" s="71" t="str">
        <f t="shared" si="6"/>
        <v/>
      </c>
      <c r="K56" s="71" t="str">
        <f t="shared" si="7"/>
        <v/>
      </c>
    </row>
    <row r="57" spans="1:11" ht="82.5" customHeight="1" x14ac:dyDescent="0.7">
      <c r="A57" s="44">
        <v>54</v>
      </c>
      <c r="B57" s="69" t="str">
        <f t="shared" si="8"/>
        <v/>
      </c>
      <c r="C57" s="73" t="str">
        <f t="shared" si="0"/>
        <v/>
      </c>
      <c r="D57" s="69" t="str">
        <f t="shared" si="1"/>
        <v/>
      </c>
      <c r="E57" s="69" t="str">
        <f t="shared" si="2"/>
        <v/>
      </c>
      <c r="F57" s="69" t="str">
        <f t="shared" si="3"/>
        <v/>
      </c>
      <c r="G57" s="69" t="str">
        <f t="shared" si="4"/>
        <v/>
      </c>
      <c r="H57" s="69" t="str">
        <f t="shared" si="5"/>
        <v/>
      </c>
      <c r="I57" s="70"/>
      <c r="J57" s="71" t="str">
        <f t="shared" si="6"/>
        <v/>
      </c>
      <c r="K57" s="71" t="str">
        <f t="shared" si="7"/>
        <v/>
      </c>
    </row>
    <row r="58" spans="1:11" ht="82.5" customHeight="1" x14ac:dyDescent="0.7">
      <c r="A58" s="44">
        <v>55</v>
      </c>
      <c r="B58" s="69" t="str">
        <f t="shared" si="8"/>
        <v/>
      </c>
      <c r="C58" s="73" t="str">
        <f t="shared" si="0"/>
        <v/>
      </c>
      <c r="D58" s="69" t="str">
        <f t="shared" si="1"/>
        <v/>
      </c>
      <c r="E58" s="69" t="str">
        <f t="shared" si="2"/>
        <v/>
      </c>
      <c r="F58" s="69" t="str">
        <f t="shared" si="3"/>
        <v/>
      </c>
      <c r="G58" s="69" t="str">
        <f t="shared" si="4"/>
        <v/>
      </c>
      <c r="H58" s="69" t="str">
        <f t="shared" si="5"/>
        <v/>
      </c>
      <c r="I58" s="70"/>
      <c r="J58" s="71" t="str">
        <f t="shared" si="6"/>
        <v/>
      </c>
      <c r="K58" s="71" t="str">
        <f t="shared" si="7"/>
        <v/>
      </c>
    </row>
    <row r="59" spans="1:11" ht="82.5" customHeight="1" x14ac:dyDescent="0.7">
      <c r="A59" s="44">
        <v>56</v>
      </c>
      <c r="B59" s="69" t="str">
        <f t="shared" si="8"/>
        <v/>
      </c>
      <c r="C59" s="73" t="str">
        <f t="shared" si="0"/>
        <v/>
      </c>
      <c r="D59" s="69" t="str">
        <f t="shared" si="1"/>
        <v/>
      </c>
      <c r="E59" s="69" t="str">
        <f t="shared" si="2"/>
        <v/>
      </c>
      <c r="F59" s="69" t="str">
        <f t="shared" si="3"/>
        <v/>
      </c>
      <c r="G59" s="69" t="str">
        <f t="shared" si="4"/>
        <v/>
      </c>
      <c r="H59" s="69" t="str">
        <f t="shared" si="5"/>
        <v/>
      </c>
      <c r="I59" s="70"/>
      <c r="J59" s="71" t="str">
        <f t="shared" si="6"/>
        <v/>
      </c>
      <c r="K59" s="71" t="str">
        <f t="shared" si="7"/>
        <v/>
      </c>
    </row>
    <row r="60" spans="1:11" ht="82.5" customHeight="1" x14ac:dyDescent="0.7">
      <c r="A60" s="44">
        <v>57</v>
      </c>
      <c r="B60" s="69" t="str">
        <f t="shared" si="8"/>
        <v/>
      </c>
      <c r="C60" s="73" t="str">
        <f t="shared" si="0"/>
        <v/>
      </c>
      <c r="D60" s="69" t="str">
        <f t="shared" si="1"/>
        <v/>
      </c>
      <c r="E60" s="69" t="str">
        <f t="shared" si="2"/>
        <v/>
      </c>
      <c r="F60" s="69" t="str">
        <f t="shared" si="3"/>
        <v/>
      </c>
      <c r="G60" s="69" t="str">
        <f t="shared" si="4"/>
        <v/>
      </c>
      <c r="H60" s="69" t="str">
        <f t="shared" si="5"/>
        <v/>
      </c>
      <c r="I60" s="70"/>
      <c r="J60" s="71" t="str">
        <f t="shared" si="6"/>
        <v/>
      </c>
      <c r="K60" s="71" t="str">
        <f t="shared" si="7"/>
        <v/>
      </c>
    </row>
    <row r="61" spans="1:11" ht="82.5" customHeight="1" x14ac:dyDescent="0.7">
      <c r="A61" s="44">
        <v>58</v>
      </c>
      <c r="B61" s="69" t="str">
        <f t="shared" si="8"/>
        <v/>
      </c>
      <c r="C61" s="73" t="str">
        <f t="shared" si="0"/>
        <v/>
      </c>
      <c r="D61" s="69" t="str">
        <f t="shared" si="1"/>
        <v/>
      </c>
      <c r="E61" s="69" t="str">
        <f t="shared" si="2"/>
        <v/>
      </c>
      <c r="F61" s="69" t="str">
        <f t="shared" si="3"/>
        <v/>
      </c>
      <c r="G61" s="69" t="str">
        <f t="shared" si="4"/>
        <v/>
      </c>
      <c r="H61" s="69" t="str">
        <f t="shared" si="5"/>
        <v/>
      </c>
      <c r="I61" s="70"/>
      <c r="J61" s="71" t="str">
        <f t="shared" si="6"/>
        <v/>
      </c>
      <c r="K61" s="71" t="str">
        <f t="shared" si="7"/>
        <v/>
      </c>
    </row>
    <row r="62" spans="1:11" ht="82.5" customHeight="1" x14ac:dyDescent="0.7">
      <c r="A62" s="44">
        <v>59</v>
      </c>
      <c r="B62" s="69" t="str">
        <f t="shared" si="8"/>
        <v/>
      </c>
      <c r="C62" s="73" t="str">
        <f t="shared" si="0"/>
        <v/>
      </c>
      <c r="D62" s="69" t="str">
        <f t="shared" si="1"/>
        <v/>
      </c>
      <c r="E62" s="69" t="str">
        <f t="shared" si="2"/>
        <v/>
      </c>
      <c r="F62" s="69" t="str">
        <f t="shared" si="3"/>
        <v/>
      </c>
      <c r="G62" s="69" t="str">
        <f t="shared" si="4"/>
        <v/>
      </c>
      <c r="H62" s="69" t="str">
        <f t="shared" si="5"/>
        <v/>
      </c>
      <c r="I62" s="70"/>
      <c r="J62" s="71" t="str">
        <f t="shared" si="6"/>
        <v/>
      </c>
      <c r="K62" s="71" t="str">
        <f t="shared" si="7"/>
        <v/>
      </c>
    </row>
    <row r="63" spans="1:11" ht="82.5" customHeight="1" x14ac:dyDescent="0.7">
      <c r="A63" s="44">
        <v>60</v>
      </c>
      <c r="B63" s="69" t="str">
        <f t="shared" si="8"/>
        <v/>
      </c>
      <c r="C63" s="73" t="str">
        <f t="shared" si="0"/>
        <v/>
      </c>
      <c r="D63" s="69" t="str">
        <f t="shared" si="1"/>
        <v/>
      </c>
      <c r="E63" s="69" t="str">
        <f t="shared" si="2"/>
        <v/>
      </c>
      <c r="F63" s="69" t="str">
        <f t="shared" si="3"/>
        <v/>
      </c>
      <c r="G63" s="69" t="str">
        <f t="shared" si="4"/>
        <v/>
      </c>
      <c r="H63" s="69" t="str">
        <f t="shared" si="5"/>
        <v/>
      </c>
      <c r="I63" s="70"/>
      <c r="J63" s="71" t="str">
        <f t="shared" si="6"/>
        <v/>
      </c>
      <c r="K63" s="71" t="str">
        <f t="shared" si="7"/>
        <v/>
      </c>
    </row>
    <row r="64" spans="1:11" ht="82.5" customHeight="1" x14ac:dyDescent="0.7">
      <c r="A64" s="44">
        <v>61</v>
      </c>
      <c r="B64" s="69" t="str">
        <f t="shared" si="8"/>
        <v/>
      </c>
      <c r="C64" s="73" t="str">
        <f t="shared" si="0"/>
        <v/>
      </c>
      <c r="D64" s="69" t="str">
        <f t="shared" si="1"/>
        <v/>
      </c>
      <c r="E64" s="69" t="str">
        <f t="shared" si="2"/>
        <v/>
      </c>
      <c r="F64" s="69" t="str">
        <f t="shared" si="3"/>
        <v/>
      </c>
      <c r="G64" s="69" t="str">
        <f t="shared" si="4"/>
        <v/>
      </c>
      <c r="H64" s="69" t="str">
        <f t="shared" si="5"/>
        <v/>
      </c>
      <c r="I64" s="70"/>
      <c r="J64" s="71" t="str">
        <f t="shared" si="6"/>
        <v/>
      </c>
      <c r="K64" s="71" t="str">
        <f t="shared" si="7"/>
        <v/>
      </c>
    </row>
    <row r="65" spans="1:11" ht="82.5" customHeight="1" x14ac:dyDescent="0.7">
      <c r="A65" s="44">
        <v>62</v>
      </c>
      <c r="B65" s="69" t="str">
        <f t="shared" si="8"/>
        <v/>
      </c>
      <c r="C65" s="73" t="str">
        <f t="shared" si="0"/>
        <v/>
      </c>
      <c r="D65" s="69" t="str">
        <f t="shared" si="1"/>
        <v/>
      </c>
      <c r="E65" s="69" t="str">
        <f t="shared" si="2"/>
        <v/>
      </c>
      <c r="F65" s="69" t="str">
        <f t="shared" si="3"/>
        <v/>
      </c>
      <c r="G65" s="69" t="str">
        <f t="shared" si="4"/>
        <v/>
      </c>
      <c r="H65" s="69" t="str">
        <f t="shared" si="5"/>
        <v/>
      </c>
      <c r="I65" s="70"/>
      <c r="J65" s="71" t="str">
        <f t="shared" si="6"/>
        <v/>
      </c>
      <c r="K65" s="71" t="str">
        <f t="shared" si="7"/>
        <v/>
      </c>
    </row>
    <row r="66" spans="1:11" ht="82.5" customHeight="1" x14ac:dyDescent="0.7">
      <c r="A66" s="44">
        <v>63</v>
      </c>
      <c r="B66" s="69" t="str">
        <f t="shared" si="8"/>
        <v/>
      </c>
      <c r="C66" s="73" t="str">
        <f t="shared" si="0"/>
        <v/>
      </c>
      <c r="D66" s="69" t="str">
        <f t="shared" si="1"/>
        <v/>
      </c>
      <c r="E66" s="69" t="str">
        <f t="shared" si="2"/>
        <v/>
      </c>
      <c r="F66" s="69" t="str">
        <f t="shared" si="3"/>
        <v/>
      </c>
      <c r="G66" s="69" t="str">
        <f t="shared" si="4"/>
        <v/>
      </c>
      <c r="H66" s="69" t="str">
        <f t="shared" si="5"/>
        <v/>
      </c>
      <c r="I66" s="70"/>
      <c r="J66" s="71" t="str">
        <f t="shared" si="6"/>
        <v/>
      </c>
      <c r="K66" s="71" t="str">
        <f t="shared" si="7"/>
        <v/>
      </c>
    </row>
    <row r="67" spans="1:11" ht="82.5" customHeight="1" x14ac:dyDescent="0.7">
      <c r="A67" s="44">
        <v>64</v>
      </c>
      <c r="B67" s="69" t="str">
        <f t="shared" si="8"/>
        <v/>
      </c>
      <c r="C67" s="73" t="str">
        <f t="shared" si="0"/>
        <v/>
      </c>
      <c r="D67" s="69" t="str">
        <f t="shared" si="1"/>
        <v/>
      </c>
      <c r="E67" s="69" t="str">
        <f t="shared" si="2"/>
        <v/>
      </c>
      <c r="F67" s="69" t="str">
        <f t="shared" si="3"/>
        <v/>
      </c>
      <c r="G67" s="69" t="str">
        <f t="shared" si="4"/>
        <v/>
      </c>
      <c r="H67" s="69" t="str">
        <f t="shared" si="5"/>
        <v/>
      </c>
      <c r="I67" s="70"/>
      <c r="J67" s="71" t="str">
        <f t="shared" si="6"/>
        <v/>
      </c>
      <c r="K67" s="71" t="str">
        <f t="shared" si="7"/>
        <v/>
      </c>
    </row>
    <row r="68" spans="1:11" ht="82.5" customHeight="1" x14ac:dyDescent="0.7">
      <c r="A68" s="44">
        <v>65</v>
      </c>
      <c r="B68" s="69" t="str">
        <f t="shared" si="8"/>
        <v/>
      </c>
      <c r="C68" s="73" t="str">
        <f t="shared" ref="C68:C101" si="9">IFERROR(VLOOKUP($A68,T,2,FALSE),"")</f>
        <v/>
      </c>
      <c r="D68" s="69" t="str">
        <f t="shared" ref="D68:D101" si="10">IFERROR(VLOOKUP($A68,T,3,FALSE),"")</f>
        <v/>
      </c>
      <c r="E68" s="69" t="str">
        <f t="shared" ref="E68:E101" si="11">IFERROR(VLOOKUP($A68,T,9,FALSE),"")</f>
        <v/>
      </c>
      <c r="F68" s="69" t="str">
        <f t="shared" ref="F68:F101" si="12">IFERROR(VLOOKUP($A68,T,11,FALSE),"")</f>
        <v/>
      </c>
      <c r="G68" s="69" t="str">
        <f t="shared" ref="G68:G101" si="13">IFERROR(VLOOKUP($A68,T,13,FALSE),"")</f>
        <v/>
      </c>
      <c r="H68" s="69" t="str">
        <f t="shared" ref="H68:H101" si="14">IFERROR(VLOOKUP($A68,T,14,FALSE),"")</f>
        <v/>
      </c>
      <c r="I68" s="70"/>
      <c r="J68" s="71" t="str">
        <f t="shared" ref="J68:J119" si="15">IFERROR(VLOOKUP($A68,G,2,FALSE),"")</f>
        <v/>
      </c>
      <c r="K68" s="71" t="str">
        <f t="shared" ref="K68:K119" si="16">IFERROR(VLOOKUP($A68,G,5,FALSE),"")</f>
        <v/>
      </c>
    </row>
    <row r="69" spans="1:11" ht="82.5" customHeight="1" x14ac:dyDescent="0.7">
      <c r="A69" s="44">
        <v>66</v>
      </c>
      <c r="B69" s="69" t="str">
        <f t="shared" ref="B69:B101" si="17">IFERROR(VLOOKUP(A69,T,1,FALSE),"")</f>
        <v/>
      </c>
      <c r="C69" s="73" t="str">
        <f t="shared" si="9"/>
        <v/>
      </c>
      <c r="D69" s="69" t="str">
        <f t="shared" si="10"/>
        <v/>
      </c>
      <c r="E69" s="69" t="str">
        <f t="shared" si="11"/>
        <v/>
      </c>
      <c r="F69" s="69" t="str">
        <f t="shared" si="12"/>
        <v/>
      </c>
      <c r="G69" s="69" t="str">
        <f t="shared" si="13"/>
        <v/>
      </c>
      <c r="H69" s="69" t="str">
        <f t="shared" si="14"/>
        <v/>
      </c>
      <c r="I69" s="70"/>
      <c r="J69" s="71" t="str">
        <f t="shared" si="15"/>
        <v/>
      </c>
      <c r="K69" s="71" t="str">
        <f t="shared" si="16"/>
        <v/>
      </c>
    </row>
    <row r="70" spans="1:11" ht="82.5" customHeight="1" x14ac:dyDescent="0.7">
      <c r="A70" s="44">
        <v>67</v>
      </c>
      <c r="B70" s="69" t="str">
        <f t="shared" si="17"/>
        <v/>
      </c>
      <c r="C70" s="73" t="str">
        <f t="shared" si="9"/>
        <v/>
      </c>
      <c r="D70" s="69" t="str">
        <f t="shared" si="10"/>
        <v/>
      </c>
      <c r="E70" s="69" t="str">
        <f t="shared" si="11"/>
        <v/>
      </c>
      <c r="F70" s="69" t="str">
        <f t="shared" si="12"/>
        <v/>
      </c>
      <c r="G70" s="69" t="str">
        <f t="shared" si="13"/>
        <v/>
      </c>
      <c r="H70" s="69" t="str">
        <f t="shared" si="14"/>
        <v/>
      </c>
      <c r="I70" s="70"/>
      <c r="J70" s="71" t="str">
        <f t="shared" si="15"/>
        <v/>
      </c>
      <c r="K70" s="71" t="str">
        <f t="shared" si="16"/>
        <v/>
      </c>
    </row>
    <row r="71" spans="1:11" ht="82.5" customHeight="1" x14ac:dyDescent="0.7">
      <c r="A71" s="44">
        <v>68</v>
      </c>
      <c r="B71" s="69" t="str">
        <f t="shared" si="17"/>
        <v/>
      </c>
      <c r="C71" s="73" t="str">
        <f t="shared" si="9"/>
        <v/>
      </c>
      <c r="D71" s="69" t="str">
        <f t="shared" si="10"/>
        <v/>
      </c>
      <c r="E71" s="69" t="str">
        <f t="shared" si="11"/>
        <v/>
      </c>
      <c r="F71" s="69" t="str">
        <f t="shared" si="12"/>
        <v/>
      </c>
      <c r="G71" s="69" t="str">
        <f t="shared" si="13"/>
        <v/>
      </c>
      <c r="H71" s="69" t="str">
        <f t="shared" si="14"/>
        <v/>
      </c>
      <c r="I71" s="70"/>
      <c r="J71" s="71" t="str">
        <f t="shared" si="15"/>
        <v/>
      </c>
      <c r="K71" s="71" t="str">
        <f t="shared" si="16"/>
        <v/>
      </c>
    </row>
    <row r="72" spans="1:11" ht="82.5" customHeight="1" x14ac:dyDescent="0.7">
      <c r="A72" s="44">
        <v>69</v>
      </c>
      <c r="B72" s="69" t="str">
        <f t="shared" si="17"/>
        <v/>
      </c>
      <c r="C72" s="73" t="str">
        <f t="shared" si="9"/>
        <v/>
      </c>
      <c r="D72" s="69" t="str">
        <f t="shared" si="10"/>
        <v/>
      </c>
      <c r="E72" s="69" t="str">
        <f t="shared" si="11"/>
        <v/>
      </c>
      <c r="F72" s="69" t="str">
        <f t="shared" si="12"/>
        <v/>
      </c>
      <c r="G72" s="69" t="str">
        <f t="shared" si="13"/>
        <v/>
      </c>
      <c r="H72" s="69" t="str">
        <f t="shared" si="14"/>
        <v/>
      </c>
      <c r="I72" s="70"/>
      <c r="J72" s="71" t="str">
        <f t="shared" si="15"/>
        <v/>
      </c>
      <c r="K72" s="71" t="str">
        <f t="shared" si="16"/>
        <v/>
      </c>
    </row>
    <row r="73" spans="1:11" ht="82.5" customHeight="1" x14ac:dyDescent="0.7">
      <c r="A73" s="44">
        <v>70</v>
      </c>
      <c r="B73" s="69" t="str">
        <f t="shared" si="17"/>
        <v/>
      </c>
      <c r="C73" s="73" t="str">
        <f t="shared" si="9"/>
        <v/>
      </c>
      <c r="D73" s="69" t="str">
        <f t="shared" si="10"/>
        <v/>
      </c>
      <c r="E73" s="69" t="str">
        <f t="shared" si="11"/>
        <v/>
      </c>
      <c r="F73" s="69" t="str">
        <f t="shared" si="12"/>
        <v/>
      </c>
      <c r="G73" s="69" t="str">
        <f t="shared" si="13"/>
        <v/>
      </c>
      <c r="H73" s="69" t="str">
        <f t="shared" si="14"/>
        <v/>
      </c>
      <c r="I73" s="70"/>
      <c r="J73" s="71" t="str">
        <f t="shared" si="15"/>
        <v/>
      </c>
      <c r="K73" s="71" t="str">
        <f t="shared" si="16"/>
        <v/>
      </c>
    </row>
    <row r="74" spans="1:11" ht="82.5" customHeight="1" x14ac:dyDescent="0.7">
      <c r="A74" s="44">
        <v>71</v>
      </c>
      <c r="B74" s="69" t="str">
        <f t="shared" si="17"/>
        <v/>
      </c>
      <c r="C74" s="73" t="str">
        <f t="shared" si="9"/>
        <v/>
      </c>
      <c r="D74" s="69" t="str">
        <f t="shared" si="10"/>
        <v/>
      </c>
      <c r="E74" s="69" t="str">
        <f t="shared" si="11"/>
        <v/>
      </c>
      <c r="F74" s="69" t="str">
        <f t="shared" si="12"/>
        <v/>
      </c>
      <c r="G74" s="69" t="str">
        <f t="shared" si="13"/>
        <v/>
      </c>
      <c r="H74" s="69" t="str">
        <f t="shared" si="14"/>
        <v/>
      </c>
      <c r="I74" s="70"/>
      <c r="J74" s="71" t="str">
        <f t="shared" si="15"/>
        <v/>
      </c>
      <c r="K74" s="71" t="str">
        <f t="shared" si="16"/>
        <v/>
      </c>
    </row>
    <row r="75" spans="1:11" ht="82.5" customHeight="1" x14ac:dyDescent="0.7">
      <c r="A75" s="44">
        <v>72</v>
      </c>
      <c r="B75" s="69" t="str">
        <f t="shared" si="17"/>
        <v/>
      </c>
      <c r="C75" s="73" t="str">
        <f t="shared" si="9"/>
        <v/>
      </c>
      <c r="D75" s="69" t="str">
        <f t="shared" si="10"/>
        <v/>
      </c>
      <c r="E75" s="69" t="str">
        <f t="shared" si="11"/>
        <v/>
      </c>
      <c r="F75" s="69" t="str">
        <f t="shared" si="12"/>
        <v/>
      </c>
      <c r="G75" s="69" t="str">
        <f t="shared" si="13"/>
        <v/>
      </c>
      <c r="H75" s="69" t="str">
        <f t="shared" si="14"/>
        <v/>
      </c>
      <c r="I75" s="70"/>
      <c r="J75" s="71" t="str">
        <f t="shared" si="15"/>
        <v/>
      </c>
      <c r="K75" s="71" t="str">
        <f t="shared" si="16"/>
        <v/>
      </c>
    </row>
    <row r="76" spans="1:11" ht="82.5" customHeight="1" x14ac:dyDescent="0.7">
      <c r="A76" s="44">
        <v>73</v>
      </c>
      <c r="B76" s="69" t="str">
        <f t="shared" si="17"/>
        <v/>
      </c>
      <c r="C76" s="73" t="str">
        <f t="shared" si="9"/>
        <v/>
      </c>
      <c r="D76" s="69" t="str">
        <f t="shared" si="10"/>
        <v/>
      </c>
      <c r="E76" s="69" t="str">
        <f t="shared" si="11"/>
        <v/>
      </c>
      <c r="F76" s="69" t="str">
        <f t="shared" si="12"/>
        <v/>
      </c>
      <c r="G76" s="69" t="str">
        <f t="shared" si="13"/>
        <v/>
      </c>
      <c r="H76" s="69" t="str">
        <f t="shared" si="14"/>
        <v/>
      </c>
      <c r="I76" s="70"/>
      <c r="J76" s="71" t="str">
        <f t="shared" si="15"/>
        <v/>
      </c>
      <c r="K76" s="71" t="str">
        <f t="shared" si="16"/>
        <v/>
      </c>
    </row>
    <row r="77" spans="1:11" ht="82.5" customHeight="1" x14ac:dyDescent="0.7">
      <c r="A77" s="44">
        <v>74</v>
      </c>
      <c r="B77" s="69" t="str">
        <f t="shared" si="17"/>
        <v/>
      </c>
      <c r="C77" s="73" t="str">
        <f t="shared" si="9"/>
        <v/>
      </c>
      <c r="D77" s="69" t="str">
        <f t="shared" si="10"/>
        <v/>
      </c>
      <c r="E77" s="69" t="str">
        <f t="shared" si="11"/>
        <v/>
      </c>
      <c r="F77" s="69" t="str">
        <f t="shared" si="12"/>
        <v/>
      </c>
      <c r="G77" s="69" t="str">
        <f t="shared" si="13"/>
        <v/>
      </c>
      <c r="H77" s="69" t="str">
        <f t="shared" si="14"/>
        <v/>
      </c>
      <c r="I77" s="70"/>
      <c r="J77" s="71" t="str">
        <f t="shared" si="15"/>
        <v/>
      </c>
      <c r="K77" s="71" t="str">
        <f t="shared" si="16"/>
        <v/>
      </c>
    </row>
    <row r="78" spans="1:11" ht="82.5" customHeight="1" x14ac:dyDescent="0.7">
      <c r="A78" s="44">
        <v>75</v>
      </c>
      <c r="B78" s="69" t="str">
        <f t="shared" si="17"/>
        <v/>
      </c>
      <c r="C78" s="73" t="str">
        <f t="shared" si="9"/>
        <v/>
      </c>
      <c r="D78" s="69" t="str">
        <f t="shared" si="10"/>
        <v/>
      </c>
      <c r="E78" s="69" t="str">
        <f t="shared" si="11"/>
        <v/>
      </c>
      <c r="F78" s="69" t="str">
        <f t="shared" si="12"/>
        <v/>
      </c>
      <c r="G78" s="69" t="str">
        <f t="shared" si="13"/>
        <v/>
      </c>
      <c r="H78" s="69" t="str">
        <f t="shared" si="14"/>
        <v/>
      </c>
      <c r="I78" s="70"/>
      <c r="J78" s="71" t="str">
        <f t="shared" si="15"/>
        <v/>
      </c>
      <c r="K78" s="71" t="str">
        <f t="shared" si="16"/>
        <v/>
      </c>
    </row>
    <row r="79" spans="1:11" ht="82.5" customHeight="1" x14ac:dyDescent="0.7">
      <c r="A79" s="44">
        <v>76</v>
      </c>
      <c r="B79" s="69" t="str">
        <f t="shared" si="17"/>
        <v/>
      </c>
      <c r="C79" s="73" t="str">
        <f t="shared" si="9"/>
        <v/>
      </c>
      <c r="D79" s="69" t="str">
        <f t="shared" si="10"/>
        <v/>
      </c>
      <c r="E79" s="69" t="str">
        <f t="shared" si="11"/>
        <v/>
      </c>
      <c r="F79" s="69" t="str">
        <f t="shared" si="12"/>
        <v/>
      </c>
      <c r="G79" s="69" t="str">
        <f t="shared" si="13"/>
        <v/>
      </c>
      <c r="H79" s="69" t="str">
        <f t="shared" si="14"/>
        <v/>
      </c>
      <c r="I79" s="70"/>
      <c r="J79" s="71" t="str">
        <f t="shared" si="15"/>
        <v/>
      </c>
      <c r="K79" s="71" t="str">
        <f t="shared" si="16"/>
        <v/>
      </c>
    </row>
    <row r="80" spans="1:11" ht="82.5" customHeight="1" x14ac:dyDescent="0.7">
      <c r="A80" s="44">
        <v>77</v>
      </c>
      <c r="B80" s="69" t="str">
        <f t="shared" si="17"/>
        <v/>
      </c>
      <c r="C80" s="73" t="str">
        <f t="shared" si="9"/>
        <v/>
      </c>
      <c r="D80" s="69" t="str">
        <f t="shared" si="10"/>
        <v/>
      </c>
      <c r="E80" s="69" t="str">
        <f t="shared" si="11"/>
        <v/>
      </c>
      <c r="F80" s="69" t="str">
        <f t="shared" si="12"/>
        <v/>
      </c>
      <c r="G80" s="69" t="str">
        <f t="shared" si="13"/>
        <v/>
      </c>
      <c r="H80" s="69" t="str">
        <f t="shared" si="14"/>
        <v/>
      </c>
      <c r="I80" s="70"/>
      <c r="J80" s="71" t="str">
        <f t="shared" si="15"/>
        <v/>
      </c>
      <c r="K80" s="71" t="str">
        <f t="shared" si="16"/>
        <v/>
      </c>
    </row>
    <row r="81" spans="1:11" ht="82.5" customHeight="1" x14ac:dyDescent="0.7">
      <c r="A81" s="44">
        <v>78</v>
      </c>
      <c r="B81" s="69" t="str">
        <f t="shared" si="17"/>
        <v/>
      </c>
      <c r="C81" s="73" t="str">
        <f t="shared" si="9"/>
        <v/>
      </c>
      <c r="D81" s="69" t="str">
        <f t="shared" si="10"/>
        <v/>
      </c>
      <c r="E81" s="69" t="str">
        <f t="shared" si="11"/>
        <v/>
      </c>
      <c r="F81" s="69" t="str">
        <f t="shared" si="12"/>
        <v/>
      </c>
      <c r="G81" s="69" t="str">
        <f t="shared" si="13"/>
        <v/>
      </c>
      <c r="H81" s="69" t="str">
        <f t="shared" si="14"/>
        <v/>
      </c>
      <c r="I81" s="70"/>
      <c r="J81" s="71" t="str">
        <f t="shared" si="15"/>
        <v/>
      </c>
      <c r="K81" s="71" t="str">
        <f t="shared" si="16"/>
        <v/>
      </c>
    </row>
    <row r="82" spans="1:11" ht="82.5" customHeight="1" x14ac:dyDescent="0.7">
      <c r="A82" s="44">
        <v>79</v>
      </c>
      <c r="B82" s="69" t="str">
        <f t="shared" si="17"/>
        <v/>
      </c>
      <c r="C82" s="73" t="str">
        <f t="shared" si="9"/>
        <v/>
      </c>
      <c r="D82" s="69" t="str">
        <f t="shared" si="10"/>
        <v/>
      </c>
      <c r="E82" s="69" t="str">
        <f t="shared" si="11"/>
        <v/>
      </c>
      <c r="F82" s="69" t="str">
        <f t="shared" si="12"/>
        <v/>
      </c>
      <c r="G82" s="69" t="str">
        <f t="shared" si="13"/>
        <v/>
      </c>
      <c r="H82" s="69" t="str">
        <f t="shared" si="14"/>
        <v/>
      </c>
      <c r="I82" s="70"/>
      <c r="J82" s="71" t="str">
        <f t="shared" si="15"/>
        <v/>
      </c>
      <c r="K82" s="71" t="str">
        <f t="shared" si="16"/>
        <v/>
      </c>
    </row>
    <row r="83" spans="1:11" ht="82.5" customHeight="1" x14ac:dyDescent="0.7">
      <c r="A83" s="44">
        <v>80</v>
      </c>
      <c r="B83" s="69" t="str">
        <f t="shared" si="17"/>
        <v/>
      </c>
      <c r="C83" s="73" t="str">
        <f t="shared" si="9"/>
        <v/>
      </c>
      <c r="D83" s="69" t="str">
        <f t="shared" si="10"/>
        <v/>
      </c>
      <c r="E83" s="69" t="str">
        <f t="shared" si="11"/>
        <v/>
      </c>
      <c r="F83" s="69" t="str">
        <f t="shared" si="12"/>
        <v/>
      </c>
      <c r="G83" s="69" t="str">
        <f t="shared" si="13"/>
        <v/>
      </c>
      <c r="H83" s="69" t="str">
        <f t="shared" si="14"/>
        <v/>
      </c>
      <c r="I83" s="70"/>
      <c r="J83" s="71" t="str">
        <f t="shared" si="15"/>
        <v/>
      </c>
      <c r="K83" s="71" t="str">
        <f t="shared" si="16"/>
        <v/>
      </c>
    </row>
    <row r="84" spans="1:11" ht="82.5" customHeight="1" x14ac:dyDescent="0.7">
      <c r="A84" s="44">
        <v>81</v>
      </c>
      <c r="B84" s="69" t="str">
        <f t="shared" si="17"/>
        <v/>
      </c>
      <c r="C84" s="73" t="str">
        <f t="shared" si="9"/>
        <v/>
      </c>
      <c r="D84" s="69" t="str">
        <f t="shared" si="10"/>
        <v/>
      </c>
      <c r="E84" s="69" t="str">
        <f t="shared" si="11"/>
        <v/>
      </c>
      <c r="F84" s="69" t="str">
        <f t="shared" si="12"/>
        <v/>
      </c>
      <c r="G84" s="69" t="str">
        <f t="shared" si="13"/>
        <v/>
      </c>
      <c r="H84" s="69" t="str">
        <f t="shared" si="14"/>
        <v/>
      </c>
      <c r="I84" s="70"/>
      <c r="J84" s="71" t="str">
        <f t="shared" si="15"/>
        <v/>
      </c>
      <c r="K84" s="71" t="str">
        <f t="shared" si="16"/>
        <v/>
      </c>
    </row>
    <row r="85" spans="1:11" ht="82.5" customHeight="1" x14ac:dyDescent="0.7">
      <c r="A85" s="44">
        <v>82</v>
      </c>
      <c r="B85" s="69" t="str">
        <f t="shared" si="17"/>
        <v/>
      </c>
      <c r="C85" s="73" t="str">
        <f t="shared" si="9"/>
        <v/>
      </c>
      <c r="D85" s="69" t="str">
        <f t="shared" si="10"/>
        <v/>
      </c>
      <c r="E85" s="69" t="str">
        <f t="shared" si="11"/>
        <v/>
      </c>
      <c r="F85" s="69" t="str">
        <f t="shared" si="12"/>
        <v/>
      </c>
      <c r="G85" s="69" t="str">
        <f t="shared" si="13"/>
        <v/>
      </c>
      <c r="H85" s="69" t="str">
        <f t="shared" si="14"/>
        <v/>
      </c>
      <c r="I85" s="70"/>
      <c r="J85" s="71" t="str">
        <f t="shared" si="15"/>
        <v/>
      </c>
      <c r="K85" s="71" t="str">
        <f t="shared" si="16"/>
        <v/>
      </c>
    </row>
    <row r="86" spans="1:11" ht="82.5" customHeight="1" x14ac:dyDescent="0.7">
      <c r="A86" s="44">
        <v>83</v>
      </c>
      <c r="B86" s="69" t="str">
        <f t="shared" si="17"/>
        <v/>
      </c>
      <c r="C86" s="73" t="str">
        <f t="shared" si="9"/>
        <v/>
      </c>
      <c r="D86" s="69" t="str">
        <f t="shared" si="10"/>
        <v/>
      </c>
      <c r="E86" s="69" t="str">
        <f t="shared" si="11"/>
        <v/>
      </c>
      <c r="F86" s="69" t="str">
        <f t="shared" si="12"/>
        <v/>
      </c>
      <c r="G86" s="69" t="str">
        <f t="shared" si="13"/>
        <v/>
      </c>
      <c r="H86" s="69" t="str">
        <f t="shared" si="14"/>
        <v/>
      </c>
      <c r="I86" s="70"/>
      <c r="J86" s="71" t="str">
        <f t="shared" si="15"/>
        <v/>
      </c>
      <c r="K86" s="71" t="str">
        <f t="shared" si="16"/>
        <v/>
      </c>
    </row>
    <row r="87" spans="1:11" ht="82.5" customHeight="1" x14ac:dyDescent="0.7">
      <c r="A87" s="44">
        <v>84</v>
      </c>
      <c r="B87" s="69" t="str">
        <f t="shared" si="17"/>
        <v/>
      </c>
      <c r="C87" s="73" t="str">
        <f t="shared" si="9"/>
        <v/>
      </c>
      <c r="D87" s="69" t="str">
        <f t="shared" si="10"/>
        <v/>
      </c>
      <c r="E87" s="69" t="str">
        <f t="shared" si="11"/>
        <v/>
      </c>
      <c r="F87" s="69" t="str">
        <f t="shared" si="12"/>
        <v/>
      </c>
      <c r="G87" s="69" t="str">
        <f t="shared" si="13"/>
        <v/>
      </c>
      <c r="H87" s="69" t="str">
        <f t="shared" si="14"/>
        <v/>
      </c>
      <c r="I87" s="70"/>
      <c r="J87" s="71" t="str">
        <f t="shared" si="15"/>
        <v/>
      </c>
      <c r="K87" s="71" t="str">
        <f t="shared" si="16"/>
        <v/>
      </c>
    </row>
    <row r="88" spans="1:11" ht="82.5" customHeight="1" x14ac:dyDescent="0.7">
      <c r="A88" s="44">
        <v>85</v>
      </c>
      <c r="B88" s="69" t="str">
        <f t="shared" si="17"/>
        <v/>
      </c>
      <c r="C88" s="73" t="str">
        <f t="shared" si="9"/>
        <v/>
      </c>
      <c r="D88" s="69" t="str">
        <f t="shared" si="10"/>
        <v/>
      </c>
      <c r="E88" s="69" t="str">
        <f t="shared" si="11"/>
        <v/>
      </c>
      <c r="F88" s="69" t="str">
        <f t="shared" si="12"/>
        <v/>
      </c>
      <c r="G88" s="69" t="str">
        <f t="shared" si="13"/>
        <v/>
      </c>
      <c r="H88" s="69" t="str">
        <f t="shared" si="14"/>
        <v/>
      </c>
      <c r="I88" s="70"/>
      <c r="J88" s="71" t="str">
        <f t="shared" si="15"/>
        <v/>
      </c>
      <c r="K88" s="71" t="str">
        <f t="shared" si="16"/>
        <v/>
      </c>
    </row>
    <row r="89" spans="1:11" ht="82.5" customHeight="1" x14ac:dyDescent="0.7">
      <c r="A89" s="44">
        <v>86</v>
      </c>
      <c r="B89" s="69" t="str">
        <f t="shared" si="17"/>
        <v/>
      </c>
      <c r="C89" s="73" t="str">
        <f t="shared" si="9"/>
        <v/>
      </c>
      <c r="D89" s="69" t="str">
        <f t="shared" si="10"/>
        <v/>
      </c>
      <c r="E89" s="69" t="str">
        <f t="shared" si="11"/>
        <v/>
      </c>
      <c r="F89" s="69" t="str">
        <f t="shared" si="12"/>
        <v/>
      </c>
      <c r="G89" s="69" t="str">
        <f t="shared" si="13"/>
        <v/>
      </c>
      <c r="H89" s="69" t="str">
        <f t="shared" si="14"/>
        <v/>
      </c>
      <c r="I89" s="70"/>
      <c r="J89" s="71" t="str">
        <f t="shared" si="15"/>
        <v/>
      </c>
      <c r="K89" s="71" t="str">
        <f t="shared" si="16"/>
        <v/>
      </c>
    </row>
    <row r="90" spans="1:11" ht="82.5" customHeight="1" x14ac:dyDescent="0.7">
      <c r="A90" s="44">
        <v>87</v>
      </c>
      <c r="B90" s="69" t="str">
        <f t="shared" si="17"/>
        <v/>
      </c>
      <c r="C90" s="73" t="str">
        <f t="shared" si="9"/>
        <v/>
      </c>
      <c r="D90" s="69" t="str">
        <f t="shared" si="10"/>
        <v/>
      </c>
      <c r="E90" s="69" t="str">
        <f t="shared" si="11"/>
        <v/>
      </c>
      <c r="F90" s="69" t="str">
        <f t="shared" si="12"/>
        <v/>
      </c>
      <c r="G90" s="69" t="str">
        <f t="shared" si="13"/>
        <v/>
      </c>
      <c r="H90" s="69" t="str">
        <f t="shared" si="14"/>
        <v/>
      </c>
      <c r="I90" s="70"/>
      <c r="J90" s="71" t="str">
        <f t="shared" si="15"/>
        <v/>
      </c>
      <c r="K90" s="71" t="str">
        <f t="shared" si="16"/>
        <v/>
      </c>
    </row>
    <row r="91" spans="1:11" ht="82.5" customHeight="1" x14ac:dyDescent="0.7">
      <c r="A91" s="44">
        <v>88</v>
      </c>
      <c r="B91" s="69" t="str">
        <f t="shared" si="17"/>
        <v/>
      </c>
      <c r="C91" s="73" t="str">
        <f t="shared" si="9"/>
        <v/>
      </c>
      <c r="D91" s="69" t="str">
        <f t="shared" si="10"/>
        <v/>
      </c>
      <c r="E91" s="69" t="str">
        <f t="shared" si="11"/>
        <v/>
      </c>
      <c r="F91" s="69" t="str">
        <f t="shared" si="12"/>
        <v/>
      </c>
      <c r="G91" s="69" t="str">
        <f t="shared" si="13"/>
        <v/>
      </c>
      <c r="H91" s="69" t="str">
        <f t="shared" si="14"/>
        <v/>
      </c>
      <c r="I91" s="70"/>
      <c r="J91" s="71" t="str">
        <f t="shared" si="15"/>
        <v/>
      </c>
      <c r="K91" s="71" t="str">
        <f t="shared" si="16"/>
        <v/>
      </c>
    </row>
    <row r="92" spans="1:11" ht="82.5" customHeight="1" x14ac:dyDescent="0.7">
      <c r="A92" s="44">
        <v>89</v>
      </c>
      <c r="B92" s="69" t="str">
        <f t="shared" si="17"/>
        <v/>
      </c>
      <c r="C92" s="73" t="str">
        <f t="shared" si="9"/>
        <v/>
      </c>
      <c r="D92" s="69" t="str">
        <f t="shared" si="10"/>
        <v/>
      </c>
      <c r="E92" s="69" t="str">
        <f t="shared" si="11"/>
        <v/>
      </c>
      <c r="F92" s="69" t="str">
        <f t="shared" si="12"/>
        <v/>
      </c>
      <c r="G92" s="69" t="str">
        <f t="shared" si="13"/>
        <v/>
      </c>
      <c r="H92" s="69" t="str">
        <f t="shared" si="14"/>
        <v/>
      </c>
      <c r="I92" s="70"/>
      <c r="J92" s="71" t="str">
        <f t="shared" si="15"/>
        <v/>
      </c>
      <c r="K92" s="71" t="str">
        <f t="shared" si="16"/>
        <v/>
      </c>
    </row>
    <row r="93" spans="1:11" ht="82.5" customHeight="1" x14ac:dyDescent="0.7">
      <c r="A93" s="44">
        <v>90</v>
      </c>
      <c r="B93" s="69" t="str">
        <f t="shared" si="17"/>
        <v/>
      </c>
      <c r="C93" s="73" t="str">
        <f t="shared" si="9"/>
        <v/>
      </c>
      <c r="D93" s="69" t="str">
        <f t="shared" si="10"/>
        <v/>
      </c>
      <c r="E93" s="69" t="str">
        <f t="shared" si="11"/>
        <v/>
      </c>
      <c r="F93" s="69" t="str">
        <f t="shared" si="12"/>
        <v/>
      </c>
      <c r="G93" s="69" t="str">
        <f t="shared" si="13"/>
        <v/>
      </c>
      <c r="H93" s="69" t="str">
        <f t="shared" si="14"/>
        <v/>
      </c>
      <c r="I93" s="70"/>
      <c r="J93" s="71" t="str">
        <f t="shared" si="15"/>
        <v/>
      </c>
      <c r="K93" s="71" t="str">
        <f t="shared" si="16"/>
        <v/>
      </c>
    </row>
    <row r="94" spans="1:11" ht="82.5" customHeight="1" x14ac:dyDescent="0.7">
      <c r="A94" s="44">
        <v>91</v>
      </c>
      <c r="B94" s="69" t="str">
        <f t="shared" si="17"/>
        <v/>
      </c>
      <c r="C94" s="73" t="str">
        <f t="shared" si="9"/>
        <v/>
      </c>
      <c r="D94" s="69" t="str">
        <f t="shared" si="10"/>
        <v/>
      </c>
      <c r="E94" s="69" t="str">
        <f t="shared" si="11"/>
        <v/>
      </c>
      <c r="F94" s="69" t="str">
        <f t="shared" si="12"/>
        <v/>
      </c>
      <c r="G94" s="69" t="str">
        <f t="shared" si="13"/>
        <v/>
      </c>
      <c r="H94" s="69" t="str">
        <f t="shared" si="14"/>
        <v/>
      </c>
      <c r="I94" s="70"/>
      <c r="J94" s="71" t="str">
        <f t="shared" si="15"/>
        <v/>
      </c>
      <c r="K94" s="71" t="str">
        <f t="shared" si="16"/>
        <v/>
      </c>
    </row>
    <row r="95" spans="1:11" ht="82.5" customHeight="1" x14ac:dyDescent="0.7">
      <c r="A95" s="44">
        <v>92</v>
      </c>
      <c r="B95" s="69" t="str">
        <f t="shared" si="17"/>
        <v/>
      </c>
      <c r="C95" s="73" t="str">
        <f t="shared" si="9"/>
        <v/>
      </c>
      <c r="D95" s="69" t="str">
        <f t="shared" si="10"/>
        <v/>
      </c>
      <c r="E95" s="69" t="str">
        <f t="shared" si="11"/>
        <v/>
      </c>
      <c r="F95" s="69" t="str">
        <f t="shared" si="12"/>
        <v/>
      </c>
      <c r="G95" s="69" t="str">
        <f t="shared" si="13"/>
        <v/>
      </c>
      <c r="H95" s="69" t="str">
        <f t="shared" si="14"/>
        <v/>
      </c>
      <c r="I95" s="70"/>
      <c r="J95" s="71" t="str">
        <f t="shared" si="15"/>
        <v/>
      </c>
      <c r="K95" s="71" t="str">
        <f t="shared" si="16"/>
        <v/>
      </c>
    </row>
    <row r="96" spans="1:11" ht="82.5" customHeight="1" x14ac:dyDescent="0.7">
      <c r="A96" s="44">
        <v>93</v>
      </c>
      <c r="B96" s="69" t="str">
        <f t="shared" si="17"/>
        <v/>
      </c>
      <c r="C96" s="73" t="str">
        <f t="shared" si="9"/>
        <v/>
      </c>
      <c r="D96" s="69" t="str">
        <f t="shared" si="10"/>
        <v/>
      </c>
      <c r="E96" s="69" t="str">
        <f t="shared" si="11"/>
        <v/>
      </c>
      <c r="F96" s="69" t="str">
        <f t="shared" si="12"/>
        <v/>
      </c>
      <c r="G96" s="69" t="str">
        <f t="shared" si="13"/>
        <v/>
      </c>
      <c r="H96" s="69" t="str">
        <f t="shared" si="14"/>
        <v/>
      </c>
      <c r="I96" s="70"/>
      <c r="J96" s="71" t="str">
        <f t="shared" si="15"/>
        <v/>
      </c>
      <c r="K96" s="71" t="str">
        <f t="shared" si="16"/>
        <v/>
      </c>
    </row>
    <row r="97" spans="1:11" ht="82.5" customHeight="1" x14ac:dyDescent="0.7">
      <c r="A97" s="44">
        <v>94</v>
      </c>
      <c r="B97" s="69" t="str">
        <f t="shared" si="17"/>
        <v/>
      </c>
      <c r="C97" s="73" t="str">
        <f t="shared" si="9"/>
        <v/>
      </c>
      <c r="D97" s="69" t="str">
        <f t="shared" si="10"/>
        <v/>
      </c>
      <c r="E97" s="69" t="str">
        <f t="shared" si="11"/>
        <v/>
      </c>
      <c r="F97" s="69" t="str">
        <f t="shared" si="12"/>
        <v/>
      </c>
      <c r="G97" s="69" t="str">
        <f t="shared" si="13"/>
        <v/>
      </c>
      <c r="H97" s="69" t="str">
        <f t="shared" si="14"/>
        <v/>
      </c>
      <c r="I97" s="70"/>
      <c r="J97" s="71" t="str">
        <f t="shared" si="15"/>
        <v/>
      </c>
      <c r="K97" s="71" t="str">
        <f t="shared" si="16"/>
        <v/>
      </c>
    </row>
    <row r="98" spans="1:11" ht="82.5" customHeight="1" x14ac:dyDescent="0.7">
      <c r="A98" s="44">
        <v>95</v>
      </c>
      <c r="B98" s="69" t="str">
        <f t="shared" si="17"/>
        <v/>
      </c>
      <c r="C98" s="73" t="str">
        <f t="shared" si="9"/>
        <v/>
      </c>
      <c r="D98" s="69" t="str">
        <f t="shared" si="10"/>
        <v/>
      </c>
      <c r="E98" s="69" t="str">
        <f t="shared" si="11"/>
        <v/>
      </c>
      <c r="F98" s="69" t="str">
        <f t="shared" si="12"/>
        <v/>
      </c>
      <c r="G98" s="69" t="str">
        <f t="shared" si="13"/>
        <v/>
      </c>
      <c r="H98" s="69" t="str">
        <f t="shared" si="14"/>
        <v/>
      </c>
      <c r="I98" s="70"/>
      <c r="J98" s="71" t="str">
        <f t="shared" si="15"/>
        <v/>
      </c>
      <c r="K98" s="71" t="str">
        <f t="shared" si="16"/>
        <v/>
      </c>
    </row>
    <row r="99" spans="1:11" ht="82.5" customHeight="1" x14ac:dyDescent="0.7">
      <c r="A99" s="44">
        <v>96</v>
      </c>
      <c r="B99" s="69" t="str">
        <f t="shared" si="17"/>
        <v/>
      </c>
      <c r="C99" s="73" t="str">
        <f t="shared" si="9"/>
        <v/>
      </c>
      <c r="D99" s="69" t="str">
        <f t="shared" si="10"/>
        <v/>
      </c>
      <c r="E99" s="69" t="str">
        <f t="shared" si="11"/>
        <v/>
      </c>
      <c r="F99" s="69" t="str">
        <f t="shared" si="12"/>
        <v/>
      </c>
      <c r="G99" s="69" t="str">
        <f t="shared" si="13"/>
        <v/>
      </c>
      <c r="H99" s="69" t="str">
        <f t="shared" si="14"/>
        <v/>
      </c>
      <c r="I99" s="70"/>
      <c r="J99" s="71" t="str">
        <f t="shared" si="15"/>
        <v/>
      </c>
      <c r="K99" s="71" t="str">
        <f t="shared" si="16"/>
        <v/>
      </c>
    </row>
    <row r="100" spans="1:11" ht="82.5" customHeight="1" x14ac:dyDescent="0.7">
      <c r="A100" s="44">
        <v>97</v>
      </c>
      <c r="B100" s="69" t="str">
        <f t="shared" si="17"/>
        <v/>
      </c>
      <c r="C100" s="73" t="str">
        <f t="shared" si="9"/>
        <v/>
      </c>
      <c r="D100" s="69" t="str">
        <f t="shared" si="10"/>
        <v/>
      </c>
      <c r="E100" s="69" t="str">
        <f t="shared" si="11"/>
        <v/>
      </c>
      <c r="F100" s="69" t="str">
        <f t="shared" si="12"/>
        <v/>
      </c>
      <c r="G100" s="69" t="str">
        <f t="shared" si="13"/>
        <v/>
      </c>
      <c r="H100" s="69" t="str">
        <f t="shared" si="14"/>
        <v/>
      </c>
      <c r="I100" s="70"/>
      <c r="J100" s="71" t="str">
        <f t="shared" si="15"/>
        <v/>
      </c>
      <c r="K100" s="71" t="str">
        <f t="shared" si="16"/>
        <v/>
      </c>
    </row>
    <row r="101" spans="1:11" ht="82.5" customHeight="1" x14ac:dyDescent="0.7">
      <c r="A101" s="44">
        <v>98</v>
      </c>
      <c r="B101" s="69" t="str">
        <f t="shared" si="17"/>
        <v/>
      </c>
      <c r="C101" s="73" t="str">
        <f t="shared" si="9"/>
        <v/>
      </c>
      <c r="D101" s="69" t="str">
        <f t="shared" si="10"/>
        <v/>
      </c>
      <c r="E101" s="69" t="str">
        <f t="shared" si="11"/>
        <v/>
      </c>
      <c r="F101" s="69" t="str">
        <f t="shared" si="12"/>
        <v/>
      </c>
      <c r="G101" s="69" t="str">
        <f t="shared" si="13"/>
        <v/>
      </c>
      <c r="H101" s="69" t="str">
        <f t="shared" si="14"/>
        <v/>
      </c>
      <c r="I101" s="70"/>
      <c r="J101" s="71" t="str">
        <f t="shared" si="15"/>
        <v/>
      </c>
      <c r="K101" s="71" t="str">
        <f t="shared" si="16"/>
        <v/>
      </c>
    </row>
    <row r="102" spans="1:11" ht="82.5" customHeight="1" x14ac:dyDescent="0.7">
      <c r="A102" s="44">
        <v>99</v>
      </c>
      <c r="J102" s="66" t="str">
        <f t="shared" si="15"/>
        <v/>
      </c>
      <c r="K102" s="66" t="str">
        <f t="shared" si="16"/>
        <v/>
      </c>
    </row>
    <row r="103" spans="1:11" ht="82.5" customHeight="1" x14ac:dyDescent="0.7">
      <c r="A103" s="44">
        <v>100</v>
      </c>
      <c r="J103" s="66" t="str">
        <f t="shared" si="15"/>
        <v/>
      </c>
      <c r="K103" s="66" t="str">
        <f t="shared" si="16"/>
        <v/>
      </c>
    </row>
    <row r="104" spans="1:11" ht="82.5" customHeight="1" x14ac:dyDescent="0.7">
      <c r="A104" s="44">
        <v>101</v>
      </c>
      <c r="J104" s="66" t="str">
        <f t="shared" si="15"/>
        <v/>
      </c>
      <c r="K104" s="66" t="str">
        <f t="shared" si="16"/>
        <v/>
      </c>
    </row>
    <row r="105" spans="1:11" ht="82.5" customHeight="1" x14ac:dyDescent="0.7">
      <c r="A105" s="44">
        <v>102</v>
      </c>
      <c r="J105" s="66" t="str">
        <f t="shared" si="15"/>
        <v/>
      </c>
      <c r="K105" s="66" t="str">
        <f t="shared" si="16"/>
        <v/>
      </c>
    </row>
    <row r="106" spans="1:11" ht="82.5" customHeight="1" x14ac:dyDescent="0.7">
      <c r="A106" s="44">
        <v>103</v>
      </c>
      <c r="J106" s="66" t="str">
        <f t="shared" si="15"/>
        <v/>
      </c>
      <c r="K106" s="66" t="str">
        <f t="shared" si="16"/>
        <v/>
      </c>
    </row>
    <row r="107" spans="1:11" ht="82.5" customHeight="1" x14ac:dyDescent="0.7">
      <c r="A107" s="44">
        <v>104</v>
      </c>
      <c r="J107" s="66" t="str">
        <f t="shared" si="15"/>
        <v/>
      </c>
      <c r="K107" s="66" t="str">
        <f t="shared" si="16"/>
        <v/>
      </c>
    </row>
    <row r="108" spans="1:11" ht="82.5" customHeight="1" x14ac:dyDescent="0.7">
      <c r="A108" s="44">
        <v>105</v>
      </c>
      <c r="J108" s="66" t="str">
        <f t="shared" si="15"/>
        <v/>
      </c>
      <c r="K108" s="66" t="str">
        <f t="shared" si="16"/>
        <v/>
      </c>
    </row>
    <row r="109" spans="1:11" ht="82.5" customHeight="1" x14ac:dyDescent="0.7">
      <c r="A109" s="44">
        <v>106</v>
      </c>
      <c r="J109" s="66" t="str">
        <f t="shared" si="15"/>
        <v/>
      </c>
      <c r="K109" s="66" t="str">
        <f t="shared" si="16"/>
        <v/>
      </c>
    </row>
    <row r="110" spans="1:11" ht="82.5" customHeight="1" x14ac:dyDescent="0.7">
      <c r="A110" s="44">
        <v>107</v>
      </c>
      <c r="J110" s="66" t="str">
        <f t="shared" si="15"/>
        <v/>
      </c>
      <c r="K110" s="66" t="str">
        <f t="shared" si="16"/>
        <v/>
      </c>
    </row>
    <row r="111" spans="1:11" ht="82.5" customHeight="1" x14ac:dyDescent="0.7">
      <c r="A111" s="44">
        <v>108</v>
      </c>
      <c r="J111" s="66" t="str">
        <f t="shared" si="15"/>
        <v/>
      </c>
      <c r="K111" s="66" t="str">
        <f t="shared" si="16"/>
        <v/>
      </c>
    </row>
    <row r="112" spans="1:11" ht="82.5" customHeight="1" x14ac:dyDescent="0.7">
      <c r="A112" s="44">
        <v>109</v>
      </c>
      <c r="J112" s="66" t="str">
        <f t="shared" si="15"/>
        <v/>
      </c>
      <c r="K112" s="66" t="str">
        <f t="shared" si="16"/>
        <v/>
      </c>
    </row>
    <row r="113" spans="1:11" ht="82.5" customHeight="1" x14ac:dyDescent="0.7">
      <c r="A113" s="44">
        <v>110</v>
      </c>
      <c r="J113" s="66" t="str">
        <f t="shared" si="15"/>
        <v/>
      </c>
      <c r="K113" s="66" t="str">
        <f t="shared" si="16"/>
        <v/>
      </c>
    </row>
    <row r="114" spans="1:11" ht="82.5" customHeight="1" x14ac:dyDescent="0.7">
      <c r="A114" s="44">
        <v>111</v>
      </c>
      <c r="J114" s="66" t="str">
        <f t="shared" si="15"/>
        <v/>
      </c>
      <c r="K114" s="66" t="str">
        <f t="shared" si="16"/>
        <v/>
      </c>
    </row>
    <row r="115" spans="1:11" ht="82.5" customHeight="1" x14ac:dyDescent="0.7">
      <c r="A115" s="44">
        <v>112</v>
      </c>
      <c r="J115" s="66" t="str">
        <f t="shared" si="15"/>
        <v/>
      </c>
      <c r="K115" s="66" t="str">
        <f t="shared" si="16"/>
        <v/>
      </c>
    </row>
    <row r="116" spans="1:11" ht="82.5" customHeight="1" x14ac:dyDescent="0.7">
      <c r="A116" s="44">
        <v>113</v>
      </c>
      <c r="J116" s="66" t="str">
        <f t="shared" si="15"/>
        <v/>
      </c>
      <c r="K116" s="66" t="str">
        <f t="shared" si="16"/>
        <v/>
      </c>
    </row>
    <row r="117" spans="1:11" ht="82.5" customHeight="1" x14ac:dyDescent="0.7">
      <c r="A117" s="44">
        <v>114</v>
      </c>
      <c r="J117" s="66" t="str">
        <f t="shared" si="15"/>
        <v/>
      </c>
      <c r="K117" s="66" t="str">
        <f t="shared" si="16"/>
        <v/>
      </c>
    </row>
    <row r="118" spans="1:11" ht="82.5" customHeight="1" x14ac:dyDescent="0.7">
      <c r="A118" s="44">
        <v>115</v>
      </c>
      <c r="J118" s="66" t="str">
        <f t="shared" si="15"/>
        <v/>
      </c>
      <c r="K118" s="66" t="str">
        <f t="shared" si="16"/>
        <v/>
      </c>
    </row>
    <row r="119" spans="1:11" ht="82.5" customHeight="1" x14ac:dyDescent="0.7">
      <c r="A119" s="44">
        <v>116</v>
      </c>
      <c r="J119" s="66" t="str">
        <f t="shared" si="15"/>
        <v/>
      </c>
      <c r="K119" s="66" t="str">
        <f t="shared" si="16"/>
        <v/>
      </c>
    </row>
  </sheetData>
  <mergeCells count="2">
    <mergeCell ref="E1:H1"/>
    <mergeCell ref="E2:H2"/>
  </mergeCells>
  <pageMargins left="0.25" right="0.25" top="0.75" bottom="0.75" header="0.3" footer="0.3"/>
  <pageSetup paperSize="9" scale="81" orientation="portrait" verticalDpi="4294967295" r:id="rId1"/>
  <rowBreaks count="1" manualBreakCount="1">
    <brk id="109" min="1" max="10" man="1"/>
  </rowBreaks>
  <colBreaks count="1" manualBreakCount="1">
    <brk id="11" max="118" man="1"/>
  </col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D3020-C0D1-473E-9C06-38DA4514F38D}">
  <dimension ref="A1:AB1005"/>
  <sheetViews>
    <sheetView tabSelected="1" topLeftCell="N1" zoomScale="90" zoomScaleNormal="90" zoomScaleSheetLayoutView="95" workbookViewId="0">
      <pane ySplit="6" topLeftCell="A7" activePane="bottomLeft" state="frozen"/>
      <selection pane="bottomLeft" activeCell="AC4" sqref="AC4"/>
    </sheetView>
  </sheetViews>
  <sheetFormatPr defaultRowHeight="28.5" x14ac:dyDescent="0.7"/>
  <cols>
    <col min="1" max="1" width="15.88671875" bestFit="1" customWidth="1"/>
    <col min="2" max="2" width="12.21875" bestFit="1" customWidth="1"/>
    <col min="3" max="3" width="17.44140625" bestFit="1" customWidth="1"/>
    <col min="4" max="5" width="8.88671875" style="2"/>
    <col min="6" max="6" width="10" style="2" bestFit="1" customWidth="1"/>
    <col min="7" max="7" width="12.33203125" style="2" customWidth="1"/>
    <col min="8" max="8" width="15.88671875" bestFit="1" customWidth="1"/>
    <col min="9" max="9" width="21.6640625" bestFit="1" customWidth="1"/>
    <col min="15" max="15" width="10.5546875" bestFit="1" customWidth="1"/>
    <col min="16" max="16" width="17.88671875" bestFit="1" customWidth="1"/>
    <col min="19" max="20" width="8.88671875" customWidth="1"/>
    <col min="22" max="22" width="11.33203125" customWidth="1"/>
    <col min="24" max="24" width="8.88671875" customWidth="1"/>
    <col min="26" max="26" width="8.88671875" customWidth="1"/>
  </cols>
  <sheetData>
    <row r="1" spans="1:28" s="2" customFormat="1" x14ac:dyDescent="0.7">
      <c r="O1" s="25" t="s">
        <v>44</v>
      </c>
      <c r="P1" s="25" t="s">
        <v>22</v>
      </c>
      <c r="Q1" s="25" t="s">
        <v>40</v>
      </c>
      <c r="R1" s="25" t="s">
        <v>54</v>
      </c>
      <c r="S1" s="25"/>
      <c r="T1" s="25"/>
      <c r="U1" s="25"/>
      <c r="V1" s="25"/>
      <c r="W1" s="25"/>
      <c r="X1" s="25"/>
      <c r="Y1" s="25"/>
      <c r="Z1" s="25"/>
      <c r="AA1" s="25"/>
      <c r="AB1" s="25"/>
    </row>
    <row r="2" spans="1:28" ht="57" x14ac:dyDescent="0.7">
      <c r="A2" s="17" t="s">
        <v>25</v>
      </c>
      <c r="B2" s="17"/>
      <c r="C2" s="17"/>
      <c r="D2" s="17"/>
      <c r="E2"/>
      <c r="F2" s="58" t="s">
        <v>51</v>
      </c>
      <c r="G2" s="59" t="s">
        <v>50</v>
      </c>
      <c r="H2" s="58" t="s">
        <v>53</v>
      </c>
      <c r="I2" s="19" t="s">
        <v>60</v>
      </c>
      <c r="O2" s="22" t="s">
        <v>38</v>
      </c>
      <c r="P2" s="23">
        <v>1</v>
      </c>
      <c r="Q2" s="23">
        <v>9</v>
      </c>
      <c r="R2" s="23">
        <v>1360</v>
      </c>
      <c r="S2" s="23">
        <f>(P2*R2)/Q2</f>
        <v>151.11111111111111</v>
      </c>
      <c r="T2" s="24" t="s">
        <v>37</v>
      </c>
      <c r="U2" s="54">
        <f>IF(H3&gt;0,0,1)</f>
        <v>1</v>
      </c>
      <c r="V2" s="22" t="s">
        <v>38</v>
      </c>
      <c r="W2" s="23">
        <v>1</v>
      </c>
      <c r="X2" s="23">
        <v>9</v>
      </c>
      <c r="Y2" s="23">
        <v>1360</v>
      </c>
      <c r="Z2" s="23">
        <f>(W2*Y2)/X2</f>
        <v>151.11111111111111</v>
      </c>
      <c r="AA2" s="26"/>
      <c r="AB2" s="26"/>
    </row>
    <row r="3" spans="1:28" x14ac:dyDescent="0.7">
      <c r="A3" s="15" t="s">
        <v>31</v>
      </c>
      <c r="B3" s="13" t="s">
        <v>32</v>
      </c>
      <c r="C3" s="3" t="s">
        <v>18</v>
      </c>
      <c r="D3" s="5" t="s">
        <v>20</v>
      </c>
      <c r="E3"/>
      <c r="F3" s="60">
        <f>A4</f>
        <v>5440</v>
      </c>
      <c r="G3" s="61">
        <v>5440</v>
      </c>
      <c r="H3" s="62">
        <f>F3-W5</f>
        <v>-5440</v>
      </c>
      <c r="I3" s="2">
        <f>F3-R3</f>
        <v>-5440</v>
      </c>
      <c r="O3" s="27" t="s">
        <v>35</v>
      </c>
      <c r="P3" s="28">
        <v>1</v>
      </c>
      <c r="Q3" s="28">
        <v>2</v>
      </c>
      <c r="R3" s="29">
        <v>10880</v>
      </c>
      <c r="S3" s="29">
        <f>(P3*R3)/Q3</f>
        <v>5440</v>
      </c>
      <c r="T3" s="77" t="s">
        <v>36</v>
      </c>
      <c r="U3" s="77"/>
      <c r="V3" s="77"/>
      <c r="W3" s="78" t="s">
        <v>39</v>
      </c>
      <c r="X3" s="78"/>
      <c r="Y3" s="78"/>
      <c r="Z3" s="78"/>
      <c r="AA3" s="78"/>
      <c r="AB3" s="78"/>
    </row>
    <row r="4" spans="1:28" s="1" customFormat="1" x14ac:dyDescent="0.7">
      <c r="A4" s="15">
        <f>(E7*5440)+(F7*272)</f>
        <v>5440</v>
      </c>
      <c r="B4" s="12">
        <f>A4/5440</f>
        <v>1</v>
      </c>
      <c r="C4" s="4">
        <f>TRUNC(B4)</f>
        <v>1</v>
      </c>
      <c r="D4" s="8">
        <f>(B4-C4)*20</f>
        <v>0</v>
      </c>
      <c r="O4" s="32" t="s">
        <v>11</v>
      </c>
      <c r="P4" s="32" t="s">
        <v>23</v>
      </c>
      <c r="Q4" s="32" t="s">
        <v>34</v>
      </c>
      <c r="R4" s="32" t="s">
        <v>33</v>
      </c>
      <c r="S4" s="32" t="s">
        <v>30</v>
      </c>
      <c r="T4" s="79">
        <f>R3-W5</f>
        <v>0</v>
      </c>
      <c r="U4" s="79"/>
      <c r="V4" s="79"/>
      <c r="W4" s="33">
        <v>10836</v>
      </c>
      <c r="X4" s="34">
        <f>W4/5440</f>
        <v>1.9919117647058824</v>
      </c>
      <c r="Y4" s="33">
        <f>TRUNC(X4)</f>
        <v>1</v>
      </c>
      <c r="Z4" s="34">
        <f>(X4-Y4)*20</f>
        <v>19.838235294117649</v>
      </c>
      <c r="AA4" s="33">
        <f>TRUNC(Z4)</f>
        <v>19</v>
      </c>
      <c r="AB4" s="33">
        <f>(Z4-AA4)*272</f>
        <v>228.0000000000004</v>
      </c>
    </row>
    <row r="5" spans="1:28" s="2" customFormat="1" x14ac:dyDescent="0.7">
      <c r="A5" s="6" t="s">
        <v>49</v>
      </c>
      <c r="B5" s="6" t="s">
        <v>52</v>
      </c>
      <c r="O5" s="25">
        <v>2</v>
      </c>
      <c r="P5" s="25">
        <v>10</v>
      </c>
      <c r="Q5" s="25">
        <v>0</v>
      </c>
      <c r="R5" s="25">
        <v>0</v>
      </c>
      <c r="S5" s="25">
        <f>(O5*5440)+(P5*272)+(Q5*30.25)+R5</f>
        <v>13600</v>
      </c>
      <c r="T5" s="35"/>
      <c r="U5" s="35"/>
      <c r="V5" s="35"/>
      <c r="W5" s="28">
        <f>SUM(W7:W1004)</f>
        <v>10880</v>
      </c>
      <c r="X5" s="36"/>
      <c r="Y5" s="35"/>
      <c r="Z5" s="36"/>
      <c r="AA5" s="35"/>
      <c r="AB5" s="35"/>
    </row>
    <row r="6" spans="1:28" ht="48" x14ac:dyDescent="0.7">
      <c r="A6" s="2">
        <f>G3-F3</f>
        <v>0</v>
      </c>
      <c r="B6" s="2">
        <f>A6*100/G3</f>
        <v>0</v>
      </c>
      <c r="D6"/>
      <c r="E6"/>
      <c r="F6"/>
      <c r="G6"/>
      <c r="O6" s="9" t="s">
        <v>12</v>
      </c>
      <c r="P6" s="9" t="s">
        <v>13</v>
      </c>
      <c r="Q6" s="10" t="s">
        <v>26</v>
      </c>
      <c r="R6" s="10" t="s">
        <v>27</v>
      </c>
      <c r="S6" s="20" t="s">
        <v>14</v>
      </c>
      <c r="T6" s="20" t="s">
        <v>15</v>
      </c>
      <c r="U6" s="14" t="s">
        <v>16</v>
      </c>
      <c r="V6" s="11" t="s">
        <v>28</v>
      </c>
      <c r="W6" s="18" t="s">
        <v>29</v>
      </c>
      <c r="X6" s="20" t="s">
        <v>17</v>
      </c>
      <c r="Y6" s="37" t="s">
        <v>18</v>
      </c>
      <c r="Z6" s="20" t="s">
        <v>19</v>
      </c>
      <c r="AA6" s="38" t="s">
        <v>20</v>
      </c>
      <c r="AB6" s="39" t="s">
        <v>21</v>
      </c>
    </row>
    <row r="7" spans="1:28" s="1" customFormat="1" ht="57" x14ac:dyDescent="0.7">
      <c r="A7" s="2"/>
      <c r="B7" s="2"/>
      <c r="C7" s="63" t="s">
        <v>45</v>
      </c>
      <c r="D7" s="3" t="s">
        <v>46</v>
      </c>
      <c r="E7" s="6">
        <f>SUM(E9:E1048576)</f>
        <v>1</v>
      </c>
      <c r="F7" s="6">
        <f>SUM(F9:F1048576)</f>
        <v>0</v>
      </c>
      <c r="G7" s="19" t="s">
        <v>47</v>
      </c>
      <c r="H7" s="63" t="s">
        <v>45</v>
      </c>
      <c r="I7" s="63" t="s">
        <v>45</v>
      </c>
      <c r="J7" s="2"/>
      <c r="K7" s="2"/>
      <c r="L7" s="2"/>
      <c r="M7" s="2"/>
      <c r="O7" s="32">
        <f>IF(P7="","",ROW()-ROW($O$6))</f>
        <v>1</v>
      </c>
      <c r="P7" s="33" t="s">
        <v>57</v>
      </c>
      <c r="Q7" s="33"/>
      <c r="R7" s="33">
        <v>2720</v>
      </c>
      <c r="S7" s="34">
        <f>B6</f>
        <v>0</v>
      </c>
      <c r="T7" s="34">
        <f>(S7*R7)/100</f>
        <v>0</v>
      </c>
      <c r="U7" s="32">
        <f>R7-T7</f>
        <v>2720</v>
      </c>
      <c r="V7" s="40"/>
      <c r="W7" s="32">
        <f>U7-V7</f>
        <v>2720</v>
      </c>
      <c r="X7" s="34">
        <f>W7/5440</f>
        <v>0.5</v>
      </c>
      <c r="Y7" s="30">
        <f>TRUNC(X7)</f>
        <v>0</v>
      </c>
      <c r="Z7" s="34">
        <f>(X7-Y7)*20</f>
        <v>10</v>
      </c>
      <c r="AA7" s="41">
        <f>TRUNC(Z7)</f>
        <v>10</v>
      </c>
      <c r="AB7" s="31">
        <f>(Z7-AA7)*272</f>
        <v>0</v>
      </c>
    </row>
    <row r="8" spans="1:28" s="1" customFormat="1" x14ac:dyDescent="0.7">
      <c r="C8" s="64" t="s">
        <v>22</v>
      </c>
      <c r="D8" s="4" t="s">
        <v>22</v>
      </c>
      <c r="E8" s="4" t="s">
        <v>48</v>
      </c>
      <c r="F8" s="4" t="s">
        <v>20</v>
      </c>
      <c r="G8" s="4" t="s">
        <v>22</v>
      </c>
      <c r="H8" s="64" t="s">
        <v>22</v>
      </c>
      <c r="I8" s="64" t="s">
        <v>22</v>
      </c>
      <c r="O8" s="32">
        <f t="shared" ref="O8:O71" si="0">IF(P8="","",ROW()-ROW($O$6))</f>
        <v>2</v>
      </c>
      <c r="P8" s="33" t="s">
        <v>58</v>
      </c>
      <c r="Q8" s="33"/>
      <c r="R8" s="33">
        <v>1360</v>
      </c>
      <c r="S8" s="34">
        <f>S7</f>
        <v>0</v>
      </c>
      <c r="T8" s="34">
        <f>(S8*R8)/100</f>
        <v>0</v>
      </c>
      <c r="U8" s="32">
        <f>R8-T8</f>
        <v>1360</v>
      </c>
      <c r="V8" s="40"/>
      <c r="W8" s="32">
        <f t="shared" ref="W8:W71" si="1">U8-V8</f>
        <v>1360</v>
      </c>
      <c r="X8" s="34">
        <f t="shared" ref="X8:X71" si="2">W8/5440</f>
        <v>0.25</v>
      </c>
      <c r="Y8" s="30">
        <f t="shared" ref="Y8:Y71" si="3">TRUNC(X8)</f>
        <v>0</v>
      </c>
      <c r="Z8" s="34">
        <f t="shared" ref="Z8:Z71" si="4">(X8-Y8)*20</f>
        <v>5</v>
      </c>
      <c r="AA8" s="41">
        <f t="shared" ref="AA8:AA71" si="5">TRUNC(Z8)</f>
        <v>5</v>
      </c>
      <c r="AB8" s="31">
        <f t="shared" ref="AB8:AB71" si="6">(Z8-AA8)*272</f>
        <v>0</v>
      </c>
    </row>
    <row r="9" spans="1:28" s="2" customFormat="1" x14ac:dyDescent="0.6">
      <c r="C9" s="63">
        <f>IF(D9="","",ROW()-ROW($C$8))</f>
        <v>1</v>
      </c>
      <c r="D9" s="16">
        <v>1</v>
      </c>
      <c r="E9" s="3">
        <v>1</v>
      </c>
      <c r="F9" s="57">
        <v>0</v>
      </c>
      <c r="G9" s="15" t="str">
        <f>_xlfn.TEXTJOIN("-",1,E9:F9)</f>
        <v>1-0</v>
      </c>
      <c r="H9" s="65" t="str">
        <f>_xlfn.TEXTJOIN("Khasra_",1,C9:D9)</f>
        <v>1Khasra_1</v>
      </c>
      <c r="I9" s="65" t="str">
        <f>_xlfn.TEXTJOIN("=",1,H9,G9)</f>
        <v>1Khasra_1=1-0</v>
      </c>
      <c r="O9" s="32">
        <f t="shared" si="0"/>
        <v>3</v>
      </c>
      <c r="P9" s="25" t="s">
        <v>59</v>
      </c>
      <c r="Q9" s="33"/>
      <c r="R9" s="33">
        <v>6800</v>
      </c>
      <c r="S9" s="36">
        <f>S8</f>
        <v>0</v>
      </c>
      <c r="T9" s="34">
        <f t="shared" ref="T9:T72" si="7">(S9*R9)/100</f>
        <v>0</v>
      </c>
      <c r="U9" s="32">
        <f t="shared" ref="U9:U72" si="8">R9-T9</f>
        <v>6800</v>
      </c>
      <c r="V9" s="42"/>
      <c r="W9" s="32">
        <f t="shared" si="1"/>
        <v>6800</v>
      </c>
      <c r="X9" s="34">
        <f t="shared" si="2"/>
        <v>1.25</v>
      </c>
      <c r="Y9" s="30">
        <f t="shared" si="3"/>
        <v>1</v>
      </c>
      <c r="Z9" s="34">
        <f t="shared" si="4"/>
        <v>5</v>
      </c>
      <c r="AA9" s="41">
        <f t="shared" si="5"/>
        <v>5</v>
      </c>
      <c r="AB9" s="31">
        <f t="shared" si="6"/>
        <v>0</v>
      </c>
    </row>
    <row r="10" spans="1:28" s="1" customFormat="1" x14ac:dyDescent="0.7">
      <c r="C10" s="63">
        <f t="shared" ref="C10:C73" si="9">IF(D10="","",ROW()-ROW($C$8))</f>
        <v>2</v>
      </c>
      <c r="D10" s="16">
        <v>2</v>
      </c>
      <c r="E10" s="3">
        <v>0</v>
      </c>
      <c r="F10" s="57">
        <v>0</v>
      </c>
      <c r="G10" s="15" t="str">
        <f t="shared" ref="G10:G73" si="10">_xlfn.TEXTJOIN("-",1,E10:F10)</f>
        <v>0-0</v>
      </c>
      <c r="H10" s="65" t="str">
        <f t="shared" ref="H10:H73" si="11">_xlfn.TEXTJOIN("Khasra_",1,C10:D10)</f>
        <v>2Khasra_2</v>
      </c>
      <c r="I10" s="65" t="str">
        <f t="shared" ref="I10:I73" si="12">_xlfn.TEXTJOIN("=",1,H10,G10)</f>
        <v>2Khasra_2=0-0</v>
      </c>
      <c r="O10" s="32" t="str">
        <f t="shared" si="0"/>
        <v/>
      </c>
      <c r="P10" s="33"/>
      <c r="Q10" s="33"/>
      <c r="R10" s="33"/>
      <c r="S10" s="36">
        <f>S9</f>
        <v>0</v>
      </c>
      <c r="T10" s="34">
        <f t="shared" si="7"/>
        <v>0</v>
      </c>
      <c r="U10" s="32">
        <f t="shared" si="8"/>
        <v>0</v>
      </c>
      <c r="V10" s="40"/>
      <c r="W10" s="32">
        <f t="shared" si="1"/>
        <v>0</v>
      </c>
      <c r="X10" s="34">
        <f t="shared" si="2"/>
        <v>0</v>
      </c>
      <c r="Y10" s="30">
        <f t="shared" si="3"/>
        <v>0</v>
      </c>
      <c r="Z10" s="34">
        <f t="shared" si="4"/>
        <v>0</v>
      </c>
      <c r="AA10" s="41">
        <f t="shared" si="5"/>
        <v>0</v>
      </c>
      <c r="AB10" s="31">
        <f t="shared" si="6"/>
        <v>0</v>
      </c>
    </row>
    <row r="11" spans="1:28" x14ac:dyDescent="0.7">
      <c r="C11" s="63">
        <f t="shared" si="9"/>
        <v>3</v>
      </c>
      <c r="D11" s="16">
        <v>3</v>
      </c>
      <c r="E11" s="3">
        <v>0</v>
      </c>
      <c r="F11" s="57">
        <v>0</v>
      </c>
      <c r="G11" s="15" t="str">
        <f t="shared" si="10"/>
        <v>0-0</v>
      </c>
      <c r="H11" s="65" t="str">
        <f t="shared" si="11"/>
        <v>3Khasra_3</v>
      </c>
      <c r="I11" s="65" t="str">
        <f t="shared" si="12"/>
        <v>3Khasra_3=0-0</v>
      </c>
      <c r="O11" s="32" t="str">
        <f t="shared" si="0"/>
        <v/>
      </c>
      <c r="P11" s="33"/>
      <c r="Q11" s="33"/>
      <c r="R11" s="33"/>
      <c r="S11" s="36">
        <f t="shared" ref="S11:S74" si="13">S10</f>
        <v>0</v>
      </c>
      <c r="T11" s="34">
        <f t="shared" si="7"/>
        <v>0</v>
      </c>
      <c r="U11" s="32">
        <f t="shared" si="8"/>
        <v>0</v>
      </c>
      <c r="V11" s="43"/>
      <c r="W11" s="32">
        <f t="shared" si="1"/>
        <v>0</v>
      </c>
      <c r="X11" s="34">
        <f t="shared" si="2"/>
        <v>0</v>
      </c>
      <c r="Y11" s="30">
        <f t="shared" si="3"/>
        <v>0</v>
      </c>
      <c r="Z11" s="34">
        <f t="shared" si="4"/>
        <v>0</v>
      </c>
      <c r="AA11" s="41">
        <f t="shared" si="5"/>
        <v>0</v>
      </c>
      <c r="AB11" s="31">
        <f t="shared" si="6"/>
        <v>0</v>
      </c>
    </row>
    <row r="12" spans="1:28" x14ac:dyDescent="0.7">
      <c r="C12" s="63" t="str">
        <f t="shared" si="9"/>
        <v/>
      </c>
      <c r="D12" s="16"/>
      <c r="E12" s="3"/>
      <c r="F12" s="57"/>
      <c r="G12" s="15" t="str">
        <f t="shared" si="10"/>
        <v/>
      </c>
      <c r="H12" s="65" t="str">
        <f t="shared" si="11"/>
        <v/>
      </c>
      <c r="I12" s="65" t="str">
        <f t="shared" si="12"/>
        <v/>
      </c>
      <c r="O12" s="32" t="str">
        <f t="shared" si="0"/>
        <v/>
      </c>
      <c r="P12" s="33"/>
      <c r="Q12" s="33"/>
      <c r="R12" s="33"/>
      <c r="S12" s="36">
        <f t="shared" si="13"/>
        <v>0</v>
      </c>
      <c r="T12" s="34">
        <f t="shared" si="7"/>
        <v>0</v>
      </c>
      <c r="U12" s="32">
        <f t="shared" si="8"/>
        <v>0</v>
      </c>
      <c r="V12" s="43"/>
      <c r="W12" s="32">
        <f t="shared" si="1"/>
        <v>0</v>
      </c>
      <c r="X12" s="34">
        <f t="shared" si="2"/>
        <v>0</v>
      </c>
      <c r="Y12" s="30">
        <f t="shared" si="3"/>
        <v>0</v>
      </c>
      <c r="Z12" s="34">
        <f t="shared" si="4"/>
        <v>0</v>
      </c>
      <c r="AA12" s="41">
        <f t="shared" si="5"/>
        <v>0</v>
      </c>
      <c r="AB12" s="31">
        <f t="shared" si="6"/>
        <v>0</v>
      </c>
    </row>
    <row r="13" spans="1:28" x14ac:dyDescent="0.7">
      <c r="C13" s="63" t="str">
        <f t="shared" si="9"/>
        <v/>
      </c>
      <c r="D13" s="16"/>
      <c r="E13" s="3"/>
      <c r="F13" s="57"/>
      <c r="G13" s="15" t="str">
        <f t="shared" si="10"/>
        <v/>
      </c>
      <c r="H13" s="65" t="str">
        <f t="shared" si="11"/>
        <v/>
      </c>
      <c r="I13" s="65" t="str">
        <f t="shared" si="12"/>
        <v/>
      </c>
      <c r="O13" s="32" t="str">
        <f t="shared" si="0"/>
        <v/>
      </c>
      <c r="P13" s="21"/>
      <c r="Q13" s="33"/>
      <c r="R13" s="33"/>
      <c r="S13" s="36">
        <f t="shared" si="13"/>
        <v>0</v>
      </c>
      <c r="T13" s="34">
        <f t="shared" si="7"/>
        <v>0</v>
      </c>
      <c r="U13" s="32">
        <f t="shared" si="8"/>
        <v>0</v>
      </c>
      <c r="V13" s="43"/>
      <c r="W13" s="32">
        <f t="shared" si="1"/>
        <v>0</v>
      </c>
      <c r="X13" s="34">
        <f t="shared" si="2"/>
        <v>0</v>
      </c>
      <c r="Y13" s="30">
        <f t="shared" si="3"/>
        <v>0</v>
      </c>
      <c r="Z13" s="34">
        <f t="shared" si="4"/>
        <v>0</v>
      </c>
      <c r="AA13" s="41">
        <f t="shared" si="5"/>
        <v>0</v>
      </c>
      <c r="AB13" s="31">
        <f t="shared" si="6"/>
        <v>0</v>
      </c>
    </row>
    <row r="14" spans="1:28" x14ac:dyDescent="0.7">
      <c r="C14" s="63" t="str">
        <f t="shared" si="9"/>
        <v/>
      </c>
      <c r="D14" s="16"/>
      <c r="E14" s="3"/>
      <c r="F14" s="57"/>
      <c r="G14" s="15" t="str">
        <f t="shared" si="10"/>
        <v/>
      </c>
      <c r="H14" s="65" t="str">
        <f t="shared" si="11"/>
        <v/>
      </c>
      <c r="I14" s="65" t="str">
        <f t="shared" si="12"/>
        <v/>
      </c>
      <c r="O14" s="32" t="str">
        <f t="shared" si="0"/>
        <v/>
      </c>
      <c r="P14" s="21"/>
      <c r="Q14" s="33"/>
      <c r="R14" s="33"/>
      <c r="S14" s="36">
        <f t="shared" si="13"/>
        <v>0</v>
      </c>
      <c r="T14" s="34">
        <f t="shared" si="7"/>
        <v>0</v>
      </c>
      <c r="U14" s="32">
        <f t="shared" si="8"/>
        <v>0</v>
      </c>
      <c r="V14" s="43"/>
      <c r="W14" s="32">
        <f t="shared" si="1"/>
        <v>0</v>
      </c>
      <c r="X14" s="34">
        <f t="shared" si="2"/>
        <v>0</v>
      </c>
      <c r="Y14" s="30">
        <f t="shared" si="3"/>
        <v>0</v>
      </c>
      <c r="Z14" s="34">
        <f t="shared" si="4"/>
        <v>0</v>
      </c>
      <c r="AA14" s="41">
        <f t="shared" si="5"/>
        <v>0</v>
      </c>
      <c r="AB14" s="31">
        <f t="shared" si="6"/>
        <v>0</v>
      </c>
    </row>
    <row r="15" spans="1:28" x14ac:dyDescent="0.7">
      <c r="C15" s="63" t="str">
        <f t="shared" si="9"/>
        <v/>
      </c>
      <c r="D15" s="16"/>
      <c r="E15" s="3"/>
      <c r="F15" s="57"/>
      <c r="G15" s="15" t="str">
        <f t="shared" si="10"/>
        <v/>
      </c>
      <c r="H15" s="65" t="str">
        <f t="shared" si="11"/>
        <v/>
      </c>
      <c r="I15" s="65" t="str">
        <f t="shared" si="12"/>
        <v/>
      </c>
      <c r="O15" s="32" t="str">
        <f t="shared" si="0"/>
        <v/>
      </c>
      <c r="P15" s="21"/>
      <c r="Q15" s="33"/>
      <c r="R15" s="33"/>
      <c r="S15" s="36">
        <f t="shared" si="13"/>
        <v>0</v>
      </c>
      <c r="T15" s="34">
        <f t="shared" si="7"/>
        <v>0</v>
      </c>
      <c r="U15" s="32">
        <f t="shared" si="8"/>
        <v>0</v>
      </c>
      <c r="V15" s="43"/>
      <c r="W15" s="32">
        <f t="shared" si="1"/>
        <v>0</v>
      </c>
      <c r="X15" s="34">
        <f t="shared" si="2"/>
        <v>0</v>
      </c>
      <c r="Y15" s="30">
        <f t="shared" si="3"/>
        <v>0</v>
      </c>
      <c r="Z15" s="34">
        <f t="shared" si="4"/>
        <v>0</v>
      </c>
      <c r="AA15" s="41">
        <f t="shared" si="5"/>
        <v>0</v>
      </c>
      <c r="AB15" s="31">
        <f t="shared" si="6"/>
        <v>0</v>
      </c>
    </row>
    <row r="16" spans="1:28" x14ac:dyDescent="0.7">
      <c r="C16" s="63" t="str">
        <f t="shared" si="9"/>
        <v/>
      </c>
      <c r="D16" s="16"/>
      <c r="E16" s="3"/>
      <c r="F16" s="57"/>
      <c r="G16" s="15" t="str">
        <f t="shared" si="10"/>
        <v/>
      </c>
      <c r="H16" s="65" t="str">
        <f t="shared" si="11"/>
        <v/>
      </c>
      <c r="I16" s="65" t="str">
        <f t="shared" si="12"/>
        <v/>
      </c>
      <c r="O16" s="32" t="str">
        <f t="shared" si="0"/>
        <v/>
      </c>
      <c r="P16" s="21"/>
      <c r="Q16" s="33"/>
      <c r="R16" s="33"/>
      <c r="S16" s="36">
        <f t="shared" si="13"/>
        <v>0</v>
      </c>
      <c r="T16" s="34">
        <f t="shared" si="7"/>
        <v>0</v>
      </c>
      <c r="U16" s="32">
        <f t="shared" si="8"/>
        <v>0</v>
      </c>
      <c r="V16" s="43"/>
      <c r="W16" s="32">
        <f t="shared" si="1"/>
        <v>0</v>
      </c>
      <c r="X16" s="34">
        <f t="shared" si="2"/>
        <v>0</v>
      </c>
      <c r="Y16" s="30">
        <f t="shared" si="3"/>
        <v>0</v>
      </c>
      <c r="Z16" s="34">
        <f t="shared" si="4"/>
        <v>0</v>
      </c>
      <c r="AA16" s="41">
        <f t="shared" si="5"/>
        <v>0</v>
      </c>
      <c r="AB16" s="31">
        <f t="shared" si="6"/>
        <v>0</v>
      </c>
    </row>
    <row r="17" spans="3:28" x14ac:dyDescent="0.7">
      <c r="C17" s="63" t="str">
        <f t="shared" si="9"/>
        <v/>
      </c>
      <c r="D17" s="16"/>
      <c r="E17" s="3"/>
      <c r="F17" s="57"/>
      <c r="G17" s="15" t="str">
        <f t="shared" si="10"/>
        <v/>
      </c>
      <c r="H17" s="65" t="str">
        <f t="shared" si="11"/>
        <v/>
      </c>
      <c r="I17" s="65" t="str">
        <f t="shared" si="12"/>
        <v/>
      </c>
      <c r="O17" s="32" t="str">
        <f t="shared" si="0"/>
        <v/>
      </c>
      <c r="P17" s="21"/>
      <c r="Q17" s="33"/>
      <c r="R17" s="33"/>
      <c r="S17" s="36">
        <f t="shared" si="13"/>
        <v>0</v>
      </c>
      <c r="T17" s="34">
        <f t="shared" si="7"/>
        <v>0</v>
      </c>
      <c r="U17" s="32">
        <f t="shared" si="8"/>
        <v>0</v>
      </c>
      <c r="V17" s="43"/>
      <c r="W17" s="32">
        <f t="shared" si="1"/>
        <v>0</v>
      </c>
      <c r="X17" s="34">
        <f t="shared" si="2"/>
        <v>0</v>
      </c>
      <c r="Y17" s="30">
        <f t="shared" si="3"/>
        <v>0</v>
      </c>
      <c r="Z17" s="34">
        <f t="shared" si="4"/>
        <v>0</v>
      </c>
      <c r="AA17" s="41">
        <f t="shared" si="5"/>
        <v>0</v>
      </c>
      <c r="AB17" s="31">
        <f t="shared" si="6"/>
        <v>0</v>
      </c>
    </row>
    <row r="18" spans="3:28" x14ac:dyDescent="0.7">
      <c r="C18" s="63" t="str">
        <f t="shared" si="9"/>
        <v/>
      </c>
      <c r="D18" s="16"/>
      <c r="E18" s="3"/>
      <c r="F18" s="57"/>
      <c r="G18" s="15" t="str">
        <f t="shared" si="10"/>
        <v/>
      </c>
      <c r="H18" s="65" t="str">
        <f t="shared" si="11"/>
        <v/>
      </c>
      <c r="I18" s="65" t="str">
        <f t="shared" si="12"/>
        <v/>
      </c>
      <c r="O18" s="32" t="str">
        <f t="shared" si="0"/>
        <v/>
      </c>
      <c r="P18" s="21"/>
      <c r="Q18" s="33"/>
      <c r="R18" s="33"/>
      <c r="S18" s="36">
        <f t="shared" si="13"/>
        <v>0</v>
      </c>
      <c r="T18" s="34">
        <f t="shared" si="7"/>
        <v>0</v>
      </c>
      <c r="U18" s="32">
        <f t="shared" si="8"/>
        <v>0</v>
      </c>
      <c r="V18" s="43"/>
      <c r="W18" s="32">
        <f t="shared" si="1"/>
        <v>0</v>
      </c>
      <c r="X18" s="34">
        <f t="shared" si="2"/>
        <v>0</v>
      </c>
      <c r="Y18" s="30">
        <f t="shared" si="3"/>
        <v>0</v>
      </c>
      <c r="Z18" s="34">
        <f t="shared" si="4"/>
        <v>0</v>
      </c>
      <c r="AA18" s="41">
        <f t="shared" si="5"/>
        <v>0</v>
      </c>
      <c r="AB18" s="31">
        <f t="shared" si="6"/>
        <v>0</v>
      </c>
    </row>
    <row r="19" spans="3:28" x14ac:dyDescent="0.7">
      <c r="C19" s="63" t="str">
        <f t="shared" si="9"/>
        <v/>
      </c>
      <c r="D19" s="16"/>
      <c r="E19" s="3"/>
      <c r="F19" s="57"/>
      <c r="G19" s="15" t="str">
        <f t="shared" si="10"/>
        <v/>
      </c>
      <c r="H19" s="65" t="str">
        <f t="shared" si="11"/>
        <v/>
      </c>
      <c r="I19" s="65" t="str">
        <f t="shared" si="12"/>
        <v/>
      </c>
      <c r="O19" s="32" t="str">
        <f t="shared" si="0"/>
        <v/>
      </c>
      <c r="P19" s="21"/>
      <c r="Q19" s="33"/>
      <c r="R19" s="33"/>
      <c r="S19" s="36">
        <f t="shared" si="13"/>
        <v>0</v>
      </c>
      <c r="T19" s="34">
        <f t="shared" si="7"/>
        <v>0</v>
      </c>
      <c r="U19" s="32">
        <f t="shared" si="8"/>
        <v>0</v>
      </c>
      <c r="V19" s="43"/>
      <c r="W19" s="32">
        <f t="shared" si="1"/>
        <v>0</v>
      </c>
      <c r="X19" s="34">
        <f t="shared" si="2"/>
        <v>0</v>
      </c>
      <c r="Y19" s="30">
        <f t="shared" si="3"/>
        <v>0</v>
      </c>
      <c r="Z19" s="34">
        <f t="shared" si="4"/>
        <v>0</v>
      </c>
      <c r="AA19" s="41">
        <f t="shared" si="5"/>
        <v>0</v>
      </c>
      <c r="AB19" s="31">
        <f t="shared" si="6"/>
        <v>0</v>
      </c>
    </row>
    <row r="20" spans="3:28" x14ac:dyDescent="0.7">
      <c r="C20" s="63" t="str">
        <f t="shared" si="9"/>
        <v/>
      </c>
      <c r="D20" s="16"/>
      <c r="E20" s="3"/>
      <c r="F20" s="57"/>
      <c r="G20" s="15" t="str">
        <f t="shared" si="10"/>
        <v/>
      </c>
      <c r="H20" s="65" t="str">
        <f t="shared" si="11"/>
        <v/>
      </c>
      <c r="I20" s="65" t="str">
        <f t="shared" si="12"/>
        <v/>
      </c>
      <c r="O20" s="32" t="str">
        <f t="shared" si="0"/>
        <v/>
      </c>
      <c r="P20" s="21"/>
      <c r="Q20" s="33"/>
      <c r="R20" s="33"/>
      <c r="S20" s="36">
        <f t="shared" si="13"/>
        <v>0</v>
      </c>
      <c r="T20" s="34">
        <f t="shared" si="7"/>
        <v>0</v>
      </c>
      <c r="U20" s="32">
        <f t="shared" si="8"/>
        <v>0</v>
      </c>
      <c r="V20" s="43"/>
      <c r="W20" s="32">
        <f t="shared" si="1"/>
        <v>0</v>
      </c>
      <c r="X20" s="34">
        <f t="shared" si="2"/>
        <v>0</v>
      </c>
      <c r="Y20" s="30">
        <f t="shared" si="3"/>
        <v>0</v>
      </c>
      <c r="Z20" s="34">
        <f t="shared" si="4"/>
        <v>0</v>
      </c>
      <c r="AA20" s="41">
        <f t="shared" si="5"/>
        <v>0</v>
      </c>
      <c r="AB20" s="31">
        <f t="shared" si="6"/>
        <v>0</v>
      </c>
    </row>
    <row r="21" spans="3:28" x14ac:dyDescent="0.7">
      <c r="C21" s="63" t="str">
        <f t="shared" si="9"/>
        <v/>
      </c>
      <c r="D21" s="16"/>
      <c r="E21" s="3"/>
      <c r="F21" s="57"/>
      <c r="G21" s="15" t="str">
        <f t="shared" si="10"/>
        <v/>
      </c>
      <c r="H21" s="65" t="str">
        <f t="shared" si="11"/>
        <v/>
      </c>
      <c r="I21" s="65" t="str">
        <f t="shared" si="12"/>
        <v/>
      </c>
      <c r="O21" s="32" t="str">
        <f t="shared" si="0"/>
        <v/>
      </c>
      <c r="P21" s="21"/>
      <c r="Q21" s="33"/>
      <c r="R21" s="33"/>
      <c r="S21" s="36">
        <f t="shared" si="13"/>
        <v>0</v>
      </c>
      <c r="T21" s="34">
        <f t="shared" si="7"/>
        <v>0</v>
      </c>
      <c r="U21" s="32">
        <f t="shared" si="8"/>
        <v>0</v>
      </c>
      <c r="V21" s="43"/>
      <c r="W21" s="32">
        <f t="shared" si="1"/>
        <v>0</v>
      </c>
      <c r="X21" s="34">
        <f t="shared" si="2"/>
        <v>0</v>
      </c>
      <c r="Y21" s="30">
        <f t="shared" si="3"/>
        <v>0</v>
      </c>
      <c r="Z21" s="34">
        <f t="shared" si="4"/>
        <v>0</v>
      </c>
      <c r="AA21" s="41">
        <f t="shared" si="5"/>
        <v>0</v>
      </c>
      <c r="AB21" s="31">
        <f t="shared" si="6"/>
        <v>0</v>
      </c>
    </row>
    <row r="22" spans="3:28" x14ac:dyDescent="0.7">
      <c r="C22" s="63" t="str">
        <f t="shared" si="9"/>
        <v/>
      </c>
      <c r="D22" s="16"/>
      <c r="E22" s="3"/>
      <c r="F22" s="57"/>
      <c r="G22" s="15" t="str">
        <f t="shared" si="10"/>
        <v/>
      </c>
      <c r="H22" s="65" t="str">
        <f t="shared" si="11"/>
        <v/>
      </c>
      <c r="I22" s="65" t="str">
        <f t="shared" si="12"/>
        <v/>
      </c>
      <c r="O22" s="32" t="str">
        <f t="shared" si="0"/>
        <v/>
      </c>
      <c r="P22" s="21"/>
      <c r="Q22" s="33"/>
      <c r="R22" s="33"/>
      <c r="S22" s="36">
        <f t="shared" si="13"/>
        <v>0</v>
      </c>
      <c r="T22" s="34">
        <f t="shared" si="7"/>
        <v>0</v>
      </c>
      <c r="U22" s="32">
        <f t="shared" si="8"/>
        <v>0</v>
      </c>
      <c r="V22" s="43"/>
      <c r="W22" s="32">
        <f t="shared" si="1"/>
        <v>0</v>
      </c>
      <c r="X22" s="34">
        <f t="shared" si="2"/>
        <v>0</v>
      </c>
      <c r="Y22" s="30">
        <f t="shared" si="3"/>
        <v>0</v>
      </c>
      <c r="Z22" s="34">
        <f t="shared" si="4"/>
        <v>0</v>
      </c>
      <c r="AA22" s="41">
        <f t="shared" si="5"/>
        <v>0</v>
      </c>
      <c r="AB22" s="31">
        <f t="shared" si="6"/>
        <v>0</v>
      </c>
    </row>
    <row r="23" spans="3:28" x14ac:dyDescent="0.7">
      <c r="C23" s="63" t="str">
        <f t="shared" si="9"/>
        <v/>
      </c>
      <c r="D23" s="16"/>
      <c r="E23" s="3"/>
      <c r="F23" s="57"/>
      <c r="G23" s="15" t="str">
        <f t="shared" si="10"/>
        <v/>
      </c>
      <c r="H23" s="65" t="str">
        <f t="shared" si="11"/>
        <v/>
      </c>
      <c r="I23" s="65" t="str">
        <f t="shared" si="12"/>
        <v/>
      </c>
      <c r="O23" s="32" t="str">
        <f t="shared" si="0"/>
        <v/>
      </c>
      <c r="P23" s="21"/>
      <c r="Q23" s="33"/>
      <c r="R23" s="33"/>
      <c r="S23" s="36">
        <f t="shared" si="13"/>
        <v>0</v>
      </c>
      <c r="T23" s="34">
        <f t="shared" si="7"/>
        <v>0</v>
      </c>
      <c r="U23" s="32">
        <f t="shared" si="8"/>
        <v>0</v>
      </c>
      <c r="V23" s="43"/>
      <c r="W23" s="32">
        <f t="shared" si="1"/>
        <v>0</v>
      </c>
      <c r="X23" s="34">
        <f t="shared" si="2"/>
        <v>0</v>
      </c>
      <c r="Y23" s="30">
        <f t="shared" si="3"/>
        <v>0</v>
      </c>
      <c r="Z23" s="34">
        <f t="shared" si="4"/>
        <v>0</v>
      </c>
      <c r="AA23" s="41">
        <f t="shared" si="5"/>
        <v>0</v>
      </c>
      <c r="AB23" s="31">
        <f t="shared" si="6"/>
        <v>0</v>
      </c>
    </row>
    <row r="24" spans="3:28" x14ac:dyDescent="0.7">
      <c r="C24" s="63" t="str">
        <f t="shared" si="9"/>
        <v/>
      </c>
      <c r="D24" s="16"/>
      <c r="E24" s="3"/>
      <c r="F24" s="57"/>
      <c r="G24" s="15" t="str">
        <f t="shared" si="10"/>
        <v/>
      </c>
      <c r="H24" s="65" t="str">
        <f t="shared" si="11"/>
        <v/>
      </c>
      <c r="I24" s="65" t="str">
        <f t="shared" si="12"/>
        <v/>
      </c>
      <c r="O24" s="32" t="str">
        <f t="shared" si="0"/>
        <v/>
      </c>
      <c r="P24" s="21"/>
      <c r="Q24" s="33"/>
      <c r="R24" s="33"/>
      <c r="S24" s="36">
        <f t="shared" si="13"/>
        <v>0</v>
      </c>
      <c r="T24" s="34">
        <f t="shared" si="7"/>
        <v>0</v>
      </c>
      <c r="U24" s="32">
        <f t="shared" si="8"/>
        <v>0</v>
      </c>
      <c r="V24" s="43"/>
      <c r="W24" s="32">
        <f t="shared" si="1"/>
        <v>0</v>
      </c>
      <c r="X24" s="34">
        <f t="shared" si="2"/>
        <v>0</v>
      </c>
      <c r="Y24" s="30">
        <f t="shared" si="3"/>
        <v>0</v>
      </c>
      <c r="Z24" s="34">
        <f t="shared" si="4"/>
        <v>0</v>
      </c>
      <c r="AA24" s="41">
        <f t="shared" si="5"/>
        <v>0</v>
      </c>
      <c r="AB24" s="31">
        <f t="shared" si="6"/>
        <v>0</v>
      </c>
    </row>
    <row r="25" spans="3:28" x14ac:dyDescent="0.7">
      <c r="C25" s="63" t="str">
        <f t="shared" si="9"/>
        <v/>
      </c>
      <c r="D25" s="16"/>
      <c r="E25" s="3"/>
      <c r="F25" s="57"/>
      <c r="G25" s="15" t="str">
        <f t="shared" si="10"/>
        <v/>
      </c>
      <c r="H25" s="65" t="str">
        <f t="shared" si="11"/>
        <v/>
      </c>
      <c r="I25" s="65" t="str">
        <f t="shared" si="12"/>
        <v/>
      </c>
      <c r="O25" s="32" t="str">
        <f t="shared" si="0"/>
        <v/>
      </c>
      <c r="P25" s="21"/>
      <c r="Q25" s="33"/>
      <c r="R25" s="33"/>
      <c r="S25" s="36">
        <f t="shared" si="13"/>
        <v>0</v>
      </c>
      <c r="T25" s="34">
        <f t="shared" si="7"/>
        <v>0</v>
      </c>
      <c r="U25" s="32">
        <f t="shared" si="8"/>
        <v>0</v>
      </c>
      <c r="V25" s="43"/>
      <c r="W25" s="32">
        <f t="shared" si="1"/>
        <v>0</v>
      </c>
      <c r="X25" s="34">
        <f t="shared" si="2"/>
        <v>0</v>
      </c>
      <c r="Y25" s="30">
        <f t="shared" si="3"/>
        <v>0</v>
      </c>
      <c r="Z25" s="34">
        <f t="shared" si="4"/>
        <v>0</v>
      </c>
      <c r="AA25" s="41">
        <f t="shared" si="5"/>
        <v>0</v>
      </c>
      <c r="AB25" s="31">
        <f t="shared" si="6"/>
        <v>0</v>
      </c>
    </row>
    <row r="26" spans="3:28" x14ac:dyDescent="0.7">
      <c r="C26" s="63" t="str">
        <f t="shared" si="9"/>
        <v/>
      </c>
      <c r="D26" s="16"/>
      <c r="E26" s="3"/>
      <c r="F26" s="57"/>
      <c r="G26" s="15" t="str">
        <f t="shared" si="10"/>
        <v/>
      </c>
      <c r="H26" s="65" t="str">
        <f t="shared" si="11"/>
        <v/>
      </c>
      <c r="I26" s="65" t="str">
        <f t="shared" si="12"/>
        <v/>
      </c>
      <c r="O26" s="32" t="str">
        <f t="shared" si="0"/>
        <v/>
      </c>
      <c r="P26" s="21"/>
      <c r="Q26" s="33"/>
      <c r="R26" s="33"/>
      <c r="S26" s="36">
        <f t="shared" si="13"/>
        <v>0</v>
      </c>
      <c r="T26" s="34">
        <f t="shared" si="7"/>
        <v>0</v>
      </c>
      <c r="U26" s="32">
        <f t="shared" si="8"/>
        <v>0</v>
      </c>
      <c r="V26" s="43"/>
      <c r="W26" s="32">
        <f t="shared" si="1"/>
        <v>0</v>
      </c>
      <c r="X26" s="34">
        <f t="shared" si="2"/>
        <v>0</v>
      </c>
      <c r="Y26" s="30">
        <f t="shared" si="3"/>
        <v>0</v>
      </c>
      <c r="Z26" s="34">
        <f t="shared" si="4"/>
        <v>0</v>
      </c>
      <c r="AA26" s="41">
        <f t="shared" si="5"/>
        <v>0</v>
      </c>
      <c r="AB26" s="31">
        <f t="shared" si="6"/>
        <v>0</v>
      </c>
    </row>
    <row r="27" spans="3:28" x14ac:dyDescent="0.7">
      <c r="C27" s="63" t="str">
        <f t="shared" si="9"/>
        <v/>
      </c>
      <c r="D27" s="16"/>
      <c r="E27" s="3"/>
      <c r="F27" s="57"/>
      <c r="G27" s="15" t="str">
        <f t="shared" si="10"/>
        <v/>
      </c>
      <c r="H27" s="65" t="str">
        <f t="shared" si="11"/>
        <v/>
      </c>
      <c r="I27" s="65" t="str">
        <f t="shared" si="12"/>
        <v/>
      </c>
      <c r="O27" s="32" t="str">
        <f t="shared" si="0"/>
        <v/>
      </c>
      <c r="P27" s="21"/>
      <c r="Q27" s="33"/>
      <c r="R27" s="33"/>
      <c r="S27" s="36">
        <f t="shared" si="13"/>
        <v>0</v>
      </c>
      <c r="T27" s="34">
        <f t="shared" si="7"/>
        <v>0</v>
      </c>
      <c r="U27" s="32">
        <f t="shared" si="8"/>
        <v>0</v>
      </c>
      <c r="V27" s="43"/>
      <c r="W27" s="32">
        <f t="shared" si="1"/>
        <v>0</v>
      </c>
      <c r="X27" s="34">
        <f t="shared" si="2"/>
        <v>0</v>
      </c>
      <c r="Y27" s="30">
        <f t="shared" si="3"/>
        <v>0</v>
      </c>
      <c r="Z27" s="34">
        <f t="shared" si="4"/>
        <v>0</v>
      </c>
      <c r="AA27" s="41">
        <f t="shared" si="5"/>
        <v>0</v>
      </c>
      <c r="AB27" s="31">
        <f t="shared" si="6"/>
        <v>0</v>
      </c>
    </row>
    <row r="28" spans="3:28" x14ac:dyDescent="0.7">
      <c r="C28" s="63" t="str">
        <f t="shared" si="9"/>
        <v/>
      </c>
      <c r="D28" s="16"/>
      <c r="E28" s="3"/>
      <c r="F28" s="57"/>
      <c r="G28" s="15" t="str">
        <f t="shared" si="10"/>
        <v/>
      </c>
      <c r="H28" s="65" t="str">
        <f t="shared" si="11"/>
        <v/>
      </c>
      <c r="I28" s="65" t="str">
        <f t="shared" si="12"/>
        <v/>
      </c>
      <c r="O28" s="32" t="str">
        <f t="shared" si="0"/>
        <v/>
      </c>
      <c r="P28" s="21"/>
      <c r="Q28" s="33"/>
      <c r="R28" s="33"/>
      <c r="S28" s="36">
        <f t="shared" si="13"/>
        <v>0</v>
      </c>
      <c r="T28" s="34">
        <f t="shared" si="7"/>
        <v>0</v>
      </c>
      <c r="U28" s="32">
        <f t="shared" si="8"/>
        <v>0</v>
      </c>
      <c r="V28" s="43"/>
      <c r="W28" s="32">
        <f t="shared" si="1"/>
        <v>0</v>
      </c>
      <c r="X28" s="34">
        <f t="shared" si="2"/>
        <v>0</v>
      </c>
      <c r="Y28" s="30">
        <f t="shared" si="3"/>
        <v>0</v>
      </c>
      <c r="Z28" s="34">
        <f t="shared" si="4"/>
        <v>0</v>
      </c>
      <c r="AA28" s="41">
        <f t="shared" si="5"/>
        <v>0</v>
      </c>
      <c r="AB28" s="31">
        <f t="shared" si="6"/>
        <v>0</v>
      </c>
    </row>
    <row r="29" spans="3:28" x14ac:dyDescent="0.7">
      <c r="C29" s="63" t="str">
        <f t="shared" si="9"/>
        <v/>
      </c>
      <c r="D29" s="16"/>
      <c r="E29" s="3"/>
      <c r="F29" s="57"/>
      <c r="G29" s="15" t="str">
        <f t="shared" si="10"/>
        <v/>
      </c>
      <c r="H29" s="65" t="str">
        <f t="shared" si="11"/>
        <v/>
      </c>
      <c r="I29" s="65" t="str">
        <f t="shared" si="12"/>
        <v/>
      </c>
      <c r="O29" s="32" t="str">
        <f t="shared" si="0"/>
        <v/>
      </c>
      <c r="P29" s="21"/>
      <c r="Q29" s="33"/>
      <c r="R29" s="33"/>
      <c r="S29" s="36">
        <f t="shared" si="13"/>
        <v>0</v>
      </c>
      <c r="T29" s="34">
        <f t="shared" si="7"/>
        <v>0</v>
      </c>
      <c r="U29" s="32">
        <f t="shared" si="8"/>
        <v>0</v>
      </c>
      <c r="V29" s="43"/>
      <c r="W29" s="32">
        <f t="shared" si="1"/>
        <v>0</v>
      </c>
      <c r="X29" s="34">
        <f t="shared" si="2"/>
        <v>0</v>
      </c>
      <c r="Y29" s="30">
        <f t="shared" si="3"/>
        <v>0</v>
      </c>
      <c r="Z29" s="34">
        <f t="shared" si="4"/>
        <v>0</v>
      </c>
      <c r="AA29" s="41">
        <f t="shared" si="5"/>
        <v>0</v>
      </c>
      <c r="AB29" s="31">
        <f t="shared" si="6"/>
        <v>0</v>
      </c>
    </row>
    <row r="30" spans="3:28" x14ac:dyDescent="0.7">
      <c r="C30" s="63" t="str">
        <f t="shared" si="9"/>
        <v/>
      </c>
      <c r="D30" s="16"/>
      <c r="E30" s="3"/>
      <c r="F30" s="57"/>
      <c r="G30" s="15" t="str">
        <f t="shared" si="10"/>
        <v/>
      </c>
      <c r="H30" s="65" t="str">
        <f t="shared" si="11"/>
        <v/>
      </c>
      <c r="I30" s="65" t="str">
        <f t="shared" si="12"/>
        <v/>
      </c>
      <c r="O30" s="32" t="str">
        <f t="shared" si="0"/>
        <v/>
      </c>
      <c r="P30" s="21"/>
      <c r="Q30" s="33"/>
      <c r="R30" s="33"/>
      <c r="S30" s="36">
        <f t="shared" si="13"/>
        <v>0</v>
      </c>
      <c r="T30" s="34">
        <f t="shared" si="7"/>
        <v>0</v>
      </c>
      <c r="U30" s="32">
        <f t="shared" si="8"/>
        <v>0</v>
      </c>
      <c r="V30" s="43"/>
      <c r="W30" s="32">
        <f t="shared" si="1"/>
        <v>0</v>
      </c>
      <c r="X30" s="34">
        <f t="shared" si="2"/>
        <v>0</v>
      </c>
      <c r="Y30" s="30">
        <f t="shared" si="3"/>
        <v>0</v>
      </c>
      <c r="Z30" s="34">
        <f t="shared" si="4"/>
        <v>0</v>
      </c>
      <c r="AA30" s="41">
        <f t="shared" si="5"/>
        <v>0</v>
      </c>
      <c r="AB30" s="31">
        <f t="shared" si="6"/>
        <v>0</v>
      </c>
    </row>
    <row r="31" spans="3:28" x14ac:dyDescent="0.7">
      <c r="C31" s="63" t="str">
        <f t="shared" si="9"/>
        <v/>
      </c>
      <c r="D31" s="16"/>
      <c r="E31" s="3"/>
      <c r="F31" s="57"/>
      <c r="G31" s="15" t="str">
        <f t="shared" si="10"/>
        <v/>
      </c>
      <c r="H31" s="65" t="str">
        <f t="shared" si="11"/>
        <v/>
      </c>
      <c r="I31" s="65" t="str">
        <f t="shared" si="12"/>
        <v/>
      </c>
      <c r="O31" s="32" t="str">
        <f t="shared" si="0"/>
        <v/>
      </c>
      <c r="P31" s="21"/>
      <c r="Q31" s="33"/>
      <c r="R31" s="33"/>
      <c r="S31" s="36">
        <f t="shared" si="13"/>
        <v>0</v>
      </c>
      <c r="T31" s="34">
        <f t="shared" si="7"/>
        <v>0</v>
      </c>
      <c r="U31" s="32">
        <f t="shared" si="8"/>
        <v>0</v>
      </c>
      <c r="V31" s="43"/>
      <c r="W31" s="32">
        <f t="shared" si="1"/>
        <v>0</v>
      </c>
      <c r="X31" s="34">
        <f t="shared" si="2"/>
        <v>0</v>
      </c>
      <c r="Y31" s="30">
        <f t="shared" si="3"/>
        <v>0</v>
      </c>
      <c r="Z31" s="34">
        <f t="shared" si="4"/>
        <v>0</v>
      </c>
      <c r="AA31" s="41">
        <f t="shared" si="5"/>
        <v>0</v>
      </c>
      <c r="AB31" s="31">
        <f t="shared" si="6"/>
        <v>0</v>
      </c>
    </row>
    <row r="32" spans="3:28" x14ac:dyDescent="0.7">
      <c r="C32" s="63" t="str">
        <f t="shared" si="9"/>
        <v/>
      </c>
      <c r="D32" s="16"/>
      <c r="E32" s="3"/>
      <c r="F32" s="57"/>
      <c r="G32" s="15" t="str">
        <f t="shared" si="10"/>
        <v/>
      </c>
      <c r="H32" s="65" t="str">
        <f t="shared" si="11"/>
        <v/>
      </c>
      <c r="I32" s="65" t="str">
        <f t="shared" si="12"/>
        <v/>
      </c>
      <c r="O32" s="32" t="str">
        <f t="shared" si="0"/>
        <v/>
      </c>
      <c r="P32" s="21"/>
      <c r="Q32" s="33"/>
      <c r="R32" s="33"/>
      <c r="S32" s="36">
        <f t="shared" si="13"/>
        <v>0</v>
      </c>
      <c r="T32" s="34">
        <f t="shared" si="7"/>
        <v>0</v>
      </c>
      <c r="U32" s="32">
        <f t="shared" si="8"/>
        <v>0</v>
      </c>
      <c r="V32" s="43"/>
      <c r="W32" s="32">
        <f t="shared" si="1"/>
        <v>0</v>
      </c>
      <c r="X32" s="34">
        <f t="shared" si="2"/>
        <v>0</v>
      </c>
      <c r="Y32" s="30">
        <f t="shared" si="3"/>
        <v>0</v>
      </c>
      <c r="Z32" s="34">
        <f t="shared" si="4"/>
        <v>0</v>
      </c>
      <c r="AA32" s="41">
        <f t="shared" si="5"/>
        <v>0</v>
      </c>
      <c r="AB32" s="31">
        <f t="shared" si="6"/>
        <v>0</v>
      </c>
    </row>
    <row r="33" spans="3:28" x14ac:dyDescent="0.7">
      <c r="C33" s="63" t="str">
        <f t="shared" si="9"/>
        <v/>
      </c>
      <c r="D33" s="16"/>
      <c r="E33" s="3"/>
      <c r="F33" s="57"/>
      <c r="G33" s="15" t="str">
        <f t="shared" si="10"/>
        <v/>
      </c>
      <c r="H33" s="65" t="str">
        <f t="shared" si="11"/>
        <v/>
      </c>
      <c r="I33" s="65" t="str">
        <f t="shared" si="12"/>
        <v/>
      </c>
      <c r="O33" s="32" t="str">
        <f t="shared" si="0"/>
        <v/>
      </c>
      <c r="P33" s="21"/>
      <c r="Q33" s="33"/>
      <c r="R33" s="33"/>
      <c r="S33" s="36">
        <f t="shared" si="13"/>
        <v>0</v>
      </c>
      <c r="T33" s="34">
        <f t="shared" si="7"/>
        <v>0</v>
      </c>
      <c r="U33" s="32">
        <f t="shared" si="8"/>
        <v>0</v>
      </c>
      <c r="V33" s="43"/>
      <c r="W33" s="32">
        <f t="shared" si="1"/>
        <v>0</v>
      </c>
      <c r="X33" s="34">
        <f t="shared" si="2"/>
        <v>0</v>
      </c>
      <c r="Y33" s="30">
        <f t="shared" si="3"/>
        <v>0</v>
      </c>
      <c r="Z33" s="34">
        <f t="shared" si="4"/>
        <v>0</v>
      </c>
      <c r="AA33" s="41">
        <f t="shared" si="5"/>
        <v>0</v>
      </c>
      <c r="AB33" s="31">
        <f t="shared" si="6"/>
        <v>0</v>
      </c>
    </row>
    <row r="34" spans="3:28" x14ac:dyDescent="0.7">
      <c r="C34" s="63" t="str">
        <f t="shared" si="9"/>
        <v/>
      </c>
      <c r="D34" s="16"/>
      <c r="E34" s="3"/>
      <c r="F34" s="57"/>
      <c r="G34" s="15" t="str">
        <f t="shared" si="10"/>
        <v/>
      </c>
      <c r="H34" s="65" t="str">
        <f t="shared" si="11"/>
        <v/>
      </c>
      <c r="I34" s="65" t="str">
        <f t="shared" si="12"/>
        <v/>
      </c>
      <c r="O34" s="32" t="str">
        <f t="shared" si="0"/>
        <v/>
      </c>
      <c r="P34" s="21"/>
      <c r="Q34" s="33"/>
      <c r="R34" s="33"/>
      <c r="S34" s="36">
        <f t="shared" si="13"/>
        <v>0</v>
      </c>
      <c r="T34" s="34">
        <f t="shared" si="7"/>
        <v>0</v>
      </c>
      <c r="U34" s="32">
        <f t="shared" si="8"/>
        <v>0</v>
      </c>
      <c r="V34" s="43"/>
      <c r="W34" s="32">
        <f t="shared" si="1"/>
        <v>0</v>
      </c>
      <c r="X34" s="34">
        <f t="shared" si="2"/>
        <v>0</v>
      </c>
      <c r="Y34" s="30">
        <f t="shared" si="3"/>
        <v>0</v>
      </c>
      <c r="Z34" s="34">
        <f t="shared" si="4"/>
        <v>0</v>
      </c>
      <c r="AA34" s="41">
        <f t="shared" si="5"/>
        <v>0</v>
      </c>
      <c r="AB34" s="31">
        <f t="shared" si="6"/>
        <v>0</v>
      </c>
    </row>
    <row r="35" spans="3:28" x14ac:dyDescent="0.7">
      <c r="C35" s="63" t="str">
        <f t="shared" si="9"/>
        <v/>
      </c>
      <c r="D35" s="16"/>
      <c r="E35" s="3"/>
      <c r="F35" s="57"/>
      <c r="G35" s="15" t="str">
        <f t="shared" si="10"/>
        <v/>
      </c>
      <c r="H35" s="65" t="str">
        <f t="shared" si="11"/>
        <v/>
      </c>
      <c r="I35" s="65" t="str">
        <f t="shared" si="12"/>
        <v/>
      </c>
      <c r="O35" s="32" t="str">
        <f t="shared" si="0"/>
        <v/>
      </c>
      <c r="P35" s="21"/>
      <c r="Q35" s="33"/>
      <c r="R35" s="33"/>
      <c r="S35" s="36">
        <f t="shared" si="13"/>
        <v>0</v>
      </c>
      <c r="T35" s="34">
        <f t="shared" si="7"/>
        <v>0</v>
      </c>
      <c r="U35" s="32">
        <f t="shared" si="8"/>
        <v>0</v>
      </c>
      <c r="V35" s="43"/>
      <c r="W35" s="32">
        <f t="shared" si="1"/>
        <v>0</v>
      </c>
      <c r="X35" s="34">
        <f t="shared" si="2"/>
        <v>0</v>
      </c>
      <c r="Y35" s="30">
        <f t="shared" si="3"/>
        <v>0</v>
      </c>
      <c r="Z35" s="34">
        <f t="shared" si="4"/>
        <v>0</v>
      </c>
      <c r="AA35" s="41">
        <f t="shared" si="5"/>
        <v>0</v>
      </c>
      <c r="AB35" s="31">
        <f t="shared" si="6"/>
        <v>0</v>
      </c>
    </row>
    <row r="36" spans="3:28" x14ac:dyDescent="0.7">
      <c r="C36" s="63" t="str">
        <f t="shared" si="9"/>
        <v/>
      </c>
      <c r="D36" s="16"/>
      <c r="E36" s="3"/>
      <c r="F36" s="57"/>
      <c r="G36" s="15" t="str">
        <f t="shared" si="10"/>
        <v/>
      </c>
      <c r="H36" s="65" t="str">
        <f t="shared" si="11"/>
        <v/>
      </c>
      <c r="I36" s="65" t="str">
        <f t="shared" si="12"/>
        <v/>
      </c>
      <c r="O36" s="32" t="str">
        <f t="shared" si="0"/>
        <v/>
      </c>
      <c r="P36" s="21"/>
      <c r="Q36" s="33"/>
      <c r="R36" s="33"/>
      <c r="S36" s="36">
        <f t="shared" si="13"/>
        <v>0</v>
      </c>
      <c r="T36" s="34">
        <f t="shared" si="7"/>
        <v>0</v>
      </c>
      <c r="U36" s="32">
        <f t="shared" si="8"/>
        <v>0</v>
      </c>
      <c r="V36" s="43"/>
      <c r="W36" s="32">
        <f t="shared" si="1"/>
        <v>0</v>
      </c>
      <c r="X36" s="34">
        <f t="shared" si="2"/>
        <v>0</v>
      </c>
      <c r="Y36" s="30">
        <f t="shared" si="3"/>
        <v>0</v>
      </c>
      <c r="Z36" s="34">
        <f t="shared" si="4"/>
        <v>0</v>
      </c>
      <c r="AA36" s="41">
        <f t="shared" si="5"/>
        <v>0</v>
      </c>
      <c r="AB36" s="31">
        <f t="shared" si="6"/>
        <v>0</v>
      </c>
    </row>
    <row r="37" spans="3:28" x14ac:dyDescent="0.7">
      <c r="C37" s="63" t="str">
        <f t="shared" si="9"/>
        <v/>
      </c>
      <c r="D37" s="16"/>
      <c r="E37" s="3"/>
      <c r="F37" s="57"/>
      <c r="G37" s="15" t="str">
        <f t="shared" si="10"/>
        <v/>
      </c>
      <c r="H37" s="65" t="str">
        <f t="shared" si="11"/>
        <v/>
      </c>
      <c r="I37" s="65" t="str">
        <f t="shared" si="12"/>
        <v/>
      </c>
      <c r="O37" s="32" t="str">
        <f t="shared" si="0"/>
        <v/>
      </c>
      <c r="P37" s="21"/>
      <c r="Q37" s="33"/>
      <c r="R37" s="33"/>
      <c r="S37" s="36">
        <f t="shared" si="13"/>
        <v>0</v>
      </c>
      <c r="T37" s="34">
        <f t="shared" si="7"/>
        <v>0</v>
      </c>
      <c r="U37" s="32">
        <f t="shared" si="8"/>
        <v>0</v>
      </c>
      <c r="V37" s="43"/>
      <c r="W37" s="32">
        <f t="shared" si="1"/>
        <v>0</v>
      </c>
      <c r="X37" s="34">
        <f t="shared" si="2"/>
        <v>0</v>
      </c>
      <c r="Y37" s="30">
        <f t="shared" si="3"/>
        <v>0</v>
      </c>
      <c r="Z37" s="34">
        <f t="shared" si="4"/>
        <v>0</v>
      </c>
      <c r="AA37" s="41">
        <f t="shared" si="5"/>
        <v>0</v>
      </c>
      <c r="AB37" s="31">
        <f t="shared" si="6"/>
        <v>0</v>
      </c>
    </row>
    <row r="38" spans="3:28" x14ac:dyDescent="0.7">
      <c r="C38" s="63" t="str">
        <f t="shared" si="9"/>
        <v/>
      </c>
      <c r="D38" s="16"/>
      <c r="E38" s="3"/>
      <c r="F38" s="57"/>
      <c r="G38" s="15" t="str">
        <f t="shared" si="10"/>
        <v/>
      </c>
      <c r="H38" s="65" t="str">
        <f t="shared" si="11"/>
        <v/>
      </c>
      <c r="I38" s="65" t="str">
        <f t="shared" si="12"/>
        <v/>
      </c>
      <c r="O38" s="32" t="str">
        <f t="shared" si="0"/>
        <v/>
      </c>
      <c r="P38" s="21"/>
      <c r="Q38" s="33"/>
      <c r="R38" s="33"/>
      <c r="S38" s="36">
        <f t="shared" si="13"/>
        <v>0</v>
      </c>
      <c r="T38" s="34">
        <f t="shared" si="7"/>
        <v>0</v>
      </c>
      <c r="U38" s="32">
        <f t="shared" si="8"/>
        <v>0</v>
      </c>
      <c r="V38" s="43"/>
      <c r="W38" s="32">
        <f t="shared" si="1"/>
        <v>0</v>
      </c>
      <c r="X38" s="34">
        <f t="shared" si="2"/>
        <v>0</v>
      </c>
      <c r="Y38" s="30">
        <f t="shared" si="3"/>
        <v>0</v>
      </c>
      <c r="Z38" s="34">
        <f t="shared" si="4"/>
        <v>0</v>
      </c>
      <c r="AA38" s="41">
        <f t="shared" si="5"/>
        <v>0</v>
      </c>
      <c r="AB38" s="31">
        <f t="shared" si="6"/>
        <v>0</v>
      </c>
    </row>
    <row r="39" spans="3:28" x14ac:dyDescent="0.7">
      <c r="C39" s="63" t="str">
        <f t="shared" si="9"/>
        <v/>
      </c>
      <c r="D39" s="16"/>
      <c r="E39" s="3"/>
      <c r="F39" s="57"/>
      <c r="G39" s="15" t="str">
        <f t="shared" si="10"/>
        <v/>
      </c>
      <c r="H39" s="65" t="str">
        <f t="shared" si="11"/>
        <v/>
      </c>
      <c r="I39" s="65" t="str">
        <f t="shared" si="12"/>
        <v/>
      </c>
      <c r="O39" s="32" t="str">
        <f t="shared" si="0"/>
        <v/>
      </c>
      <c r="P39" s="21"/>
      <c r="Q39" s="33"/>
      <c r="R39" s="33"/>
      <c r="S39" s="36">
        <f t="shared" si="13"/>
        <v>0</v>
      </c>
      <c r="T39" s="34">
        <f t="shared" si="7"/>
        <v>0</v>
      </c>
      <c r="U39" s="32">
        <f t="shared" si="8"/>
        <v>0</v>
      </c>
      <c r="V39" s="43"/>
      <c r="W39" s="32">
        <f t="shared" si="1"/>
        <v>0</v>
      </c>
      <c r="X39" s="34">
        <f t="shared" si="2"/>
        <v>0</v>
      </c>
      <c r="Y39" s="30">
        <f t="shared" si="3"/>
        <v>0</v>
      </c>
      <c r="Z39" s="34">
        <f t="shared" si="4"/>
        <v>0</v>
      </c>
      <c r="AA39" s="41">
        <f t="shared" si="5"/>
        <v>0</v>
      </c>
      <c r="AB39" s="31">
        <f t="shared" si="6"/>
        <v>0</v>
      </c>
    </row>
    <row r="40" spans="3:28" x14ac:dyDescent="0.7">
      <c r="C40" s="63" t="str">
        <f t="shared" si="9"/>
        <v/>
      </c>
      <c r="D40" s="16"/>
      <c r="E40" s="3"/>
      <c r="F40" s="57"/>
      <c r="G40" s="15" t="str">
        <f t="shared" si="10"/>
        <v/>
      </c>
      <c r="H40" s="65" t="str">
        <f t="shared" si="11"/>
        <v/>
      </c>
      <c r="I40" s="65" t="str">
        <f t="shared" si="12"/>
        <v/>
      </c>
      <c r="O40" s="32" t="str">
        <f t="shared" si="0"/>
        <v/>
      </c>
      <c r="P40" s="47"/>
      <c r="Q40" s="48"/>
      <c r="R40" s="48"/>
      <c r="S40" s="36">
        <f t="shared" si="13"/>
        <v>0</v>
      </c>
      <c r="T40" s="34">
        <f t="shared" si="7"/>
        <v>0</v>
      </c>
      <c r="U40" s="32">
        <f t="shared" si="8"/>
        <v>0</v>
      </c>
      <c r="V40" s="43"/>
      <c r="W40" s="32">
        <f t="shared" si="1"/>
        <v>0</v>
      </c>
      <c r="X40" s="34">
        <f t="shared" si="2"/>
        <v>0</v>
      </c>
      <c r="Y40" s="30">
        <f t="shared" si="3"/>
        <v>0</v>
      </c>
      <c r="Z40" s="34">
        <f t="shared" si="4"/>
        <v>0</v>
      </c>
      <c r="AA40" s="41">
        <f t="shared" si="5"/>
        <v>0</v>
      </c>
      <c r="AB40" s="31">
        <f t="shared" si="6"/>
        <v>0</v>
      </c>
    </row>
    <row r="41" spans="3:28" x14ac:dyDescent="0.7">
      <c r="C41" s="63" t="str">
        <f t="shared" si="9"/>
        <v/>
      </c>
      <c r="D41" s="16"/>
      <c r="E41" s="3"/>
      <c r="F41" s="57"/>
      <c r="G41" s="15" t="str">
        <f t="shared" si="10"/>
        <v/>
      </c>
      <c r="H41" s="65" t="str">
        <f t="shared" si="11"/>
        <v/>
      </c>
      <c r="I41" s="65" t="str">
        <f t="shared" si="12"/>
        <v/>
      </c>
      <c r="O41" s="32" t="str">
        <f t="shared" si="0"/>
        <v/>
      </c>
      <c r="P41" s="49"/>
      <c r="Q41" s="48"/>
      <c r="R41" s="48"/>
      <c r="S41" s="36">
        <f t="shared" si="13"/>
        <v>0</v>
      </c>
      <c r="T41" s="34">
        <f t="shared" si="7"/>
        <v>0</v>
      </c>
      <c r="U41" s="32">
        <f t="shared" si="8"/>
        <v>0</v>
      </c>
      <c r="V41" s="43"/>
      <c r="W41" s="32">
        <f t="shared" si="1"/>
        <v>0</v>
      </c>
      <c r="X41" s="34">
        <f t="shared" si="2"/>
        <v>0</v>
      </c>
      <c r="Y41" s="30">
        <f t="shared" si="3"/>
        <v>0</v>
      </c>
      <c r="Z41" s="34">
        <f t="shared" si="4"/>
        <v>0</v>
      </c>
      <c r="AA41" s="41">
        <f t="shared" si="5"/>
        <v>0</v>
      </c>
      <c r="AB41" s="31">
        <f t="shared" si="6"/>
        <v>0</v>
      </c>
    </row>
    <row r="42" spans="3:28" x14ac:dyDescent="0.7">
      <c r="C42" s="63" t="str">
        <f t="shared" si="9"/>
        <v/>
      </c>
      <c r="D42" s="16"/>
      <c r="E42" s="3"/>
      <c r="F42" s="57"/>
      <c r="G42" s="15" t="str">
        <f t="shared" si="10"/>
        <v/>
      </c>
      <c r="H42" s="65" t="str">
        <f t="shared" si="11"/>
        <v/>
      </c>
      <c r="I42" s="65" t="str">
        <f t="shared" si="12"/>
        <v/>
      </c>
      <c r="O42" s="32" t="str">
        <f t="shared" si="0"/>
        <v/>
      </c>
      <c r="P42" s="50"/>
      <c r="Q42" s="48"/>
      <c r="R42" s="48"/>
      <c r="S42" s="36">
        <f t="shared" si="13"/>
        <v>0</v>
      </c>
      <c r="T42" s="34">
        <f t="shared" si="7"/>
        <v>0</v>
      </c>
      <c r="U42" s="32">
        <f t="shared" si="8"/>
        <v>0</v>
      </c>
      <c r="V42" s="43"/>
      <c r="W42" s="32">
        <f t="shared" si="1"/>
        <v>0</v>
      </c>
      <c r="X42" s="34">
        <f t="shared" si="2"/>
        <v>0</v>
      </c>
      <c r="Y42" s="30">
        <f t="shared" si="3"/>
        <v>0</v>
      </c>
      <c r="Z42" s="34">
        <f t="shared" si="4"/>
        <v>0</v>
      </c>
      <c r="AA42" s="41">
        <f t="shared" si="5"/>
        <v>0</v>
      </c>
      <c r="AB42" s="31">
        <f t="shared" si="6"/>
        <v>0</v>
      </c>
    </row>
    <row r="43" spans="3:28" x14ac:dyDescent="0.7">
      <c r="C43" s="63" t="str">
        <f t="shared" si="9"/>
        <v/>
      </c>
      <c r="D43" s="16"/>
      <c r="E43" s="3"/>
      <c r="F43" s="57"/>
      <c r="G43" s="15" t="str">
        <f t="shared" si="10"/>
        <v/>
      </c>
      <c r="H43" s="65" t="str">
        <f t="shared" si="11"/>
        <v/>
      </c>
      <c r="I43" s="65" t="str">
        <f t="shared" si="12"/>
        <v/>
      </c>
      <c r="O43" s="32" t="str">
        <f t="shared" si="0"/>
        <v/>
      </c>
      <c r="P43" s="49"/>
      <c r="Q43" s="48"/>
      <c r="R43" s="48"/>
      <c r="S43" s="36">
        <f t="shared" si="13"/>
        <v>0</v>
      </c>
      <c r="T43" s="34">
        <f t="shared" si="7"/>
        <v>0</v>
      </c>
      <c r="U43" s="32">
        <f t="shared" si="8"/>
        <v>0</v>
      </c>
      <c r="V43" s="43"/>
      <c r="W43" s="32">
        <f t="shared" si="1"/>
        <v>0</v>
      </c>
      <c r="X43" s="34">
        <f t="shared" si="2"/>
        <v>0</v>
      </c>
      <c r="Y43" s="30">
        <f t="shared" si="3"/>
        <v>0</v>
      </c>
      <c r="Z43" s="34">
        <f t="shared" si="4"/>
        <v>0</v>
      </c>
      <c r="AA43" s="41">
        <f t="shared" si="5"/>
        <v>0</v>
      </c>
      <c r="AB43" s="31">
        <f t="shared" si="6"/>
        <v>0</v>
      </c>
    </row>
    <row r="44" spans="3:28" x14ac:dyDescent="0.7">
      <c r="C44" s="63" t="str">
        <f t="shared" si="9"/>
        <v/>
      </c>
      <c r="D44" s="16"/>
      <c r="E44" s="3"/>
      <c r="F44" s="57"/>
      <c r="G44" s="15" t="str">
        <f t="shared" si="10"/>
        <v/>
      </c>
      <c r="H44" s="65" t="str">
        <f t="shared" si="11"/>
        <v/>
      </c>
      <c r="I44" s="65" t="str">
        <f t="shared" si="12"/>
        <v/>
      </c>
      <c r="O44" s="32" t="str">
        <f t="shared" si="0"/>
        <v/>
      </c>
      <c r="P44" s="50"/>
      <c r="Q44" s="48"/>
      <c r="R44" s="48"/>
      <c r="S44" s="36">
        <f t="shared" si="13"/>
        <v>0</v>
      </c>
      <c r="T44" s="34">
        <f t="shared" si="7"/>
        <v>0</v>
      </c>
      <c r="U44" s="32">
        <f t="shared" si="8"/>
        <v>0</v>
      </c>
      <c r="V44" s="43"/>
      <c r="W44" s="32">
        <f t="shared" si="1"/>
        <v>0</v>
      </c>
      <c r="X44" s="34">
        <f t="shared" si="2"/>
        <v>0</v>
      </c>
      <c r="Y44" s="30">
        <f t="shared" si="3"/>
        <v>0</v>
      </c>
      <c r="Z44" s="34">
        <f t="shared" si="4"/>
        <v>0</v>
      </c>
      <c r="AA44" s="41">
        <f t="shared" si="5"/>
        <v>0</v>
      </c>
      <c r="AB44" s="31">
        <f t="shared" si="6"/>
        <v>0</v>
      </c>
    </row>
    <row r="45" spans="3:28" x14ac:dyDescent="0.7">
      <c r="C45" s="63" t="str">
        <f t="shared" si="9"/>
        <v/>
      </c>
      <c r="D45" s="16"/>
      <c r="E45" s="3"/>
      <c r="F45" s="57"/>
      <c r="G45" s="15" t="str">
        <f t="shared" si="10"/>
        <v/>
      </c>
      <c r="H45" s="65" t="str">
        <f t="shared" si="11"/>
        <v/>
      </c>
      <c r="I45" s="65" t="str">
        <f t="shared" si="12"/>
        <v/>
      </c>
      <c r="O45" s="32" t="str">
        <f t="shared" si="0"/>
        <v/>
      </c>
      <c r="P45" s="47"/>
      <c r="Q45" s="48"/>
      <c r="R45" s="48"/>
      <c r="S45" s="36">
        <f t="shared" si="13"/>
        <v>0</v>
      </c>
      <c r="T45" s="34">
        <f t="shared" si="7"/>
        <v>0</v>
      </c>
      <c r="U45" s="32">
        <f t="shared" si="8"/>
        <v>0</v>
      </c>
      <c r="V45" s="43"/>
      <c r="W45" s="32">
        <f t="shared" si="1"/>
        <v>0</v>
      </c>
      <c r="X45" s="34">
        <f t="shared" si="2"/>
        <v>0</v>
      </c>
      <c r="Y45" s="30">
        <f t="shared" si="3"/>
        <v>0</v>
      </c>
      <c r="Z45" s="34">
        <f t="shared" si="4"/>
        <v>0</v>
      </c>
      <c r="AA45" s="41">
        <f t="shared" si="5"/>
        <v>0</v>
      </c>
      <c r="AB45" s="31">
        <f t="shared" si="6"/>
        <v>0</v>
      </c>
    </row>
    <row r="46" spans="3:28" x14ac:dyDescent="0.7">
      <c r="C46" s="63" t="str">
        <f t="shared" si="9"/>
        <v/>
      </c>
      <c r="D46" s="16"/>
      <c r="E46" s="3"/>
      <c r="F46" s="57"/>
      <c r="G46" s="15" t="str">
        <f t="shared" si="10"/>
        <v/>
      </c>
      <c r="H46" s="65" t="str">
        <f t="shared" si="11"/>
        <v/>
      </c>
      <c r="I46" s="65" t="str">
        <f t="shared" si="12"/>
        <v/>
      </c>
      <c r="O46" s="32" t="str">
        <f t="shared" si="0"/>
        <v/>
      </c>
      <c r="P46" s="47"/>
      <c r="Q46" s="48"/>
      <c r="R46" s="48"/>
      <c r="S46" s="36">
        <f t="shared" si="13"/>
        <v>0</v>
      </c>
      <c r="T46" s="34">
        <f t="shared" si="7"/>
        <v>0</v>
      </c>
      <c r="U46" s="32">
        <f t="shared" si="8"/>
        <v>0</v>
      </c>
      <c r="V46" s="43"/>
      <c r="W46" s="32">
        <f t="shared" si="1"/>
        <v>0</v>
      </c>
      <c r="X46" s="34">
        <f t="shared" si="2"/>
        <v>0</v>
      </c>
      <c r="Y46" s="30">
        <f t="shared" si="3"/>
        <v>0</v>
      </c>
      <c r="Z46" s="34">
        <f t="shared" si="4"/>
        <v>0</v>
      </c>
      <c r="AA46" s="41">
        <f t="shared" si="5"/>
        <v>0</v>
      </c>
      <c r="AB46" s="31">
        <f t="shared" si="6"/>
        <v>0</v>
      </c>
    </row>
    <row r="47" spans="3:28" x14ac:dyDescent="0.7">
      <c r="C47" s="63" t="str">
        <f t="shared" si="9"/>
        <v/>
      </c>
      <c r="D47" s="16"/>
      <c r="E47" s="3"/>
      <c r="F47" s="57"/>
      <c r="G47" s="15" t="str">
        <f t="shared" si="10"/>
        <v/>
      </c>
      <c r="H47" s="65" t="str">
        <f t="shared" si="11"/>
        <v/>
      </c>
      <c r="I47" s="65" t="str">
        <f t="shared" si="12"/>
        <v/>
      </c>
      <c r="O47" s="32" t="str">
        <f t="shared" si="0"/>
        <v/>
      </c>
      <c r="P47" s="50"/>
      <c r="Q47" s="48"/>
      <c r="R47" s="48"/>
      <c r="S47" s="36">
        <f t="shared" si="13"/>
        <v>0</v>
      </c>
      <c r="T47" s="34">
        <f t="shared" si="7"/>
        <v>0</v>
      </c>
      <c r="U47" s="32">
        <f t="shared" si="8"/>
        <v>0</v>
      </c>
      <c r="V47" s="43"/>
      <c r="W47" s="32">
        <f t="shared" si="1"/>
        <v>0</v>
      </c>
      <c r="X47" s="34">
        <f t="shared" si="2"/>
        <v>0</v>
      </c>
      <c r="Y47" s="30">
        <f t="shared" si="3"/>
        <v>0</v>
      </c>
      <c r="Z47" s="34">
        <f t="shared" si="4"/>
        <v>0</v>
      </c>
      <c r="AA47" s="41">
        <f t="shared" si="5"/>
        <v>0</v>
      </c>
      <c r="AB47" s="31">
        <f t="shared" si="6"/>
        <v>0</v>
      </c>
    </row>
    <row r="48" spans="3:28" x14ac:dyDescent="0.7">
      <c r="C48" s="63" t="str">
        <f t="shared" si="9"/>
        <v/>
      </c>
      <c r="D48" s="16"/>
      <c r="E48" s="3"/>
      <c r="F48" s="57"/>
      <c r="G48" s="15" t="str">
        <f t="shared" si="10"/>
        <v/>
      </c>
      <c r="H48" s="65" t="str">
        <f t="shared" si="11"/>
        <v/>
      </c>
      <c r="I48" s="65" t="str">
        <f t="shared" si="12"/>
        <v/>
      </c>
      <c r="O48" s="32" t="str">
        <f t="shared" si="0"/>
        <v/>
      </c>
      <c r="P48" s="50"/>
      <c r="Q48" s="48"/>
      <c r="R48" s="48"/>
      <c r="S48" s="36">
        <f t="shared" si="13"/>
        <v>0</v>
      </c>
      <c r="T48" s="34">
        <f t="shared" si="7"/>
        <v>0</v>
      </c>
      <c r="U48" s="32">
        <f t="shared" si="8"/>
        <v>0</v>
      </c>
      <c r="V48" s="43"/>
      <c r="W48" s="32">
        <f t="shared" si="1"/>
        <v>0</v>
      </c>
      <c r="X48" s="34">
        <f t="shared" si="2"/>
        <v>0</v>
      </c>
      <c r="Y48" s="30">
        <f t="shared" si="3"/>
        <v>0</v>
      </c>
      <c r="Z48" s="34">
        <f t="shared" si="4"/>
        <v>0</v>
      </c>
      <c r="AA48" s="41">
        <f t="shared" si="5"/>
        <v>0</v>
      </c>
      <c r="AB48" s="31">
        <f t="shared" si="6"/>
        <v>0</v>
      </c>
    </row>
    <row r="49" spans="3:28" x14ac:dyDescent="0.7">
      <c r="C49" s="63" t="str">
        <f t="shared" si="9"/>
        <v/>
      </c>
      <c r="D49" s="16"/>
      <c r="E49" s="3"/>
      <c r="F49" s="57"/>
      <c r="G49" s="15" t="str">
        <f t="shared" si="10"/>
        <v/>
      </c>
      <c r="H49" s="65" t="str">
        <f t="shared" si="11"/>
        <v/>
      </c>
      <c r="I49" s="65" t="str">
        <f t="shared" si="12"/>
        <v/>
      </c>
      <c r="O49" s="32" t="str">
        <f t="shared" si="0"/>
        <v/>
      </c>
      <c r="P49" s="51"/>
      <c r="Q49" s="48"/>
      <c r="R49" s="48"/>
      <c r="S49" s="36">
        <f t="shared" si="13"/>
        <v>0</v>
      </c>
      <c r="T49" s="34">
        <f t="shared" si="7"/>
        <v>0</v>
      </c>
      <c r="U49" s="32">
        <f t="shared" si="8"/>
        <v>0</v>
      </c>
      <c r="V49" s="43"/>
      <c r="W49" s="32">
        <f t="shared" si="1"/>
        <v>0</v>
      </c>
      <c r="X49" s="34">
        <f t="shared" si="2"/>
        <v>0</v>
      </c>
      <c r="Y49" s="30">
        <f t="shared" si="3"/>
        <v>0</v>
      </c>
      <c r="Z49" s="34">
        <f t="shared" si="4"/>
        <v>0</v>
      </c>
      <c r="AA49" s="41">
        <f t="shared" si="5"/>
        <v>0</v>
      </c>
      <c r="AB49" s="31">
        <f t="shared" si="6"/>
        <v>0</v>
      </c>
    </row>
    <row r="50" spans="3:28" x14ac:dyDescent="0.7">
      <c r="C50" s="63" t="str">
        <f t="shared" si="9"/>
        <v/>
      </c>
      <c r="D50" s="16"/>
      <c r="E50" s="3"/>
      <c r="F50" s="57"/>
      <c r="G50" s="15" t="str">
        <f t="shared" si="10"/>
        <v/>
      </c>
      <c r="H50" s="65" t="str">
        <f t="shared" si="11"/>
        <v/>
      </c>
      <c r="I50" s="65" t="str">
        <f t="shared" si="12"/>
        <v/>
      </c>
      <c r="O50" s="32" t="str">
        <f t="shared" si="0"/>
        <v/>
      </c>
      <c r="P50" s="47"/>
      <c r="Q50" s="48"/>
      <c r="R50" s="48"/>
      <c r="S50" s="36">
        <f t="shared" si="13"/>
        <v>0</v>
      </c>
      <c r="T50" s="34">
        <f t="shared" si="7"/>
        <v>0</v>
      </c>
      <c r="U50" s="32">
        <f t="shared" si="8"/>
        <v>0</v>
      </c>
      <c r="V50" s="43"/>
      <c r="W50" s="32">
        <f t="shared" si="1"/>
        <v>0</v>
      </c>
      <c r="X50" s="34">
        <f t="shared" si="2"/>
        <v>0</v>
      </c>
      <c r="Y50" s="30">
        <f t="shared" si="3"/>
        <v>0</v>
      </c>
      <c r="Z50" s="34">
        <f t="shared" si="4"/>
        <v>0</v>
      </c>
      <c r="AA50" s="41">
        <f t="shared" si="5"/>
        <v>0</v>
      </c>
      <c r="AB50" s="31">
        <f t="shared" si="6"/>
        <v>0</v>
      </c>
    </row>
    <row r="51" spans="3:28" x14ac:dyDescent="0.7">
      <c r="C51" s="63" t="str">
        <f t="shared" si="9"/>
        <v/>
      </c>
      <c r="D51" s="16"/>
      <c r="E51" s="3"/>
      <c r="F51" s="57"/>
      <c r="G51" s="15" t="str">
        <f t="shared" si="10"/>
        <v/>
      </c>
      <c r="H51" s="65" t="str">
        <f t="shared" si="11"/>
        <v/>
      </c>
      <c r="I51" s="65" t="str">
        <f t="shared" si="12"/>
        <v/>
      </c>
      <c r="O51" s="32" t="str">
        <f t="shared" si="0"/>
        <v/>
      </c>
      <c r="P51" s="47"/>
      <c r="Q51" s="48"/>
      <c r="R51" s="48"/>
      <c r="S51" s="36">
        <f t="shared" si="13"/>
        <v>0</v>
      </c>
      <c r="T51" s="34">
        <f t="shared" si="7"/>
        <v>0</v>
      </c>
      <c r="U51" s="32">
        <f t="shared" si="8"/>
        <v>0</v>
      </c>
      <c r="V51" s="43"/>
      <c r="W51" s="32">
        <f t="shared" si="1"/>
        <v>0</v>
      </c>
      <c r="X51" s="34">
        <f t="shared" si="2"/>
        <v>0</v>
      </c>
      <c r="Y51" s="30">
        <f t="shared" si="3"/>
        <v>0</v>
      </c>
      <c r="Z51" s="34">
        <f t="shared" si="4"/>
        <v>0</v>
      </c>
      <c r="AA51" s="41">
        <f t="shared" si="5"/>
        <v>0</v>
      </c>
      <c r="AB51" s="31">
        <f t="shared" si="6"/>
        <v>0</v>
      </c>
    </row>
    <row r="52" spans="3:28" x14ac:dyDescent="0.7">
      <c r="C52" s="63" t="str">
        <f t="shared" si="9"/>
        <v/>
      </c>
      <c r="D52" s="16"/>
      <c r="E52" s="3"/>
      <c r="F52" s="57"/>
      <c r="G52" s="15" t="str">
        <f t="shared" si="10"/>
        <v/>
      </c>
      <c r="H52" s="65" t="str">
        <f t="shared" si="11"/>
        <v/>
      </c>
      <c r="I52" s="65" t="str">
        <f t="shared" si="12"/>
        <v/>
      </c>
      <c r="O52" s="32" t="str">
        <f t="shared" si="0"/>
        <v/>
      </c>
      <c r="P52" s="47"/>
      <c r="Q52" s="48"/>
      <c r="R52" s="48"/>
      <c r="S52" s="36">
        <f t="shared" si="13"/>
        <v>0</v>
      </c>
      <c r="T52" s="34">
        <f t="shared" si="7"/>
        <v>0</v>
      </c>
      <c r="U52" s="32">
        <f t="shared" si="8"/>
        <v>0</v>
      </c>
      <c r="V52" s="43"/>
      <c r="W52" s="32">
        <f t="shared" si="1"/>
        <v>0</v>
      </c>
      <c r="X52" s="34">
        <f t="shared" si="2"/>
        <v>0</v>
      </c>
      <c r="Y52" s="30">
        <f t="shared" si="3"/>
        <v>0</v>
      </c>
      <c r="Z52" s="34">
        <f t="shared" si="4"/>
        <v>0</v>
      </c>
      <c r="AA52" s="41">
        <f t="shared" si="5"/>
        <v>0</v>
      </c>
      <c r="AB52" s="31">
        <f t="shared" si="6"/>
        <v>0</v>
      </c>
    </row>
    <row r="53" spans="3:28" x14ac:dyDescent="0.7">
      <c r="C53" s="63" t="str">
        <f t="shared" si="9"/>
        <v/>
      </c>
      <c r="D53" s="16"/>
      <c r="E53" s="3"/>
      <c r="F53" s="57"/>
      <c r="G53" s="15" t="str">
        <f t="shared" si="10"/>
        <v/>
      </c>
      <c r="H53" s="65" t="str">
        <f t="shared" si="11"/>
        <v/>
      </c>
      <c r="I53" s="65" t="str">
        <f t="shared" si="12"/>
        <v/>
      </c>
      <c r="O53" s="32" t="str">
        <f t="shared" si="0"/>
        <v/>
      </c>
      <c r="P53" s="51"/>
      <c r="Q53" s="48"/>
      <c r="R53" s="48"/>
      <c r="S53" s="36">
        <f t="shared" si="13"/>
        <v>0</v>
      </c>
      <c r="T53" s="34">
        <f t="shared" si="7"/>
        <v>0</v>
      </c>
      <c r="U53" s="32">
        <f t="shared" si="8"/>
        <v>0</v>
      </c>
      <c r="V53" s="43"/>
      <c r="W53" s="32">
        <f t="shared" si="1"/>
        <v>0</v>
      </c>
      <c r="X53" s="34">
        <f t="shared" si="2"/>
        <v>0</v>
      </c>
      <c r="Y53" s="30">
        <f t="shared" si="3"/>
        <v>0</v>
      </c>
      <c r="Z53" s="34">
        <f t="shared" si="4"/>
        <v>0</v>
      </c>
      <c r="AA53" s="41">
        <f t="shared" si="5"/>
        <v>0</v>
      </c>
      <c r="AB53" s="31">
        <f t="shared" si="6"/>
        <v>0</v>
      </c>
    </row>
    <row r="54" spans="3:28" x14ac:dyDescent="0.7">
      <c r="C54" s="63" t="str">
        <f t="shared" si="9"/>
        <v/>
      </c>
      <c r="D54" s="16"/>
      <c r="E54" s="3"/>
      <c r="F54" s="57"/>
      <c r="G54" s="15" t="str">
        <f t="shared" si="10"/>
        <v/>
      </c>
      <c r="H54" s="65" t="str">
        <f t="shared" si="11"/>
        <v/>
      </c>
      <c r="I54" s="65" t="str">
        <f t="shared" si="12"/>
        <v/>
      </c>
      <c r="O54" s="32" t="str">
        <f t="shared" si="0"/>
        <v/>
      </c>
      <c r="P54" s="47"/>
      <c r="Q54" s="48"/>
      <c r="R54" s="48"/>
      <c r="S54" s="36">
        <f t="shared" si="13"/>
        <v>0</v>
      </c>
      <c r="T54" s="34">
        <f t="shared" si="7"/>
        <v>0</v>
      </c>
      <c r="U54" s="32">
        <f t="shared" si="8"/>
        <v>0</v>
      </c>
      <c r="V54" s="43"/>
      <c r="W54" s="32">
        <f t="shared" si="1"/>
        <v>0</v>
      </c>
      <c r="X54" s="34">
        <f t="shared" si="2"/>
        <v>0</v>
      </c>
      <c r="Y54" s="30">
        <f t="shared" si="3"/>
        <v>0</v>
      </c>
      <c r="Z54" s="34">
        <f t="shared" si="4"/>
        <v>0</v>
      </c>
      <c r="AA54" s="41">
        <f t="shared" si="5"/>
        <v>0</v>
      </c>
      <c r="AB54" s="31">
        <f t="shared" si="6"/>
        <v>0</v>
      </c>
    </row>
    <row r="55" spans="3:28" x14ac:dyDescent="0.7">
      <c r="C55" s="63" t="str">
        <f t="shared" si="9"/>
        <v/>
      </c>
      <c r="D55" s="16"/>
      <c r="E55" s="3"/>
      <c r="F55" s="57"/>
      <c r="G55" s="15" t="str">
        <f t="shared" si="10"/>
        <v/>
      </c>
      <c r="H55" s="65" t="str">
        <f t="shared" si="11"/>
        <v/>
      </c>
      <c r="I55" s="65" t="str">
        <f t="shared" si="12"/>
        <v/>
      </c>
      <c r="O55" s="32" t="str">
        <f t="shared" si="0"/>
        <v/>
      </c>
      <c r="P55" s="47"/>
      <c r="Q55" s="48"/>
      <c r="R55" s="48"/>
      <c r="S55" s="36">
        <f t="shared" si="13"/>
        <v>0</v>
      </c>
      <c r="T55" s="34">
        <f t="shared" si="7"/>
        <v>0</v>
      </c>
      <c r="U55" s="32">
        <f t="shared" si="8"/>
        <v>0</v>
      </c>
      <c r="V55" s="43"/>
      <c r="W55" s="32">
        <f t="shared" si="1"/>
        <v>0</v>
      </c>
      <c r="X55" s="34">
        <f t="shared" si="2"/>
        <v>0</v>
      </c>
      <c r="Y55" s="30">
        <f t="shared" si="3"/>
        <v>0</v>
      </c>
      <c r="Z55" s="34">
        <f t="shared" si="4"/>
        <v>0</v>
      </c>
      <c r="AA55" s="41">
        <f t="shared" si="5"/>
        <v>0</v>
      </c>
      <c r="AB55" s="31">
        <f t="shared" si="6"/>
        <v>0</v>
      </c>
    </row>
    <row r="56" spans="3:28" x14ac:dyDescent="0.7">
      <c r="C56" s="63" t="str">
        <f t="shared" si="9"/>
        <v/>
      </c>
      <c r="D56" s="16"/>
      <c r="E56" s="3"/>
      <c r="F56" s="57"/>
      <c r="G56" s="15" t="str">
        <f t="shared" si="10"/>
        <v/>
      </c>
      <c r="H56" s="65" t="str">
        <f t="shared" si="11"/>
        <v/>
      </c>
      <c r="I56" s="65" t="str">
        <f t="shared" si="12"/>
        <v/>
      </c>
      <c r="O56" s="32" t="str">
        <f t="shared" si="0"/>
        <v/>
      </c>
      <c r="P56" s="50"/>
      <c r="Q56" s="48"/>
      <c r="R56" s="48"/>
      <c r="S56" s="36">
        <f t="shared" si="13"/>
        <v>0</v>
      </c>
      <c r="T56" s="34">
        <f t="shared" si="7"/>
        <v>0</v>
      </c>
      <c r="U56" s="32">
        <f t="shared" si="8"/>
        <v>0</v>
      </c>
      <c r="V56" s="43"/>
      <c r="W56" s="32">
        <f t="shared" si="1"/>
        <v>0</v>
      </c>
      <c r="X56" s="34">
        <f t="shared" si="2"/>
        <v>0</v>
      </c>
      <c r="Y56" s="30">
        <f t="shared" si="3"/>
        <v>0</v>
      </c>
      <c r="Z56" s="34">
        <f t="shared" si="4"/>
        <v>0</v>
      </c>
      <c r="AA56" s="41">
        <f t="shared" si="5"/>
        <v>0</v>
      </c>
      <c r="AB56" s="31">
        <f t="shared" si="6"/>
        <v>0</v>
      </c>
    </row>
    <row r="57" spans="3:28" x14ac:dyDescent="0.7">
      <c r="C57" s="63" t="str">
        <f t="shared" si="9"/>
        <v/>
      </c>
      <c r="D57" s="16"/>
      <c r="E57" s="3"/>
      <c r="F57" s="57"/>
      <c r="G57" s="15" t="str">
        <f t="shared" si="10"/>
        <v/>
      </c>
      <c r="H57" s="65" t="str">
        <f t="shared" si="11"/>
        <v/>
      </c>
      <c r="I57" s="65" t="str">
        <f t="shared" si="12"/>
        <v/>
      </c>
      <c r="O57" s="32" t="str">
        <f t="shared" si="0"/>
        <v/>
      </c>
      <c r="P57" s="50"/>
      <c r="Q57" s="48"/>
      <c r="R57" s="48"/>
      <c r="S57" s="36">
        <f t="shared" si="13"/>
        <v>0</v>
      </c>
      <c r="T57" s="34">
        <f t="shared" si="7"/>
        <v>0</v>
      </c>
      <c r="U57" s="32">
        <f t="shared" si="8"/>
        <v>0</v>
      </c>
      <c r="V57" s="43"/>
      <c r="W57" s="32">
        <f t="shared" si="1"/>
        <v>0</v>
      </c>
      <c r="X57" s="34">
        <f t="shared" si="2"/>
        <v>0</v>
      </c>
      <c r="Y57" s="30">
        <f t="shared" si="3"/>
        <v>0</v>
      </c>
      <c r="Z57" s="34">
        <f t="shared" si="4"/>
        <v>0</v>
      </c>
      <c r="AA57" s="41">
        <f t="shared" si="5"/>
        <v>0</v>
      </c>
      <c r="AB57" s="31">
        <f t="shared" si="6"/>
        <v>0</v>
      </c>
    </row>
    <row r="58" spans="3:28" x14ac:dyDescent="0.7">
      <c r="C58" s="63" t="str">
        <f t="shared" si="9"/>
        <v/>
      </c>
      <c r="D58" s="16"/>
      <c r="E58" s="3"/>
      <c r="F58" s="57"/>
      <c r="G58" s="15" t="str">
        <f t="shared" si="10"/>
        <v/>
      </c>
      <c r="H58" s="65" t="str">
        <f t="shared" si="11"/>
        <v/>
      </c>
      <c r="I58" s="65" t="str">
        <f t="shared" si="12"/>
        <v/>
      </c>
      <c r="O58" s="32" t="str">
        <f t="shared" si="0"/>
        <v/>
      </c>
      <c r="P58" s="51"/>
      <c r="Q58" s="48"/>
      <c r="R58" s="48"/>
      <c r="S58" s="36">
        <f t="shared" si="13"/>
        <v>0</v>
      </c>
      <c r="T58" s="34">
        <f t="shared" si="7"/>
        <v>0</v>
      </c>
      <c r="U58" s="32">
        <f t="shared" si="8"/>
        <v>0</v>
      </c>
      <c r="V58" s="43"/>
      <c r="W58" s="32">
        <f t="shared" si="1"/>
        <v>0</v>
      </c>
      <c r="X58" s="34">
        <f t="shared" si="2"/>
        <v>0</v>
      </c>
      <c r="Y58" s="30">
        <f t="shared" si="3"/>
        <v>0</v>
      </c>
      <c r="Z58" s="34">
        <f t="shared" si="4"/>
        <v>0</v>
      </c>
      <c r="AA58" s="41">
        <f t="shared" si="5"/>
        <v>0</v>
      </c>
      <c r="AB58" s="31">
        <f t="shared" si="6"/>
        <v>0</v>
      </c>
    </row>
    <row r="59" spans="3:28" x14ac:dyDescent="0.7">
      <c r="C59" s="63" t="str">
        <f t="shared" si="9"/>
        <v/>
      </c>
      <c r="D59" s="16"/>
      <c r="E59" s="3"/>
      <c r="F59" s="57"/>
      <c r="G59" s="15" t="str">
        <f t="shared" si="10"/>
        <v/>
      </c>
      <c r="H59" s="65" t="str">
        <f t="shared" si="11"/>
        <v/>
      </c>
      <c r="I59" s="65" t="str">
        <f t="shared" si="12"/>
        <v/>
      </c>
      <c r="O59" s="32" t="str">
        <f t="shared" si="0"/>
        <v/>
      </c>
      <c r="P59" s="50"/>
      <c r="Q59" s="48"/>
      <c r="R59" s="48"/>
      <c r="S59" s="36">
        <f t="shared" si="13"/>
        <v>0</v>
      </c>
      <c r="T59" s="34">
        <f t="shared" si="7"/>
        <v>0</v>
      </c>
      <c r="U59" s="32">
        <f t="shared" si="8"/>
        <v>0</v>
      </c>
      <c r="V59" s="43"/>
      <c r="W59" s="32">
        <f t="shared" si="1"/>
        <v>0</v>
      </c>
      <c r="X59" s="34">
        <f t="shared" si="2"/>
        <v>0</v>
      </c>
      <c r="Y59" s="30">
        <f t="shared" si="3"/>
        <v>0</v>
      </c>
      <c r="Z59" s="34">
        <f t="shared" si="4"/>
        <v>0</v>
      </c>
      <c r="AA59" s="41">
        <f t="shared" si="5"/>
        <v>0</v>
      </c>
      <c r="AB59" s="31">
        <f t="shared" si="6"/>
        <v>0</v>
      </c>
    </row>
    <row r="60" spans="3:28" x14ac:dyDescent="0.7">
      <c r="C60" s="63" t="str">
        <f t="shared" si="9"/>
        <v/>
      </c>
      <c r="D60" s="16"/>
      <c r="E60" s="3"/>
      <c r="F60" s="57"/>
      <c r="G60" s="15" t="str">
        <f t="shared" si="10"/>
        <v/>
      </c>
      <c r="H60" s="65" t="str">
        <f t="shared" si="11"/>
        <v/>
      </c>
      <c r="I60" s="65" t="str">
        <f t="shared" si="12"/>
        <v/>
      </c>
      <c r="O60" s="32" t="str">
        <f t="shared" si="0"/>
        <v/>
      </c>
      <c r="P60" s="52"/>
      <c r="Q60" s="48"/>
      <c r="R60" s="48"/>
      <c r="S60" s="36">
        <f t="shared" si="13"/>
        <v>0</v>
      </c>
      <c r="T60" s="34">
        <f t="shared" si="7"/>
        <v>0</v>
      </c>
      <c r="U60" s="32">
        <f t="shared" si="8"/>
        <v>0</v>
      </c>
      <c r="V60" s="43"/>
      <c r="W60" s="32">
        <f t="shared" si="1"/>
        <v>0</v>
      </c>
      <c r="X60" s="34">
        <f t="shared" si="2"/>
        <v>0</v>
      </c>
      <c r="Y60" s="30">
        <f t="shared" si="3"/>
        <v>0</v>
      </c>
      <c r="Z60" s="34">
        <f t="shared" si="4"/>
        <v>0</v>
      </c>
      <c r="AA60" s="41">
        <f t="shared" si="5"/>
        <v>0</v>
      </c>
      <c r="AB60" s="31">
        <f t="shared" si="6"/>
        <v>0</v>
      </c>
    </row>
    <row r="61" spans="3:28" x14ac:dyDescent="0.7">
      <c r="C61" s="63" t="str">
        <f t="shared" si="9"/>
        <v/>
      </c>
      <c r="D61" s="16"/>
      <c r="E61" s="3"/>
      <c r="F61" s="57"/>
      <c r="G61" s="15" t="str">
        <f t="shared" si="10"/>
        <v/>
      </c>
      <c r="H61" s="65" t="str">
        <f t="shared" si="11"/>
        <v/>
      </c>
      <c r="I61" s="65" t="str">
        <f t="shared" si="12"/>
        <v/>
      </c>
      <c r="O61" s="32" t="str">
        <f t="shared" si="0"/>
        <v/>
      </c>
      <c r="P61" s="52"/>
      <c r="Q61" s="48"/>
      <c r="R61" s="48"/>
      <c r="S61" s="36">
        <f t="shared" si="13"/>
        <v>0</v>
      </c>
      <c r="T61" s="34">
        <f t="shared" si="7"/>
        <v>0</v>
      </c>
      <c r="U61" s="32">
        <f t="shared" si="8"/>
        <v>0</v>
      </c>
      <c r="V61" s="43"/>
      <c r="W61" s="32">
        <f t="shared" si="1"/>
        <v>0</v>
      </c>
      <c r="X61" s="34">
        <f t="shared" si="2"/>
        <v>0</v>
      </c>
      <c r="Y61" s="30">
        <f t="shared" si="3"/>
        <v>0</v>
      </c>
      <c r="Z61" s="34">
        <f t="shared" si="4"/>
        <v>0</v>
      </c>
      <c r="AA61" s="41">
        <f t="shared" si="5"/>
        <v>0</v>
      </c>
      <c r="AB61" s="31">
        <f t="shared" si="6"/>
        <v>0</v>
      </c>
    </row>
    <row r="62" spans="3:28" x14ac:dyDescent="0.7">
      <c r="C62" s="63" t="str">
        <f t="shared" si="9"/>
        <v/>
      </c>
      <c r="D62" s="16"/>
      <c r="E62" s="3"/>
      <c r="F62" s="57"/>
      <c r="G62" s="15" t="str">
        <f t="shared" si="10"/>
        <v/>
      </c>
      <c r="H62" s="65" t="str">
        <f t="shared" si="11"/>
        <v/>
      </c>
      <c r="I62" s="65" t="str">
        <f t="shared" si="12"/>
        <v/>
      </c>
      <c r="O62" s="32" t="str">
        <f t="shared" si="0"/>
        <v/>
      </c>
      <c r="P62" s="51"/>
      <c r="Q62" s="48"/>
      <c r="R62" s="48"/>
      <c r="S62" s="36">
        <f t="shared" si="13"/>
        <v>0</v>
      </c>
      <c r="T62" s="34">
        <f t="shared" si="7"/>
        <v>0</v>
      </c>
      <c r="U62" s="32">
        <f t="shared" si="8"/>
        <v>0</v>
      </c>
      <c r="V62" s="43"/>
      <c r="W62" s="32">
        <f t="shared" si="1"/>
        <v>0</v>
      </c>
      <c r="X62" s="34">
        <f t="shared" si="2"/>
        <v>0</v>
      </c>
      <c r="Y62" s="30">
        <f t="shared" si="3"/>
        <v>0</v>
      </c>
      <c r="Z62" s="34">
        <f t="shared" si="4"/>
        <v>0</v>
      </c>
      <c r="AA62" s="41">
        <f t="shared" si="5"/>
        <v>0</v>
      </c>
      <c r="AB62" s="31">
        <f t="shared" si="6"/>
        <v>0</v>
      </c>
    </row>
    <row r="63" spans="3:28" x14ac:dyDescent="0.7">
      <c r="C63" s="63" t="str">
        <f t="shared" si="9"/>
        <v/>
      </c>
      <c r="D63" s="16"/>
      <c r="E63" s="3"/>
      <c r="F63" s="57"/>
      <c r="G63" s="15" t="str">
        <f t="shared" si="10"/>
        <v/>
      </c>
      <c r="H63" s="65" t="str">
        <f t="shared" si="11"/>
        <v/>
      </c>
      <c r="I63" s="65" t="str">
        <f t="shared" si="12"/>
        <v/>
      </c>
      <c r="O63" s="32" t="str">
        <f t="shared" si="0"/>
        <v/>
      </c>
      <c r="Q63" s="48"/>
      <c r="R63" s="48"/>
      <c r="S63" s="36">
        <f t="shared" si="13"/>
        <v>0</v>
      </c>
      <c r="T63" s="34">
        <f t="shared" si="7"/>
        <v>0</v>
      </c>
      <c r="U63" s="32">
        <f t="shared" si="8"/>
        <v>0</v>
      </c>
      <c r="V63" s="43"/>
      <c r="W63" s="32">
        <f t="shared" si="1"/>
        <v>0</v>
      </c>
      <c r="X63" s="34">
        <f t="shared" si="2"/>
        <v>0</v>
      </c>
      <c r="Y63" s="30">
        <f t="shared" si="3"/>
        <v>0</v>
      </c>
      <c r="Z63" s="34">
        <f t="shared" si="4"/>
        <v>0</v>
      </c>
      <c r="AA63" s="41">
        <f t="shared" si="5"/>
        <v>0</v>
      </c>
      <c r="AB63" s="31">
        <f t="shared" si="6"/>
        <v>0</v>
      </c>
    </row>
    <row r="64" spans="3:28" x14ac:dyDescent="0.7">
      <c r="C64" s="63" t="str">
        <f t="shared" si="9"/>
        <v/>
      </c>
      <c r="D64" s="16"/>
      <c r="E64" s="3"/>
      <c r="F64" s="57"/>
      <c r="G64" s="15" t="str">
        <f t="shared" si="10"/>
        <v/>
      </c>
      <c r="H64" s="65" t="str">
        <f t="shared" si="11"/>
        <v/>
      </c>
      <c r="I64" s="65" t="str">
        <f t="shared" si="12"/>
        <v/>
      </c>
      <c r="O64" s="32" t="str">
        <f t="shared" si="0"/>
        <v/>
      </c>
      <c r="Q64" s="48"/>
      <c r="R64" s="48"/>
      <c r="S64" s="36">
        <f t="shared" si="13"/>
        <v>0</v>
      </c>
      <c r="T64" s="34">
        <f t="shared" si="7"/>
        <v>0</v>
      </c>
      <c r="U64" s="32">
        <f t="shared" si="8"/>
        <v>0</v>
      </c>
      <c r="V64" s="43"/>
      <c r="W64" s="32">
        <f t="shared" si="1"/>
        <v>0</v>
      </c>
      <c r="X64" s="34">
        <f t="shared" si="2"/>
        <v>0</v>
      </c>
      <c r="Y64" s="30">
        <f t="shared" si="3"/>
        <v>0</v>
      </c>
      <c r="Z64" s="34">
        <f t="shared" si="4"/>
        <v>0</v>
      </c>
      <c r="AA64" s="41">
        <f t="shared" si="5"/>
        <v>0</v>
      </c>
      <c r="AB64" s="31">
        <f t="shared" si="6"/>
        <v>0</v>
      </c>
    </row>
    <row r="65" spans="3:28" x14ac:dyDescent="0.7">
      <c r="C65" s="63" t="str">
        <f t="shared" si="9"/>
        <v/>
      </c>
      <c r="D65" s="16"/>
      <c r="E65" s="3"/>
      <c r="F65" s="57"/>
      <c r="G65" s="15" t="str">
        <f t="shared" si="10"/>
        <v/>
      </c>
      <c r="H65" s="65" t="str">
        <f t="shared" si="11"/>
        <v/>
      </c>
      <c r="I65" s="65" t="str">
        <f t="shared" si="12"/>
        <v/>
      </c>
      <c r="O65" s="32" t="str">
        <f t="shared" si="0"/>
        <v/>
      </c>
      <c r="Q65" s="48"/>
      <c r="R65" s="48"/>
      <c r="S65" s="36">
        <f t="shared" si="13"/>
        <v>0</v>
      </c>
      <c r="T65" s="34">
        <f t="shared" si="7"/>
        <v>0</v>
      </c>
      <c r="U65" s="32">
        <f t="shared" si="8"/>
        <v>0</v>
      </c>
      <c r="V65" s="43"/>
      <c r="W65" s="32">
        <f t="shared" si="1"/>
        <v>0</v>
      </c>
      <c r="X65" s="34">
        <f t="shared" si="2"/>
        <v>0</v>
      </c>
      <c r="Y65" s="30">
        <f t="shared" si="3"/>
        <v>0</v>
      </c>
      <c r="Z65" s="34">
        <f t="shared" si="4"/>
        <v>0</v>
      </c>
      <c r="AA65" s="41">
        <f t="shared" si="5"/>
        <v>0</v>
      </c>
      <c r="AB65" s="31">
        <f t="shared" si="6"/>
        <v>0</v>
      </c>
    </row>
    <row r="66" spans="3:28" x14ac:dyDescent="0.7">
      <c r="C66" s="63" t="str">
        <f t="shared" si="9"/>
        <v/>
      </c>
      <c r="D66" s="16"/>
      <c r="E66" s="3"/>
      <c r="F66" s="57"/>
      <c r="G66" s="15" t="str">
        <f t="shared" si="10"/>
        <v/>
      </c>
      <c r="H66" s="65" t="str">
        <f t="shared" si="11"/>
        <v/>
      </c>
      <c r="I66" s="65" t="str">
        <f t="shared" si="12"/>
        <v/>
      </c>
      <c r="O66" s="32" t="str">
        <f t="shared" si="0"/>
        <v/>
      </c>
      <c r="Q66" s="48"/>
      <c r="R66" s="48"/>
      <c r="S66" s="36">
        <f t="shared" si="13"/>
        <v>0</v>
      </c>
      <c r="T66" s="34">
        <f t="shared" si="7"/>
        <v>0</v>
      </c>
      <c r="U66" s="32">
        <f t="shared" si="8"/>
        <v>0</v>
      </c>
      <c r="V66" s="43"/>
      <c r="W66" s="32">
        <f t="shared" si="1"/>
        <v>0</v>
      </c>
      <c r="X66" s="34">
        <f t="shared" si="2"/>
        <v>0</v>
      </c>
      <c r="Y66" s="30">
        <f t="shared" si="3"/>
        <v>0</v>
      </c>
      <c r="Z66" s="34">
        <f t="shared" si="4"/>
        <v>0</v>
      </c>
      <c r="AA66" s="41">
        <f t="shared" si="5"/>
        <v>0</v>
      </c>
      <c r="AB66" s="31">
        <f t="shared" si="6"/>
        <v>0</v>
      </c>
    </row>
    <row r="67" spans="3:28" x14ac:dyDescent="0.7">
      <c r="C67" s="63" t="str">
        <f t="shared" si="9"/>
        <v/>
      </c>
      <c r="D67" s="16"/>
      <c r="E67" s="3"/>
      <c r="F67" s="57"/>
      <c r="G67" s="15" t="str">
        <f t="shared" si="10"/>
        <v/>
      </c>
      <c r="H67" s="65" t="str">
        <f t="shared" si="11"/>
        <v/>
      </c>
      <c r="I67" s="65" t="str">
        <f t="shared" si="12"/>
        <v/>
      </c>
      <c r="O67" s="32" t="str">
        <f t="shared" si="0"/>
        <v/>
      </c>
      <c r="P67" s="51"/>
      <c r="Q67" s="48"/>
      <c r="R67" s="48"/>
      <c r="S67" s="36">
        <f t="shared" si="13"/>
        <v>0</v>
      </c>
      <c r="T67" s="34">
        <f t="shared" si="7"/>
        <v>0</v>
      </c>
      <c r="U67" s="32">
        <f t="shared" si="8"/>
        <v>0</v>
      </c>
      <c r="V67" s="43"/>
      <c r="W67" s="32">
        <f t="shared" si="1"/>
        <v>0</v>
      </c>
      <c r="X67" s="34">
        <f t="shared" si="2"/>
        <v>0</v>
      </c>
      <c r="Y67" s="30">
        <f t="shared" si="3"/>
        <v>0</v>
      </c>
      <c r="Z67" s="34">
        <f t="shared" si="4"/>
        <v>0</v>
      </c>
      <c r="AA67" s="41">
        <f t="shared" si="5"/>
        <v>0</v>
      </c>
      <c r="AB67" s="31">
        <f t="shared" si="6"/>
        <v>0</v>
      </c>
    </row>
    <row r="68" spans="3:28" x14ac:dyDescent="0.7">
      <c r="C68" s="63" t="str">
        <f t="shared" si="9"/>
        <v/>
      </c>
      <c r="D68" s="16"/>
      <c r="E68" s="3"/>
      <c r="F68" s="57"/>
      <c r="G68" s="15" t="str">
        <f t="shared" si="10"/>
        <v/>
      </c>
      <c r="H68" s="65" t="str">
        <f t="shared" si="11"/>
        <v/>
      </c>
      <c r="I68" s="65" t="str">
        <f t="shared" si="12"/>
        <v/>
      </c>
      <c r="O68" s="32" t="str">
        <f t="shared" si="0"/>
        <v/>
      </c>
      <c r="P68" s="50"/>
      <c r="Q68" s="48"/>
      <c r="R68" s="48"/>
      <c r="S68" s="36">
        <f t="shared" si="13"/>
        <v>0</v>
      </c>
      <c r="T68" s="34">
        <f t="shared" si="7"/>
        <v>0</v>
      </c>
      <c r="U68" s="32">
        <f t="shared" si="8"/>
        <v>0</v>
      </c>
      <c r="V68" s="43"/>
      <c r="W68" s="32">
        <f t="shared" si="1"/>
        <v>0</v>
      </c>
      <c r="X68" s="34">
        <f t="shared" si="2"/>
        <v>0</v>
      </c>
      <c r="Y68" s="30">
        <f t="shared" si="3"/>
        <v>0</v>
      </c>
      <c r="Z68" s="34">
        <f t="shared" si="4"/>
        <v>0</v>
      </c>
      <c r="AA68" s="41">
        <f t="shared" si="5"/>
        <v>0</v>
      </c>
      <c r="AB68" s="31">
        <f t="shared" si="6"/>
        <v>0</v>
      </c>
    </row>
    <row r="69" spans="3:28" x14ac:dyDescent="0.7">
      <c r="C69" s="63" t="str">
        <f t="shared" si="9"/>
        <v/>
      </c>
      <c r="D69" s="16"/>
      <c r="E69" s="3"/>
      <c r="F69" s="57"/>
      <c r="G69" s="15" t="str">
        <f t="shared" si="10"/>
        <v/>
      </c>
      <c r="H69" s="65" t="str">
        <f t="shared" si="11"/>
        <v/>
      </c>
      <c r="I69" s="65" t="str">
        <f t="shared" si="12"/>
        <v/>
      </c>
      <c r="O69" s="32" t="str">
        <f t="shared" si="0"/>
        <v/>
      </c>
      <c r="P69" s="50"/>
      <c r="Q69" s="48"/>
      <c r="R69" s="48"/>
      <c r="S69" s="36">
        <f t="shared" si="13"/>
        <v>0</v>
      </c>
      <c r="T69" s="34">
        <f t="shared" si="7"/>
        <v>0</v>
      </c>
      <c r="U69" s="32">
        <f t="shared" si="8"/>
        <v>0</v>
      </c>
      <c r="V69" s="43"/>
      <c r="W69" s="32">
        <f t="shared" si="1"/>
        <v>0</v>
      </c>
      <c r="X69" s="34">
        <f t="shared" si="2"/>
        <v>0</v>
      </c>
      <c r="Y69" s="30">
        <f t="shared" si="3"/>
        <v>0</v>
      </c>
      <c r="Z69" s="34">
        <f t="shared" si="4"/>
        <v>0</v>
      </c>
      <c r="AA69" s="41">
        <f t="shared" si="5"/>
        <v>0</v>
      </c>
      <c r="AB69" s="31">
        <f t="shared" si="6"/>
        <v>0</v>
      </c>
    </row>
    <row r="70" spans="3:28" x14ac:dyDescent="0.7">
      <c r="C70" s="63" t="str">
        <f t="shared" si="9"/>
        <v/>
      </c>
      <c r="D70" s="16"/>
      <c r="E70" s="3"/>
      <c r="F70" s="57"/>
      <c r="G70" s="15" t="str">
        <f t="shared" si="10"/>
        <v/>
      </c>
      <c r="H70" s="65" t="str">
        <f t="shared" si="11"/>
        <v/>
      </c>
      <c r="I70" s="65" t="str">
        <f t="shared" si="12"/>
        <v/>
      </c>
      <c r="O70" s="32" t="str">
        <f t="shared" si="0"/>
        <v/>
      </c>
      <c r="P70" s="53"/>
      <c r="Q70" s="48"/>
      <c r="R70" s="48"/>
      <c r="S70" s="36">
        <f t="shared" si="13"/>
        <v>0</v>
      </c>
      <c r="T70" s="34">
        <f t="shared" si="7"/>
        <v>0</v>
      </c>
      <c r="U70" s="32">
        <f t="shared" si="8"/>
        <v>0</v>
      </c>
      <c r="V70" s="43"/>
      <c r="W70" s="32">
        <f t="shared" si="1"/>
        <v>0</v>
      </c>
      <c r="X70" s="34">
        <f t="shared" si="2"/>
        <v>0</v>
      </c>
      <c r="Y70" s="30">
        <f t="shared" si="3"/>
        <v>0</v>
      </c>
      <c r="Z70" s="34">
        <f t="shared" si="4"/>
        <v>0</v>
      </c>
      <c r="AA70" s="41">
        <f t="shared" si="5"/>
        <v>0</v>
      </c>
      <c r="AB70" s="31">
        <f t="shared" si="6"/>
        <v>0</v>
      </c>
    </row>
    <row r="71" spans="3:28" x14ac:dyDescent="0.7">
      <c r="C71" s="63" t="str">
        <f t="shared" si="9"/>
        <v/>
      </c>
      <c r="D71" s="16"/>
      <c r="E71" s="3"/>
      <c r="F71" s="57"/>
      <c r="G71" s="15" t="str">
        <f t="shared" si="10"/>
        <v/>
      </c>
      <c r="H71" s="65" t="str">
        <f t="shared" si="11"/>
        <v/>
      </c>
      <c r="I71" s="65" t="str">
        <f t="shared" si="12"/>
        <v/>
      </c>
      <c r="O71" s="32" t="str">
        <f t="shared" si="0"/>
        <v/>
      </c>
      <c r="P71" s="53"/>
      <c r="Q71" s="48"/>
      <c r="R71" s="48"/>
      <c r="S71" s="36">
        <f t="shared" si="13"/>
        <v>0</v>
      </c>
      <c r="T71" s="34">
        <f t="shared" si="7"/>
        <v>0</v>
      </c>
      <c r="U71" s="32">
        <f t="shared" si="8"/>
        <v>0</v>
      </c>
      <c r="V71" s="43"/>
      <c r="W71" s="32">
        <f t="shared" si="1"/>
        <v>0</v>
      </c>
      <c r="X71" s="34">
        <f t="shared" si="2"/>
        <v>0</v>
      </c>
      <c r="Y71" s="30">
        <f t="shared" si="3"/>
        <v>0</v>
      </c>
      <c r="Z71" s="34">
        <f t="shared" si="4"/>
        <v>0</v>
      </c>
      <c r="AA71" s="41">
        <f t="shared" si="5"/>
        <v>0</v>
      </c>
      <c r="AB71" s="31">
        <f t="shared" si="6"/>
        <v>0</v>
      </c>
    </row>
    <row r="72" spans="3:28" x14ac:dyDescent="0.7">
      <c r="C72" s="63" t="str">
        <f t="shared" si="9"/>
        <v/>
      </c>
      <c r="D72" s="16"/>
      <c r="E72" s="3"/>
      <c r="F72" s="57"/>
      <c r="G72" s="15" t="str">
        <f t="shared" si="10"/>
        <v/>
      </c>
      <c r="H72" s="65" t="str">
        <f t="shared" si="11"/>
        <v/>
      </c>
      <c r="I72" s="65" t="str">
        <f t="shared" si="12"/>
        <v/>
      </c>
      <c r="O72" s="32" t="str">
        <f t="shared" ref="O72:O135" si="14">IF(P72="","",ROW()-ROW($O$6))</f>
        <v/>
      </c>
      <c r="P72" s="51"/>
      <c r="Q72" s="48"/>
      <c r="R72" s="48"/>
      <c r="S72" s="36">
        <f t="shared" si="13"/>
        <v>0</v>
      </c>
      <c r="T72" s="34">
        <f t="shared" si="7"/>
        <v>0</v>
      </c>
      <c r="U72" s="32">
        <f t="shared" si="8"/>
        <v>0</v>
      </c>
      <c r="V72" s="43"/>
      <c r="W72" s="32">
        <f t="shared" ref="W72:W135" si="15">U72-V72</f>
        <v>0</v>
      </c>
      <c r="X72" s="34">
        <f t="shared" ref="X72:X135" si="16">W72/5440</f>
        <v>0</v>
      </c>
      <c r="Y72" s="30">
        <f t="shared" ref="Y72:Y135" si="17">TRUNC(X72)</f>
        <v>0</v>
      </c>
      <c r="Z72" s="34">
        <f t="shared" ref="Z72:Z135" si="18">(X72-Y72)*20</f>
        <v>0</v>
      </c>
      <c r="AA72" s="41">
        <f t="shared" ref="AA72:AA135" si="19">TRUNC(Z72)</f>
        <v>0</v>
      </c>
      <c r="AB72" s="31">
        <f t="shared" ref="AB72:AB135" si="20">(Z72-AA72)*272</f>
        <v>0</v>
      </c>
    </row>
    <row r="73" spans="3:28" x14ac:dyDescent="0.7">
      <c r="C73" s="63" t="str">
        <f t="shared" si="9"/>
        <v/>
      </c>
      <c r="D73" s="16"/>
      <c r="E73" s="3"/>
      <c r="F73" s="57"/>
      <c r="G73" s="15" t="str">
        <f t="shared" si="10"/>
        <v/>
      </c>
      <c r="H73" s="65" t="str">
        <f t="shared" si="11"/>
        <v/>
      </c>
      <c r="I73" s="65" t="str">
        <f t="shared" si="12"/>
        <v/>
      </c>
      <c r="O73" s="32" t="str">
        <f t="shared" si="14"/>
        <v/>
      </c>
      <c r="Q73" s="48"/>
      <c r="R73" s="48"/>
      <c r="S73" s="36">
        <f t="shared" si="13"/>
        <v>0</v>
      </c>
      <c r="T73" s="34">
        <f t="shared" ref="T73:T136" si="21">(S73*R73)/100</f>
        <v>0</v>
      </c>
      <c r="U73" s="32">
        <f t="shared" ref="U73:U136" si="22">R73-T73</f>
        <v>0</v>
      </c>
      <c r="V73" s="43"/>
      <c r="W73" s="32">
        <f t="shared" si="15"/>
        <v>0</v>
      </c>
      <c r="X73" s="34">
        <f t="shared" si="16"/>
        <v>0</v>
      </c>
      <c r="Y73" s="30">
        <f t="shared" si="17"/>
        <v>0</v>
      </c>
      <c r="Z73" s="34">
        <f t="shared" si="18"/>
        <v>0</v>
      </c>
      <c r="AA73" s="41">
        <f t="shared" si="19"/>
        <v>0</v>
      </c>
      <c r="AB73" s="31">
        <f t="shared" si="20"/>
        <v>0</v>
      </c>
    </row>
    <row r="74" spans="3:28" x14ac:dyDescent="0.7">
      <c r="C74" s="63" t="str">
        <f t="shared" ref="C74:C137" si="23">IF(D74="","",ROW()-ROW($C$8))</f>
        <v/>
      </c>
      <c r="D74" s="16"/>
      <c r="E74" s="3"/>
      <c r="F74" s="57"/>
      <c r="G74" s="15" t="str">
        <f t="shared" ref="G74:G137" si="24">_xlfn.TEXTJOIN("-",1,E74:F74)</f>
        <v/>
      </c>
      <c r="H74" s="65" t="str">
        <f t="shared" ref="H74:H137" si="25">_xlfn.TEXTJOIN("Khasra_",1,C74:D74)</f>
        <v/>
      </c>
      <c r="I74" s="65" t="str">
        <f t="shared" ref="I74:I137" si="26">_xlfn.TEXTJOIN("=",1,H74,G74)</f>
        <v/>
      </c>
      <c r="O74" s="32" t="str">
        <f t="shared" si="14"/>
        <v/>
      </c>
      <c r="P74" s="50"/>
      <c r="Q74" s="48"/>
      <c r="R74" s="48"/>
      <c r="S74" s="36">
        <f t="shared" si="13"/>
        <v>0</v>
      </c>
      <c r="T74" s="34">
        <f t="shared" si="21"/>
        <v>0</v>
      </c>
      <c r="U74" s="32">
        <f t="shared" si="22"/>
        <v>0</v>
      </c>
      <c r="V74" s="43"/>
      <c r="W74" s="32">
        <f t="shared" si="15"/>
        <v>0</v>
      </c>
      <c r="X74" s="34">
        <f t="shared" si="16"/>
        <v>0</v>
      </c>
      <c r="Y74" s="30">
        <f t="shared" si="17"/>
        <v>0</v>
      </c>
      <c r="Z74" s="34">
        <f t="shared" si="18"/>
        <v>0</v>
      </c>
      <c r="AA74" s="41">
        <f t="shared" si="19"/>
        <v>0</v>
      </c>
      <c r="AB74" s="31">
        <f t="shared" si="20"/>
        <v>0</v>
      </c>
    </row>
    <row r="75" spans="3:28" x14ac:dyDescent="0.7">
      <c r="C75" s="63" t="str">
        <f t="shared" si="23"/>
        <v/>
      </c>
      <c r="D75" s="16"/>
      <c r="E75" s="3"/>
      <c r="F75" s="57"/>
      <c r="G75" s="15" t="str">
        <f t="shared" si="24"/>
        <v/>
      </c>
      <c r="H75" s="65" t="str">
        <f t="shared" si="25"/>
        <v/>
      </c>
      <c r="I75" s="65" t="str">
        <f t="shared" si="26"/>
        <v/>
      </c>
      <c r="O75" s="32" t="str">
        <f t="shared" si="14"/>
        <v/>
      </c>
      <c r="P75" s="50"/>
      <c r="Q75" s="48"/>
      <c r="R75" s="48"/>
      <c r="S75" s="36">
        <f t="shared" ref="S75:S138" si="27">S74</f>
        <v>0</v>
      </c>
      <c r="T75" s="34">
        <f t="shared" si="21"/>
        <v>0</v>
      </c>
      <c r="U75" s="32">
        <f t="shared" si="22"/>
        <v>0</v>
      </c>
      <c r="V75" s="43"/>
      <c r="W75" s="32">
        <f t="shared" si="15"/>
        <v>0</v>
      </c>
      <c r="X75" s="34">
        <f t="shared" si="16"/>
        <v>0</v>
      </c>
      <c r="Y75" s="30">
        <f t="shared" si="17"/>
        <v>0</v>
      </c>
      <c r="Z75" s="34">
        <f t="shared" si="18"/>
        <v>0</v>
      </c>
      <c r="AA75" s="41">
        <f t="shared" si="19"/>
        <v>0</v>
      </c>
      <c r="AB75" s="31">
        <f t="shared" si="20"/>
        <v>0</v>
      </c>
    </row>
    <row r="76" spans="3:28" x14ac:dyDescent="0.7">
      <c r="C76" s="63" t="str">
        <f t="shared" si="23"/>
        <v/>
      </c>
      <c r="D76" s="16"/>
      <c r="E76" s="3"/>
      <c r="F76" s="57"/>
      <c r="G76" s="15" t="str">
        <f t="shared" si="24"/>
        <v/>
      </c>
      <c r="H76" s="65" t="str">
        <f t="shared" si="25"/>
        <v/>
      </c>
      <c r="I76" s="65" t="str">
        <f t="shared" si="26"/>
        <v/>
      </c>
      <c r="O76" s="32" t="str">
        <f t="shared" si="14"/>
        <v/>
      </c>
      <c r="P76" s="50"/>
      <c r="Q76" s="48"/>
      <c r="R76" s="48"/>
      <c r="S76" s="36">
        <f t="shared" si="27"/>
        <v>0</v>
      </c>
      <c r="T76" s="34">
        <f t="shared" si="21"/>
        <v>0</v>
      </c>
      <c r="U76" s="32">
        <f t="shared" si="22"/>
        <v>0</v>
      </c>
      <c r="V76" s="43"/>
      <c r="W76" s="32">
        <f t="shared" si="15"/>
        <v>0</v>
      </c>
      <c r="X76" s="34">
        <f t="shared" si="16"/>
        <v>0</v>
      </c>
      <c r="Y76" s="30">
        <f t="shared" si="17"/>
        <v>0</v>
      </c>
      <c r="Z76" s="34">
        <f t="shared" si="18"/>
        <v>0</v>
      </c>
      <c r="AA76" s="41">
        <f t="shared" si="19"/>
        <v>0</v>
      </c>
      <c r="AB76" s="31">
        <f t="shared" si="20"/>
        <v>0</v>
      </c>
    </row>
    <row r="77" spans="3:28" x14ac:dyDescent="0.7">
      <c r="C77" s="63" t="str">
        <f t="shared" si="23"/>
        <v/>
      </c>
      <c r="D77" s="16"/>
      <c r="E77" s="3"/>
      <c r="F77" s="57"/>
      <c r="G77" s="15" t="str">
        <f t="shared" si="24"/>
        <v/>
      </c>
      <c r="H77" s="65" t="str">
        <f t="shared" si="25"/>
        <v/>
      </c>
      <c r="I77" s="65" t="str">
        <f t="shared" si="26"/>
        <v/>
      </c>
      <c r="O77" s="32" t="str">
        <f t="shared" si="14"/>
        <v/>
      </c>
      <c r="P77" s="51"/>
      <c r="Q77" s="48"/>
      <c r="R77" s="48"/>
      <c r="S77" s="36">
        <f t="shared" si="27"/>
        <v>0</v>
      </c>
      <c r="T77" s="34">
        <f t="shared" si="21"/>
        <v>0</v>
      </c>
      <c r="U77" s="32">
        <f t="shared" si="22"/>
        <v>0</v>
      </c>
      <c r="V77" s="43"/>
      <c r="W77" s="32">
        <f t="shared" si="15"/>
        <v>0</v>
      </c>
      <c r="X77" s="34">
        <f t="shared" si="16"/>
        <v>0</v>
      </c>
      <c r="Y77" s="30">
        <f t="shared" si="17"/>
        <v>0</v>
      </c>
      <c r="Z77" s="34">
        <f t="shared" si="18"/>
        <v>0</v>
      </c>
      <c r="AA77" s="41">
        <f t="shared" si="19"/>
        <v>0</v>
      </c>
      <c r="AB77" s="31">
        <f t="shared" si="20"/>
        <v>0</v>
      </c>
    </row>
    <row r="78" spans="3:28" x14ac:dyDescent="0.7">
      <c r="C78" s="63" t="str">
        <f t="shared" si="23"/>
        <v/>
      </c>
      <c r="D78" s="16"/>
      <c r="E78" s="3"/>
      <c r="F78" s="57"/>
      <c r="G78" s="15" t="str">
        <f t="shared" si="24"/>
        <v/>
      </c>
      <c r="H78" s="65" t="str">
        <f t="shared" si="25"/>
        <v/>
      </c>
      <c r="I78" s="65" t="str">
        <f t="shared" si="26"/>
        <v/>
      </c>
      <c r="O78" s="32" t="str">
        <f t="shared" si="14"/>
        <v/>
      </c>
      <c r="P78" s="50"/>
      <c r="Q78" s="48"/>
      <c r="R78" s="48"/>
      <c r="S78" s="36">
        <f t="shared" si="27"/>
        <v>0</v>
      </c>
      <c r="T78" s="34">
        <f t="shared" si="21"/>
        <v>0</v>
      </c>
      <c r="U78" s="32">
        <f t="shared" si="22"/>
        <v>0</v>
      </c>
      <c r="V78" s="43"/>
      <c r="W78" s="32">
        <f t="shared" si="15"/>
        <v>0</v>
      </c>
      <c r="X78" s="34">
        <f t="shared" si="16"/>
        <v>0</v>
      </c>
      <c r="Y78" s="30">
        <f t="shared" si="17"/>
        <v>0</v>
      </c>
      <c r="Z78" s="34">
        <f t="shared" si="18"/>
        <v>0</v>
      </c>
      <c r="AA78" s="41">
        <f t="shared" si="19"/>
        <v>0</v>
      </c>
      <c r="AB78" s="31">
        <f t="shared" si="20"/>
        <v>0</v>
      </c>
    </row>
    <row r="79" spans="3:28" x14ac:dyDescent="0.7">
      <c r="C79" s="63" t="str">
        <f t="shared" si="23"/>
        <v/>
      </c>
      <c r="D79" s="16"/>
      <c r="E79" s="3"/>
      <c r="F79" s="57"/>
      <c r="G79" s="15" t="str">
        <f t="shared" si="24"/>
        <v/>
      </c>
      <c r="H79" s="65" t="str">
        <f t="shared" si="25"/>
        <v/>
      </c>
      <c r="I79" s="65" t="str">
        <f t="shared" si="26"/>
        <v/>
      </c>
      <c r="O79" s="32" t="str">
        <f t="shared" si="14"/>
        <v/>
      </c>
      <c r="P79" s="50"/>
      <c r="Q79" s="48"/>
      <c r="R79" s="48"/>
      <c r="S79" s="36">
        <f t="shared" si="27"/>
        <v>0</v>
      </c>
      <c r="T79" s="34">
        <f t="shared" si="21"/>
        <v>0</v>
      </c>
      <c r="U79" s="32">
        <f t="shared" si="22"/>
        <v>0</v>
      </c>
      <c r="V79" s="43"/>
      <c r="W79" s="32">
        <f t="shared" si="15"/>
        <v>0</v>
      </c>
      <c r="X79" s="34">
        <f t="shared" si="16"/>
        <v>0</v>
      </c>
      <c r="Y79" s="30">
        <f t="shared" si="17"/>
        <v>0</v>
      </c>
      <c r="Z79" s="34">
        <f t="shared" si="18"/>
        <v>0</v>
      </c>
      <c r="AA79" s="41">
        <f t="shared" si="19"/>
        <v>0</v>
      </c>
      <c r="AB79" s="31">
        <f t="shared" si="20"/>
        <v>0</v>
      </c>
    </row>
    <row r="80" spans="3:28" x14ac:dyDescent="0.7">
      <c r="C80" s="63" t="str">
        <f t="shared" si="23"/>
        <v/>
      </c>
      <c r="D80" s="16"/>
      <c r="E80" s="3"/>
      <c r="F80" s="57"/>
      <c r="G80" s="15" t="str">
        <f t="shared" si="24"/>
        <v/>
      </c>
      <c r="H80" s="65" t="str">
        <f t="shared" si="25"/>
        <v/>
      </c>
      <c r="I80" s="65" t="str">
        <f t="shared" si="26"/>
        <v/>
      </c>
      <c r="O80" s="32" t="str">
        <f t="shared" si="14"/>
        <v/>
      </c>
      <c r="P80" s="53"/>
      <c r="Q80" s="48"/>
      <c r="R80" s="48"/>
      <c r="S80" s="36">
        <f t="shared" si="27"/>
        <v>0</v>
      </c>
      <c r="T80" s="34">
        <f t="shared" si="21"/>
        <v>0</v>
      </c>
      <c r="U80" s="32">
        <f t="shared" si="22"/>
        <v>0</v>
      </c>
      <c r="V80" s="43"/>
      <c r="W80" s="32">
        <f t="shared" si="15"/>
        <v>0</v>
      </c>
      <c r="X80" s="34">
        <f t="shared" si="16"/>
        <v>0</v>
      </c>
      <c r="Y80" s="30">
        <f t="shared" si="17"/>
        <v>0</v>
      </c>
      <c r="Z80" s="34">
        <f t="shared" si="18"/>
        <v>0</v>
      </c>
      <c r="AA80" s="41">
        <f t="shared" si="19"/>
        <v>0</v>
      </c>
      <c r="AB80" s="31">
        <f t="shared" si="20"/>
        <v>0</v>
      </c>
    </row>
    <row r="81" spans="3:28" x14ac:dyDescent="0.7">
      <c r="C81" s="63" t="str">
        <f t="shared" si="23"/>
        <v/>
      </c>
      <c r="D81" s="16"/>
      <c r="E81" s="3"/>
      <c r="F81" s="57"/>
      <c r="G81" s="15" t="str">
        <f t="shared" si="24"/>
        <v/>
      </c>
      <c r="H81" s="65" t="str">
        <f t="shared" si="25"/>
        <v/>
      </c>
      <c r="I81" s="65" t="str">
        <f t="shared" si="26"/>
        <v/>
      </c>
      <c r="O81" s="32" t="str">
        <f t="shared" si="14"/>
        <v/>
      </c>
      <c r="P81" s="50"/>
      <c r="Q81" s="48"/>
      <c r="R81" s="48"/>
      <c r="S81" s="36">
        <f t="shared" si="27"/>
        <v>0</v>
      </c>
      <c r="T81" s="34">
        <f t="shared" si="21"/>
        <v>0</v>
      </c>
      <c r="U81" s="32">
        <f t="shared" si="22"/>
        <v>0</v>
      </c>
      <c r="V81" s="43"/>
      <c r="W81" s="32">
        <f t="shared" si="15"/>
        <v>0</v>
      </c>
      <c r="X81" s="34">
        <f t="shared" si="16"/>
        <v>0</v>
      </c>
      <c r="Y81" s="30">
        <f t="shared" si="17"/>
        <v>0</v>
      </c>
      <c r="Z81" s="34">
        <f t="shared" si="18"/>
        <v>0</v>
      </c>
      <c r="AA81" s="41">
        <f t="shared" si="19"/>
        <v>0</v>
      </c>
      <c r="AB81" s="31">
        <f t="shared" si="20"/>
        <v>0</v>
      </c>
    </row>
    <row r="82" spans="3:28" x14ac:dyDescent="0.7">
      <c r="C82" s="63" t="str">
        <f t="shared" si="23"/>
        <v/>
      </c>
      <c r="D82" s="16"/>
      <c r="E82" s="3"/>
      <c r="F82" s="57"/>
      <c r="G82" s="15" t="str">
        <f t="shared" si="24"/>
        <v/>
      </c>
      <c r="H82" s="65" t="str">
        <f t="shared" si="25"/>
        <v/>
      </c>
      <c r="I82" s="65" t="str">
        <f t="shared" si="26"/>
        <v/>
      </c>
      <c r="O82" s="32" t="str">
        <f t="shared" si="14"/>
        <v/>
      </c>
      <c r="P82" s="51"/>
      <c r="Q82" s="48"/>
      <c r="R82" s="48"/>
      <c r="S82" s="36">
        <f t="shared" si="27"/>
        <v>0</v>
      </c>
      <c r="T82" s="34">
        <f t="shared" si="21"/>
        <v>0</v>
      </c>
      <c r="U82" s="32">
        <f t="shared" si="22"/>
        <v>0</v>
      </c>
      <c r="V82" s="43"/>
      <c r="W82" s="32">
        <f t="shared" si="15"/>
        <v>0</v>
      </c>
      <c r="X82" s="34">
        <f t="shared" si="16"/>
        <v>0</v>
      </c>
      <c r="Y82" s="30">
        <f t="shared" si="17"/>
        <v>0</v>
      </c>
      <c r="Z82" s="34">
        <f t="shared" si="18"/>
        <v>0</v>
      </c>
      <c r="AA82" s="41">
        <f t="shared" si="19"/>
        <v>0</v>
      </c>
      <c r="AB82" s="31">
        <f t="shared" si="20"/>
        <v>0</v>
      </c>
    </row>
    <row r="83" spans="3:28" x14ac:dyDescent="0.7">
      <c r="C83" s="63" t="str">
        <f t="shared" si="23"/>
        <v/>
      </c>
      <c r="D83" s="16"/>
      <c r="E83" s="3"/>
      <c r="F83" s="57"/>
      <c r="G83" s="15" t="str">
        <f t="shared" si="24"/>
        <v/>
      </c>
      <c r="H83" s="65" t="str">
        <f t="shared" si="25"/>
        <v/>
      </c>
      <c r="I83" s="65" t="str">
        <f t="shared" si="26"/>
        <v/>
      </c>
      <c r="O83" s="32" t="str">
        <f t="shared" si="14"/>
        <v/>
      </c>
      <c r="P83" s="51"/>
      <c r="Q83" s="48"/>
      <c r="R83" s="48"/>
      <c r="S83" s="36">
        <f t="shared" si="27"/>
        <v>0</v>
      </c>
      <c r="T83" s="34">
        <f t="shared" si="21"/>
        <v>0</v>
      </c>
      <c r="U83" s="32">
        <f t="shared" si="22"/>
        <v>0</v>
      </c>
      <c r="V83" s="43"/>
      <c r="W83" s="32">
        <f t="shared" si="15"/>
        <v>0</v>
      </c>
      <c r="X83" s="34">
        <f t="shared" si="16"/>
        <v>0</v>
      </c>
      <c r="Y83" s="30">
        <f t="shared" si="17"/>
        <v>0</v>
      </c>
      <c r="Z83" s="34">
        <f t="shared" si="18"/>
        <v>0</v>
      </c>
      <c r="AA83" s="41">
        <f t="shared" si="19"/>
        <v>0</v>
      </c>
      <c r="AB83" s="31">
        <f t="shared" si="20"/>
        <v>0</v>
      </c>
    </row>
    <row r="84" spans="3:28" x14ac:dyDescent="0.7">
      <c r="C84" s="63" t="str">
        <f t="shared" si="23"/>
        <v/>
      </c>
      <c r="D84" s="16"/>
      <c r="E84" s="3"/>
      <c r="F84" s="57"/>
      <c r="G84" s="15" t="str">
        <f t="shared" si="24"/>
        <v/>
      </c>
      <c r="H84" s="65" t="str">
        <f t="shared" si="25"/>
        <v/>
      </c>
      <c r="I84" s="65" t="str">
        <f t="shared" si="26"/>
        <v/>
      </c>
      <c r="O84" s="32" t="str">
        <f t="shared" si="14"/>
        <v/>
      </c>
      <c r="P84" s="21"/>
      <c r="Q84" s="21"/>
      <c r="R84" s="21"/>
      <c r="S84" s="36">
        <f t="shared" si="27"/>
        <v>0</v>
      </c>
      <c r="T84" s="34">
        <f t="shared" si="21"/>
        <v>0</v>
      </c>
      <c r="U84" s="32">
        <f t="shared" si="22"/>
        <v>0</v>
      </c>
      <c r="V84" s="43"/>
      <c r="W84" s="32">
        <f t="shared" si="15"/>
        <v>0</v>
      </c>
      <c r="X84" s="34">
        <f t="shared" si="16"/>
        <v>0</v>
      </c>
      <c r="Y84" s="30">
        <f t="shared" si="17"/>
        <v>0</v>
      </c>
      <c r="Z84" s="34">
        <f t="shared" si="18"/>
        <v>0</v>
      </c>
      <c r="AA84" s="41">
        <f t="shared" si="19"/>
        <v>0</v>
      </c>
      <c r="AB84" s="31">
        <f t="shared" si="20"/>
        <v>0</v>
      </c>
    </row>
    <row r="85" spans="3:28" x14ac:dyDescent="0.7">
      <c r="C85" s="63" t="str">
        <f t="shared" si="23"/>
        <v/>
      </c>
      <c r="D85" s="16"/>
      <c r="E85" s="3"/>
      <c r="F85" s="57"/>
      <c r="G85" s="15" t="str">
        <f t="shared" si="24"/>
        <v/>
      </c>
      <c r="H85" s="65" t="str">
        <f t="shared" si="25"/>
        <v/>
      </c>
      <c r="I85" s="65" t="str">
        <f t="shared" si="26"/>
        <v/>
      </c>
      <c r="O85" s="32" t="str">
        <f t="shared" si="14"/>
        <v/>
      </c>
      <c r="P85" s="21"/>
      <c r="Q85" s="21"/>
      <c r="R85" s="21"/>
      <c r="S85" s="36">
        <f t="shared" si="27"/>
        <v>0</v>
      </c>
      <c r="T85" s="34">
        <f t="shared" si="21"/>
        <v>0</v>
      </c>
      <c r="U85" s="32">
        <f t="shared" si="22"/>
        <v>0</v>
      </c>
      <c r="V85" s="43"/>
      <c r="W85" s="32">
        <f t="shared" si="15"/>
        <v>0</v>
      </c>
      <c r="X85" s="34">
        <f t="shared" si="16"/>
        <v>0</v>
      </c>
      <c r="Y85" s="30">
        <f t="shared" si="17"/>
        <v>0</v>
      </c>
      <c r="Z85" s="34">
        <f t="shared" si="18"/>
        <v>0</v>
      </c>
      <c r="AA85" s="41">
        <f t="shared" si="19"/>
        <v>0</v>
      </c>
      <c r="AB85" s="31">
        <f t="shared" si="20"/>
        <v>0</v>
      </c>
    </row>
    <row r="86" spans="3:28" x14ac:dyDescent="0.7">
      <c r="C86" s="63" t="str">
        <f t="shared" si="23"/>
        <v/>
      </c>
      <c r="D86" s="16"/>
      <c r="E86" s="3"/>
      <c r="F86" s="57"/>
      <c r="G86" s="15" t="str">
        <f t="shared" si="24"/>
        <v/>
      </c>
      <c r="H86" s="65" t="str">
        <f t="shared" si="25"/>
        <v/>
      </c>
      <c r="I86" s="65" t="str">
        <f t="shared" si="26"/>
        <v/>
      </c>
      <c r="O86" s="32" t="str">
        <f t="shared" si="14"/>
        <v/>
      </c>
      <c r="P86" s="21"/>
      <c r="Q86" s="21"/>
      <c r="R86" s="21"/>
      <c r="S86" s="36">
        <f t="shared" si="27"/>
        <v>0</v>
      </c>
      <c r="T86" s="34">
        <f t="shared" si="21"/>
        <v>0</v>
      </c>
      <c r="U86" s="32">
        <f t="shared" si="22"/>
        <v>0</v>
      </c>
      <c r="V86" s="43"/>
      <c r="W86" s="32">
        <f t="shared" si="15"/>
        <v>0</v>
      </c>
      <c r="X86" s="34">
        <f t="shared" si="16"/>
        <v>0</v>
      </c>
      <c r="Y86" s="30">
        <f t="shared" si="17"/>
        <v>0</v>
      </c>
      <c r="Z86" s="34">
        <f t="shared" si="18"/>
        <v>0</v>
      </c>
      <c r="AA86" s="41">
        <f t="shared" si="19"/>
        <v>0</v>
      </c>
      <c r="AB86" s="31">
        <f t="shared" si="20"/>
        <v>0</v>
      </c>
    </row>
    <row r="87" spans="3:28" x14ac:dyDescent="0.7">
      <c r="C87" s="63" t="str">
        <f t="shared" si="23"/>
        <v/>
      </c>
      <c r="D87" s="16"/>
      <c r="E87" s="3"/>
      <c r="F87" s="57"/>
      <c r="G87" s="15" t="str">
        <f t="shared" si="24"/>
        <v/>
      </c>
      <c r="H87" s="65" t="str">
        <f t="shared" si="25"/>
        <v/>
      </c>
      <c r="I87" s="65" t="str">
        <f t="shared" si="26"/>
        <v/>
      </c>
      <c r="O87" s="32" t="str">
        <f t="shared" si="14"/>
        <v/>
      </c>
      <c r="P87" s="21"/>
      <c r="Q87" s="21"/>
      <c r="R87" s="21"/>
      <c r="S87" s="36">
        <f t="shared" si="27"/>
        <v>0</v>
      </c>
      <c r="T87" s="34">
        <f t="shared" si="21"/>
        <v>0</v>
      </c>
      <c r="U87" s="32">
        <f t="shared" si="22"/>
        <v>0</v>
      </c>
      <c r="V87" s="43"/>
      <c r="W87" s="32">
        <f t="shared" si="15"/>
        <v>0</v>
      </c>
      <c r="X87" s="34">
        <f t="shared" si="16"/>
        <v>0</v>
      </c>
      <c r="Y87" s="30">
        <f t="shared" si="17"/>
        <v>0</v>
      </c>
      <c r="Z87" s="34">
        <f t="shared" si="18"/>
        <v>0</v>
      </c>
      <c r="AA87" s="41">
        <f t="shared" si="19"/>
        <v>0</v>
      </c>
      <c r="AB87" s="31">
        <f t="shared" si="20"/>
        <v>0</v>
      </c>
    </row>
    <row r="88" spans="3:28" x14ac:dyDescent="0.7">
      <c r="C88" s="63" t="str">
        <f t="shared" si="23"/>
        <v/>
      </c>
      <c r="D88" s="16"/>
      <c r="E88" s="3"/>
      <c r="F88" s="57"/>
      <c r="G88" s="15" t="str">
        <f t="shared" si="24"/>
        <v/>
      </c>
      <c r="H88" s="65" t="str">
        <f t="shared" si="25"/>
        <v/>
      </c>
      <c r="I88" s="65" t="str">
        <f t="shared" si="26"/>
        <v/>
      </c>
      <c r="O88" s="32" t="str">
        <f t="shared" si="14"/>
        <v/>
      </c>
      <c r="P88" s="21"/>
      <c r="Q88" s="21"/>
      <c r="R88" s="21"/>
      <c r="S88" s="36">
        <f t="shared" si="27"/>
        <v>0</v>
      </c>
      <c r="T88" s="34">
        <f t="shared" si="21"/>
        <v>0</v>
      </c>
      <c r="U88" s="32">
        <f t="shared" si="22"/>
        <v>0</v>
      </c>
      <c r="V88" s="43"/>
      <c r="W88" s="32">
        <f t="shared" si="15"/>
        <v>0</v>
      </c>
      <c r="X88" s="34">
        <f t="shared" si="16"/>
        <v>0</v>
      </c>
      <c r="Y88" s="30">
        <f t="shared" si="17"/>
        <v>0</v>
      </c>
      <c r="Z88" s="34">
        <f t="shared" si="18"/>
        <v>0</v>
      </c>
      <c r="AA88" s="41">
        <f t="shared" si="19"/>
        <v>0</v>
      </c>
      <c r="AB88" s="31">
        <f t="shared" si="20"/>
        <v>0</v>
      </c>
    </row>
    <row r="89" spans="3:28" x14ac:dyDescent="0.7">
      <c r="C89" s="63" t="str">
        <f t="shared" si="23"/>
        <v/>
      </c>
      <c r="D89" s="16"/>
      <c r="E89" s="3"/>
      <c r="F89" s="57"/>
      <c r="G89" s="15" t="str">
        <f t="shared" si="24"/>
        <v/>
      </c>
      <c r="H89" s="65" t="str">
        <f t="shared" si="25"/>
        <v/>
      </c>
      <c r="I89" s="65" t="str">
        <f t="shared" si="26"/>
        <v/>
      </c>
      <c r="O89" s="32" t="str">
        <f t="shared" si="14"/>
        <v/>
      </c>
      <c r="P89" s="21"/>
      <c r="Q89" s="21"/>
      <c r="R89" s="21"/>
      <c r="S89" s="36">
        <f t="shared" si="27"/>
        <v>0</v>
      </c>
      <c r="T89" s="34">
        <f t="shared" si="21"/>
        <v>0</v>
      </c>
      <c r="U89" s="32">
        <f t="shared" si="22"/>
        <v>0</v>
      </c>
      <c r="V89" s="43"/>
      <c r="W89" s="32">
        <f t="shared" si="15"/>
        <v>0</v>
      </c>
      <c r="X89" s="34">
        <f t="shared" si="16"/>
        <v>0</v>
      </c>
      <c r="Y89" s="30">
        <f t="shared" si="17"/>
        <v>0</v>
      </c>
      <c r="Z89" s="34">
        <f t="shared" si="18"/>
        <v>0</v>
      </c>
      <c r="AA89" s="41">
        <f t="shared" si="19"/>
        <v>0</v>
      </c>
      <c r="AB89" s="31">
        <f t="shared" si="20"/>
        <v>0</v>
      </c>
    </row>
    <row r="90" spans="3:28" x14ac:dyDescent="0.7">
      <c r="C90" s="63" t="str">
        <f t="shared" si="23"/>
        <v/>
      </c>
      <c r="D90" s="16"/>
      <c r="E90" s="3"/>
      <c r="F90" s="57"/>
      <c r="G90" s="15" t="str">
        <f t="shared" si="24"/>
        <v/>
      </c>
      <c r="H90" s="65" t="str">
        <f t="shared" si="25"/>
        <v/>
      </c>
      <c r="I90" s="65" t="str">
        <f t="shared" si="26"/>
        <v/>
      </c>
      <c r="O90" s="32" t="str">
        <f t="shared" si="14"/>
        <v/>
      </c>
      <c r="P90" s="21"/>
      <c r="Q90" s="21"/>
      <c r="R90" s="21"/>
      <c r="S90" s="36">
        <f t="shared" si="27"/>
        <v>0</v>
      </c>
      <c r="T90" s="34">
        <f t="shared" si="21"/>
        <v>0</v>
      </c>
      <c r="U90" s="32">
        <f t="shared" si="22"/>
        <v>0</v>
      </c>
      <c r="V90" s="43"/>
      <c r="W90" s="32">
        <f t="shared" si="15"/>
        <v>0</v>
      </c>
      <c r="X90" s="34">
        <f t="shared" si="16"/>
        <v>0</v>
      </c>
      <c r="Y90" s="30">
        <f t="shared" si="17"/>
        <v>0</v>
      </c>
      <c r="Z90" s="34">
        <f t="shared" si="18"/>
        <v>0</v>
      </c>
      <c r="AA90" s="41">
        <f t="shared" si="19"/>
        <v>0</v>
      </c>
      <c r="AB90" s="31">
        <f t="shared" si="20"/>
        <v>0</v>
      </c>
    </row>
    <row r="91" spans="3:28" x14ac:dyDescent="0.7">
      <c r="C91" s="63" t="str">
        <f t="shared" si="23"/>
        <v/>
      </c>
      <c r="D91" s="16"/>
      <c r="E91" s="3"/>
      <c r="F91" s="57"/>
      <c r="G91" s="15" t="str">
        <f t="shared" si="24"/>
        <v/>
      </c>
      <c r="H91" s="65" t="str">
        <f t="shared" si="25"/>
        <v/>
      </c>
      <c r="I91" s="65" t="str">
        <f t="shared" si="26"/>
        <v/>
      </c>
      <c r="O91" s="32" t="str">
        <f t="shared" si="14"/>
        <v/>
      </c>
      <c r="P91" s="21"/>
      <c r="Q91" s="21"/>
      <c r="R91" s="21"/>
      <c r="S91" s="36">
        <f t="shared" si="27"/>
        <v>0</v>
      </c>
      <c r="T91" s="34">
        <f t="shared" si="21"/>
        <v>0</v>
      </c>
      <c r="U91" s="32">
        <f t="shared" si="22"/>
        <v>0</v>
      </c>
      <c r="V91" s="43"/>
      <c r="W91" s="32">
        <f t="shared" si="15"/>
        <v>0</v>
      </c>
      <c r="X91" s="34">
        <f t="shared" si="16"/>
        <v>0</v>
      </c>
      <c r="Y91" s="30">
        <f t="shared" si="17"/>
        <v>0</v>
      </c>
      <c r="Z91" s="34">
        <f t="shared" si="18"/>
        <v>0</v>
      </c>
      <c r="AA91" s="41">
        <f t="shared" si="19"/>
        <v>0</v>
      </c>
      <c r="AB91" s="31">
        <f t="shared" si="20"/>
        <v>0</v>
      </c>
    </row>
    <row r="92" spans="3:28" x14ac:dyDescent="0.7">
      <c r="C92" s="63" t="str">
        <f t="shared" si="23"/>
        <v/>
      </c>
      <c r="D92" s="16"/>
      <c r="E92" s="3"/>
      <c r="F92" s="57"/>
      <c r="G92" s="15" t="str">
        <f t="shared" si="24"/>
        <v/>
      </c>
      <c r="H92" s="65" t="str">
        <f t="shared" si="25"/>
        <v/>
      </c>
      <c r="I92" s="65" t="str">
        <f t="shared" si="26"/>
        <v/>
      </c>
      <c r="O92" s="32" t="str">
        <f t="shared" si="14"/>
        <v/>
      </c>
      <c r="P92" s="21"/>
      <c r="Q92" s="21"/>
      <c r="R92" s="21"/>
      <c r="S92" s="36">
        <f t="shared" si="27"/>
        <v>0</v>
      </c>
      <c r="T92" s="34">
        <f t="shared" si="21"/>
        <v>0</v>
      </c>
      <c r="U92" s="32">
        <f t="shared" si="22"/>
        <v>0</v>
      </c>
      <c r="V92" s="43"/>
      <c r="W92" s="32">
        <f t="shared" si="15"/>
        <v>0</v>
      </c>
      <c r="X92" s="34">
        <f t="shared" si="16"/>
        <v>0</v>
      </c>
      <c r="Y92" s="30">
        <f t="shared" si="17"/>
        <v>0</v>
      </c>
      <c r="Z92" s="34">
        <f t="shared" si="18"/>
        <v>0</v>
      </c>
      <c r="AA92" s="41">
        <f t="shared" si="19"/>
        <v>0</v>
      </c>
      <c r="AB92" s="31">
        <f t="shared" si="20"/>
        <v>0</v>
      </c>
    </row>
    <row r="93" spans="3:28" x14ac:dyDescent="0.7">
      <c r="C93" s="63" t="str">
        <f t="shared" si="23"/>
        <v/>
      </c>
      <c r="D93" s="16"/>
      <c r="E93" s="3"/>
      <c r="F93" s="57"/>
      <c r="G93" s="15" t="str">
        <f t="shared" si="24"/>
        <v/>
      </c>
      <c r="H93" s="65" t="str">
        <f t="shared" si="25"/>
        <v/>
      </c>
      <c r="I93" s="65" t="str">
        <f t="shared" si="26"/>
        <v/>
      </c>
      <c r="O93" s="32" t="str">
        <f t="shared" si="14"/>
        <v/>
      </c>
      <c r="P93" s="21"/>
      <c r="Q93" s="21"/>
      <c r="R93" s="21"/>
      <c r="S93" s="36">
        <f t="shared" si="27"/>
        <v>0</v>
      </c>
      <c r="T93" s="34">
        <f t="shared" si="21"/>
        <v>0</v>
      </c>
      <c r="U93" s="32">
        <f t="shared" si="22"/>
        <v>0</v>
      </c>
      <c r="V93" s="43"/>
      <c r="W93" s="32">
        <f t="shared" si="15"/>
        <v>0</v>
      </c>
      <c r="X93" s="34">
        <f t="shared" si="16"/>
        <v>0</v>
      </c>
      <c r="Y93" s="30">
        <f t="shared" si="17"/>
        <v>0</v>
      </c>
      <c r="Z93" s="34">
        <f t="shared" si="18"/>
        <v>0</v>
      </c>
      <c r="AA93" s="41">
        <f t="shared" si="19"/>
        <v>0</v>
      </c>
      <c r="AB93" s="31">
        <f t="shared" si="20"/>
        <v>0</v>
      </c>
    </row>
    <row r="94" spans="3:28" x14ac:dyDescent="0.7">
      <c r="C94" s="63" t="str">
        <f t="shared" si="23"/>
        <v/>
      </c>
      <c r="D94" s="16"/>
      <c r="E94" s="3"/>
      <c r="F94" s="57"/>
      <c r="G94" s="15" t="str">
        <f t="shared" si="24"/>
        <v/>
      </c>
      <c r="H94" s="65" t="str">
        <f t="shared" si="25"/>
        <v/>
      </c>
      <c r="I94" s="65" t="str">
        <f t="shared" si="26"/>
        <v/>
      </c>
      <c r="O94" s="32" t="str">
        <f t="shared" si="14"/>
        <v/>
      </c>
      <c r="P94" s="21"/>
      <c r="Q94" s="21"/>
      <c r="R94" s="21"/>
      <c r="S94" s="36">
        <f t="shared" si="27"/>
        <v>0</v>
      </c>
      <c r="T94" s="34">
        <f t="shared" si="21"/>
        <v>0</v>
      </c>
      <c r="U94" s="32">
        <f t="shared" si="22"/>
        <v>0</v>
      </c>
      <c r="V94" s="43"/>
      <c r="W94" s="32">
        <f t="shared" si="15"/>
        <v>0</v>
      </c>
      <c r="X94" s="34">
        <f t="shared" si="16"/>
        <v>0</v>
      </c>
      <c r="Y94" s="30">
        <f t="shared" si="17"/>
        <v>0</v>
      </c>
      <c r="Z94" s="34">
        <f t="shared" si="18"/>
        <v>0</v>
      </c>
      <c r="AA94" s="41">
        <f t="shared" si="19"/>
        <v>0</v>
      </c>
      <c r="AB94" s="31">
        <f t="shared" si="20"/>
        <v>0</v>
      </c>
    </row>
    <row r="95" spans="3:28" x14ac:dyDescent="0.7">
      <c r="C95" s="63" t="str">
        <f t="shared" si="23"/>
        <v/>
      </c>
      <c r="D95" s="16"/>
      <c r="E95" s="3"/>
      <c r="F95" s="57"/>
      <c r="G95" s="15" t="str">
        <f t="shared" si="24"/>
        <v/>
      </c>
      <c r="H95" s="65" t="str">
        <f t="shared" si="25"/>
        <v/>
      </c>
      <c r="I95" s="65" t="str">
        <f t="shared" si="26"/>
        <v/>
      </c>
      <c r="O95" s="32" t="str">
        <f t="shared" si="14"/>
        <v/>
      </c>
      <c r="P95" s="21"/>
      <c r="Q95" s="21"/>
      <c r="R95" s="21"/>
      <c r="S95" s="36">
        <f t="shared" si="27"/>
        <v>0</v>
      </c>
      <c r="T95" s="34">
        <f t="shared" si="21"/>
        <v>0</v>
      </c>
      <c r="U95" s="32">
        <f t="shared" si="22"/>
        <v>0</v>
      </c>
      <c r="V95" s="43"/>
      <c r="W95" s="32">
        <f t="shared" si="15"/>
        <v>0</v>
      </c>
      <c r="X95" s="34">
        <f t="shared" si="16"/>
        <v>0</v>
      </c>
      <c r="Y95" s="30">
        <f t="shared" si="17"/>
        <v>0</v>
      </c>
      <c r="Z95" s="34">
        <f t="shared" si="18"/>
        <v>0</v>
      </c>
      <c r="AA95" s="41">
        <f t="shared" si="19"/>
        <v>0</v>
      </c>
      <c r="AB95" s="31">
        <f t="shared" si="20"/>
        <v>0</v>
      </c>
    </row>
    <row r="96" spans="3:28" x14ac:dyDescent="0.7">
      <c r="C96" s="63" t="str">
        <f t="shared" si="23"/>
        <v/>
      </c>
      <c r="D96" s="16"/>
      <c r="E96" s="3"/>
      <c r="F96" s="57"/>
      <c r="G96" s="15" t="str">
        <f t="shared" si="24"/>
        <v/>
      </c>
      <c r="H96" s="65" t="str">
        <f t="shared" si="25"/>
        <v/>
      </c>
      <c r="I96" s="65" t="str">
        <f t="shared" si="26"/>
        <v/>
      </c>
      <c r="O96" s="32" t="str">
        <f t="shared" si="14"/>
        <v/>
      </c>
      <c r="P96" s="21"/>
      <c r="Q96" s="21"/>
      <c r="R96" s="21"/>
      <c r="S96" s="36">
        <f t="shared" si="27"/>
        <v>0</v>
      </c>
      <c r="T96" s="34">
        <f t="shared" si="21"/>
        <v>0</v>
      </c>
      <c r="U96" s="32">
        <f t="shared" si="22"/>
        <v>0</v>
      </c>
      <c r="V96" s="43"/>
      <c r="W96" s="32">
        <f t="shared" si="15"/>
        <v>0</v>
      </c>
      <c r="X96" s="34">
        <f t="shared" si="16"/>
        <v>0</v>
      </c>
      <c r="Y96" s="30">
        <f t="shared" si="17"/>
        <v>0</v>
      </c>
      <c r="Z96" s="34">
        <f t="shared" si="18"/>
        <v>0</v>
      </c>
      <c r="AA96" s="41">
        <f t="shared" si="19"/>
        <v>0</v>
      </c>
      <c r="AB96" s="31">
        <f t="shared" si="20"/>
        <v>0</v>
      </c>
    </row>
    <row r="97" spans="3:28" x14ac:dyDescent="0.7">
      <c r="C97" s="63" t="str">
        <f t="shared" si="23"/>
        <v/>
      </c>
      <c r="D97" s="16"/>
      <c r="E97" s="3"/>
      <c r="F97" s="57"/>
      <c r="G97" s="15" t="str">
        <f t="shared" si="24"/>
        <v/>
      </c>
      <c r="H97" s="65" t="str">
        <f t="shared" si="25"/>
        <v/>
      </c>
      <c r="I97" s="65" t="str">
        <f t="shared" si="26"/>
        <v/>
      </c>
      <c r="O97" s="32" t="str">
        <f t="shared" si="14"/>
        <v/>
      </c>
      <c r="P97" s="21"/>
      <c r="Q97" s="21"/>
      <c r="R97" s="21"/>
      <c r="S97" s="36">
        <f t="shared" si="27"/>
        <v>0</v>
      </c>
      <c r="T97" s="34">
        <f t="shared" si="21"/>
        <v>0</v>
      </c>
      <c r="U97" s="32">
        <f t="shared" si="22"/>
        <v>0</v>
      </c>
      <c r="V97" s="43"/>
      <c r="W97" s="32">
        <f t="shared" si="15"/>
        <v>0</v>
      </c>
      <c r="X97" s="34">
        <f t="shared" si="16"/>
        <v>0</v>
      </c>
      <c r="Y97" s="30">
        <f t="shared" si="17"/>
        <v>0</v>
      </c>
      <c r="Z97" s="34">
        <f t="shared" si="18"/>
        <v>0</v>
      </c>
      <c r="AA97" s="41">
        <f t="shared" si="19"/>
        <v>0</v>
      </c>
      <c r="AB97" s="31">
        <f t="shared" si="20"/>
        <v>0</v>
      </c>
    </row>
    <row r="98" spans="3:28" x14ac:dyDescent="0.7">
      <c r="C98" s="63" t="str">
        <f t="shared" si="23"/>
        <v/>
      </c>
      <c r="D98" s="16"/>
      <c r="E98" s="3"/>
      <c r="F98" s="57"/>
      <c r="G98" s="15" t="str">
        <f t="shared" si="24"/>
        <v/>
      </c>
      <c r="H98" s="65" t="str">
        <f t="shared" si="25"/>
        <v/>
      </c>
      <c r="I98" s="65" t="str">
        <f t="shared" si="26"/>
        <v/>
      </c>
      <c r="O98" s="32" t="str">
        <f t="shared" si="14"/>
        <v/>
      </c>
      <c r="P98" s="21"/>
      <c r="Q98" s="21"/>
      <c r="R98" s="21"/>
      <c r="S98" s="36">
        <f t="shared" si="27"/>
        <v>0</v>
      </c>
      <c r="T98" s="34">
        <f t="shared" si="21"/>
        <v>0</v>
      </c>
      <c r="U98" s="32">
        <f t="shared" si="22"/>
        <v>0</v>
      </c>
      <c r="V98" s="43"/>
      <c r="W98" s="32">
        <f t="shared" si="15"/>
        <v>0</v>
      </c>
      <c r="X98" s="34">
        <f t="shared" si="16"/>
        <v>0</v>
      </c>
      <c r="Y98" s="30">
        <f t="shared" si="17"/>
        <v>0</v>
      </c>
      <c r="Z98" s="34">
        <f t="shared" si="18"/>
        <v>0</v>
      </c>
      <c r="AA98" s="41">
        <f t="shared" si="19"/>
        <v>0</v>
      </c>
      <c r="AB98" s="31">
        <f t="shared" si="20"/>
        <v>0</v>
      </c>
    </row>
    <row r="99" spans="3:28" x14ac:dyDescent="0.7">
      <c r="C99" s="63" t="str">
        <f t="shared" si="23"/>
        <v/>
      </c>
      <c r="D99" s="16"/>
      <c r="E99" s="3"/>
      <c r="F99" s="57"/>
      <c r="G99" s="15" t="str">
        <f t="shared" si="24"/>
        <v/>
      </c>
      <c r="H99" s="65" t="str">
        <f t="shared" si="25"/>
        <v/>
      </c>
      <c r="I99" s="65" t="str">
        <f t="shared" si="26"/>
        <v/>
      </c>
      <c r="O99" s="32" t="str">
        <f t="shared" si="14"/>
        <v/>
      </c>
      <c r="P99" s="21"/>
      <c r="Q99" s="21"/>
      <c r="R99" s="21"/>
      <c r="S99" s="36">
        <f t="shared" si="27"/>
        <v>0</v>
      </c>
      <c r="T99" s="34">
        <f t="shared" si="21"/>
        <v>0</v>
      </c>
      <c r="U99" s="32">
        <f t="shared" si="22"/>
        <v>0</v>
      </c>
      <c r="V99" s="43"/>
      <c r="W99" s="32">
        <f t="shared" si="15"/>
        <v>0</v>
      </c>
      <c r="X99" s="34">
        <f t="shared" si="16"/>
        <v>0</v>
      </c>
      <c r="Y99" s="30">
        <f t="shared" si="17"/>
        <v>0</v>
      </c>
      <c r="Z99" s="34">
        <f t="shared" si="18"/>
        <v>0</v>
      </c>
      <c r="AA99" s="41">
        <f t="shared" si="19"/>
        <v>0</v>
      </c>
      <c r="AB99" s="31">
        <f t="shared" si="20"/>
        <v>0</v>
      </c>
    </row>
    <row r="100" spans="3:28" x14ac:dyDescent="0.7">
      <c r="C100" s="63" t="str">
        <f t="shared" si="23"/>
        <v/>
      </c>
      <c r="D100" s="16"/>
      <c r="E100" s="3"/>
      <c r="F100" s="57"/>
      <c r="G100" s="15" t="str">
        <f t="shared" si="24"/>
        <v/>
      </c>
      <c r="H100" s="65" t="str">
        <f t="shared" si="25"/>
        <v/>
      </c>
      <c r="I100" s="65" t="str">
        <f t="shared" si="26"/>
        <v/>
      </c>
      <c r="O100" s="32" t="str">
        <f t="shared" si="14"/>
        <v/>
      </c>
      <c r="P100" s="21"/>
      <c r="Q100" s="21"/>
      <c r="R100" s="21"/>
      <c r="S100" s="36">
        <f t="shared" si="27"/>
        <v>0</v>
      </c>
      <c r="T100" s="34">
        <f t="shared" si="21"/>
        <v>0</v>
      </c>
      <c r="U100" s="32">
        <f t="shared" si="22"/>
        <v>0</v>
      </c>
      <c r="V100" s="43"/>
      <c r="W100" s="32">
        <f t="shared" si="15"/>
        <v>0</v>
      </c>
      <c r="X100" s="34">
        <f t="shared" si="16"/>
        <v>0</v>
      </c>
      <c r="Y100" s="30">
        <f t="shared" si="17"/>
        <v>0</v>
      </c>
      <c r="Z100" s="34">
        <f t="shared" si="18"/>
        <v>0</v>
      </c>
      <c r="AA100" s="41">
        <f t="shared" si="19"/>
        <v>0</v>
      </c>
      <c r="AB100" s="31">
        <f t="shared" si="20"/>
        <v>0</v>
      </c>
    </row>
    <row r="101" spans="3:28" x14ac:dyDescent="0.7">
      <c r="C101" s="63" t="str">
        <f t="shared" si="23"/>
        <v/>
      </c>
      <c r="D101" s="16"/>
      <c r="E101" s="3"/>
      <c r="F101" s="57"/>
      <c r="G101" s="15" t="str">
        <f t="shared" si="24"/>
        <v/>
      </c>
      <c r="H101" s="65" t="str">
        <f t="shared" si="25"/>
        <v/>
      </c>
      <c r="I101" s="65" t="str">
        <f t="shared" si="26"/>
        <v/>
      </c>
      <c r="O101" s="32" t="str">
        <f t="shared" si="14"/>
        <v/>
      </c>
      <c r="P101" s="21"/>
      <c r="Q101" s="21"/>
      <c r="R101" s="21"/>
      <c r="S101" s="36">
        <f t="shared" si="27"/>
        <v>0</v>
      </c>
      <c r="T101" s="34">
        <f t="shared" si="21"/>
        <v>0</v>
      </c>
      <c r="U101" s="32">
        <f t="shared" si="22"/>
        <v>0</v>
      </c>
      <c r="V101" s="43"/>
      <c r="W101" s="32">
        <f t="shared" si="15"/>
        <v>0</v>
      </c>
      <c r="X101" s="34">
        <f t="shared" si="16"/>
        <v>0</v>
      </c>
      <c r="Y101" s="30">
        <f t="shared" si="17"/>
        <v>0</v>
      </c>
      <c r="Z101" s="34">
        <f t="shared" si="18"/>
        <v>0</v>
      </c>
      <c r="AA101" s="41">
        <f t="shared" si="19"/>
        <v>0</v>
      </c>
      <c r="AB101" s="31">
        <f t="shared" si="20"/>
        <v>0</v>
      </c>
    </row>
    <row r="102" spans="3:28" x14ac:dyDescent="0.7">
      <c r="C102" s="63" t="str">
        <f t="shared" si="23"/>
        <v/>
      </c>
      <c r="D102" s="16"/>
      <c r="E102" s="3"/>
      <c r="F102" s="57"/>
      <c r="G102" s="15" t="str">
        <f t="shared" si="24"/>
        <v/>
      </c>
      <c r="H102" s="65" t="str">
        <f t="shared" si="25"/>
        <v/>
      </c>
      <c r="I102" s="65" t="str">
        <f t="shared" si="26"/>
        <v/>
      </c>
      <c r="O102" s="32" t="str">
        <f t="shared" si="14"/>
        <v/>
      </c>
      <c r="P102" s="21"/>
      <c r="Q102" s="21"/>
      <c r="R102" s="21"/>
      <c r="S102" s="36">
        <f t="shared" si="27"/>
        <v>0</v>
      </c>
      <c r="T102" s="34">
        <f t="shared" si="21"/>
        <v>0</v>
      </c>
      <c r="U102" s="32">
        <f t="shared" si="22"/>
        <v>0</v>
      </c>
      <c r="V102" s="43"/>
      <c r="W102" s="32">
        <f t="shared" si="15"/>
        <v>0</v>
      </c>
      <c r="X102" s="34">
        <f t="shared" si="16"/>
        <v>0</v>
      </c>
      <c r="Y102" s="30">
        <f t="shared" si="17"/>
        <v>0</v>
      </c>
      <c r="Z102" s="34">
        <f t="shared" si="18"/>
        <v>0</v>
      </c>
      <c r="AA102" s="41">
        <f t="shared" si="19"/>
        <v>0</v>
      </c>
      <c r="AB102" s="31">
        <f t="shared" si="20"/>
        <v>0</v>
      </c>
    </row>
    <row r="103" spans="3:28" x14ac:dyDescent="0.7">
      <c r="C103" s="63" t="str">
        <f t="shared" si="23"/>
        <v/>
      </c>
      <c r="D103" s="16"/>
      <c r="E103" s="3"/>
      <c r="F103" s="57"/>
      <c r="G103" s="15" t="str">
        <f t="shared" si="24"/>
        <v/>
      </c>
      <c r="H103" s="65" t="str">
        <f t="shared" si="25"/>
        <v/>
      </c>
      <c r="I103" s="65" t="str">
        <f t="shared" si="26"/>
        <v/>
      </c>
      <c r="O103" s="32" t="str">
        <f t="shared" si="14"/>
        <v/>
      </c>
      <c r="P103" s="21"/>
      <c r="Q103" s="21"/>
      <c r="R103" s="21"/>
      <c r="S103" s="36">
        <f t="shared" si="27"/>
        <v>0</v>
      </c>
      <c r="T103" s="34">
        <f t="shared" si="21"/>
        <v>0</v>
      </c>
      <c r="U103" s="32">
        <f t="shared" si="22"/>
        <v>0</v>
      </c>
      <c r="V103" s="43"/>
      <c r="W103" s="32">
        <f t="shared" si="15"/>
        <v>0</v>
      </c>
      <c r="X103" s="34">
        <f t="shared" si="16"/>
        <v>0</v>
      </c>
      <c r="Y103" s="30">
        <f t="shared" si="17"/>
        <v>0</v>
      </c>
      <c r="Z103" s="34">
        <f t="shared" si="18"/>
        <v>0</v>
      </c>
      <c r="AA103" s="41">
        <f t="shared" si="19"/>
        <v>0</v>
      </c>
      <c r="AB103" s="31">
        <f t="shared" si="20"/>
        <v>0</v>
      </c>
    </row>
    <row r="104" spans="3:28" x14ac:dyDescent="0.7">
      <c r="C104" s="63" t="str">
        <f t="shared" si="23"/>
        <v/>
      </c>
      <c r="D104" s="16"/>
      <c r="E104" s="3"/>
      <c r="F104" s="57"/>
      <c r="G104" s="15" t="str">
        <f t="shared" si="24"/>
        <v/>
      </c>
      <c r="H104" s="65" t="str">
        <f t="shared" si="25"/>
        <v/>
      </c>
      <c r="I104" s="65" t="str">
        <f t="shared" si="26"/>
        <v/>
      </c>
      <c r="O104" s="32" t="str">
        <f t="shared" si="14"/>
        <v/>
      </c>
      <c r="P104" s="21"/>
      <c r="Q104" s="21"/>
      <c r="R104" s="21"/>
      <c r="S104" s="36">
        <f t="shared" si="27"/>
        <v>0</v>
      </c>
      <c r="T104" s="34">
        <f t="shared" si="21"/>
        <v>0</v>
      </c>
      <c r="U104" s="32">
        <f t="shared" si="22"/>
        <v>0</v>
      </c>
      <c r="V104" s="43"/>
      <c r="W104" s="32">
        <f t="shared" si="15"/>
        <v>0</v>
      </c>
      <c r="X104" s="34">
        <f t="shared" si="16"/>
        <v>0</v>
      </c>
      <c r="Y104" s="30">
        <f t="shared" si="17"/>
        <v>0</v>
      </c>
      <c r="Z104" s="34">
        <f t="shared" si="18"/>
        <v>0</v>
      </c>
      <c r="AA104" s="41">
        <f t="shared" si="19"/>
        <v>0</v>
      </c>
      <c r="AB104" s="31">
        <f t="shared" si="20"/>
        <v>0</v>
      </c>
    </row>
    <row r="105" spans="3:28" x14ac:dyDescent="0.7">
      <c r="C105" s="63" t="str">
        <f t="shared" si="23"/>
        <v/>
      </c>
      <c r="D105" s="16"/>
      <c r="E105" s="3"/>
      <c r="F105" s="57"/>
      <c r="G105" s="15" t="str">
        <f t="shared" si="24"/>
        <v/>
      </c>
      <c r="H105" s="65" t="str">
        <f t="shared" si="25"/>
        <v/>
      </c>
      <c r="I105" s="65" t="str">
        <f t="shared" si="26"/>
        <v/>
      </c>
      <c r="O105" s="32" t="str">
        <f t="shared" si="14"/>
        <v/>
      </c>
      <c r="P105" s="21"/>
      <c r="Q105" s="21"/>
      <c r="R105" s="21"/>
      <c r="S105" s="36">
        <f t="shared" si="27"/>
        <v>0</v>
      </c>
      <c r="T105" s="34">
        <f t="shared" si="21"/>
        <v>0</v>
      </c>
      <c r="U105" s="32">
        <f t="shared" si="22"/>
        <v>0</v>
      </c>
      <c r="V105" s="43"/>
      <c r="W105" s="32">
        <f t="shared" si="15"/>
        <v>0</v>
      </c>
      <c r="X105" s="34">
        <f t="shared" si="16"/>
        <v>0</v>
      </c>
      <c r="Y105" s="30">
        <f t="shared" si="17"/>
        <v>0</v>
      </c>
      <c r="Z105" s="34">
        <f t="shared" si="18"/>
        <v>0</v>
      </c>
      <c r="AA105" s="41">
        <f t="shared" si="19"/>
        <v>0</v>
      </c>
      <c r="AB105" s="31">
        <f t="shared" si="20"/>
        <v>0</v>
      </c>
    </row>
    <row r="106" spans="3:28" x14ac:dyDescent="0.7">
      <c r="C106" s="63" t="str">
        <f t="shared" si="23"/>
        <v/>
      </c>
      <c r="D106" s="16"/>
      <c r="E106" s="3"/>
      <c r="F106" s="57"/>
      <c r="G106" s="15" t="str">
        <f t="shared" si="24"/>
        <v/>
      </c>
      <c r="H106" s="65" t="str">
        <f t="shared" si="25"/>
        <v/>
      </c>
      <c r="I106" s="65" t="str">
        <f t="shared" si="26"/>
        <v/>
      </c>
      <c r="O106" s="32" t="str">
        <f t="shared" si="14"/>
        <v/>
      </c>
      <c r="P106" s="21"/>
      <c r="Q106" s="21"/>
      <c r="R106" s="21"/>
      <c r="S106" s="36">
        <f t="shared" si="27"/>
        <v>0</v>
      </c>
      <c r="T106" s="34">
        <f t="shared" si="21"/>
        <v>0</v>
      </c>
      <c r="U106" s="32">
        <f t="shared" si="22"/>
        <v>0</v>
      </c>
      <c r="V106" s="43"/>
      <c r="W106" s="32">
        <f t="shared" si="15"/>
        <v>0</v>
      </c>
      <c r="X106" s="34">
        <f t="shared" si="16"/>
        <v>0</v>
      </c>
      <c r="Y106" s="30">
        <f t="shared" si="17"/>
        <v>0</v>
      </c>
      <c r="Z106" s="34">
        <f t="shared" si="18"/>
        <v>0</v>
      </c>
      <c r="AA106" s="41">
        <f t="shared" si="19"/>
        <v>0</v>
      </c>
      <c r="AB106" s="31">
        <f t="shared" si="20"/>
        <v>0</v>
      </c>
    </row>
    <row r="107" spans="3:28" x14ac:dyDescent="0.7">
      <c r="C107" s="63" t="str">
        <f t="shared" si="23"/>
        <v/>
      </c>
      <c r="D107" s="16"/>
      <c r="E107" s="3"/>
      <c r="F107" s="57"/>
      <c r="G107" s="15" t="str">
        <f t="shared" si="24"/>
        <v/>
      </c>
      <c r="H107" s="65" t="str">
        <f t="shared" si="25"/>
        <v/>
      </c>
      <c r="I107" s="65" t="str">
        <f t="shared" si="26"/>
        <v/>
      </c>
      <c r="O107" s="32" t="str">
        <f t="shared" si="14"/>
        <v/>
      </c>
      <c r="P107" s="21"/>
      <c r="Q107" s="21"/>
      <c r="R107" s="21"/>
      <c r="S107" s="36">
        <f t="shared" si="27"/>
        <v>0</v>
      </c>
      <c r="T107" s="34">
        <f t="shared" si="21"/>
        <v>0</v>
      </c>
      <c r="U107" s="32">
        <f t="shared" si="22"/>
        <v>0</v>
      </c>
      <c r="V107" s="43"/>
      <c r="W107" s="32">
        <f t="shared" si="15"/>
        <v>0</v>
      </c>
      <c r="X107" s="34">
        <f t="shared" si="16"/>
        <v>0</v>
      </c>
      <c r="Y107" s="30">
        <f t="shared" si="17"/>
        <v>0</v>
      </c>
      <c r="Z107" s="34">
        <f t="shared" si="18"/>
        <v>0</v>
      </c>
      <c r="AA107" s="41">
        <f t="shared" si="19"/>
        <v>0</v>
      </c>
      <c r="AB107" s="31">
        <f t="shared" si="20"/>
        <v>0</v>
      </c>
    </row>
    <row r="108" spans="3:28" x14ac:dyDescent="0.7">
      <c r="C108" s="63" t="str">
        <f t="shared" si="23"/>
        <v/>
      </c>
      <c r="D108" s="16"/>
      <c r="E108" s="3"/>
      <c r="F108" s="57"/>
      <c r="G108" s="15" t="str">
        <f t="shared" si="24"/>
        <v/>
      </c>
      <c r="H108" s="65" t="str">
        <f t="shared" si="25"/>
        <v/>
      </c>
      <c r="I108" s="65" t="str">
        <f t="shared" si="26"/>
        <v/>
      </c>
      <c r="O108" s="32" t="str">
        <f t="shared" si="14"/>
        <v/>
      </c>
      <c r="P108" s="21"/>
      <c r="Q108" s="21"/>
      <c r="R108" s="21"/>
      <c r="S108" s="36">
        <f t="shared" si="27"/>
        <v>0</v>
      </c>
      <c r="T108" s="34">
        <f t="shared" si="21"/>
        <v>0</v>
      </c>
      <c r="U108" s="32">
        <f t="shared" si="22"/>
        <v>0</v>
      </c>
      <c r="V108" s="43"/>
      <c r="W108" s="32">
        <f t="shared" si="15"/>
        <v>0</v>
      </c>
      <c r="X108" s="34">
        <f t="shared" si="16"/>
        <v>0</v>
      </c>
      <c r="Y108" s="30">
        <f t="shared" si="17"/>
        <v>0</v>
      </c>
      <c r="Z108" s="34">
        <f t="shared" si="18"/>
        <v>0</v>
      </c>
      <c r="AA108" s="41">
        <f t="shared" si="19"/>
        <v>0</v>
      </c>
      <c r="AB108" s="31">
        <f t="shared" si="20"/>
        <v>0</v>
      </c>
    </row>
    <row r="109" spans="3:28" x14ac:dyDescent="0.7">
      <c r="C109" s="63" t="str">
        <f t="shared" si="23"/>
        <v/>
      </c>
      <c r="D109" s="16"/>
      <c r="E109" s="3"/>
      <c r="F109" s="57"/>
      <c r="G109" s="15" t="str">
        <f t="shared" si="24"/>
        <v/>
      </c>
      <c r="H109" s="65" t="str">
        <f t="shared" si="25"/>
        <v/>
      </c>
      <c r="I109" s="65" t="str">
        <f t="shared" si="26"/>
        <v/>
      </c>
      <c r="O109" s="32" t="str">
        <f t="shared" si="14"/>
        <v/>
      </c>
      <c r="P109" s="21"/>
      <c r="Q109" s="21"/>
      <c r="R109" s="21"/>
      <c r="S109" s="36">
        <f t="shared" si="27"/>
        <v>0</v>
      </c>
      <c r="T109" s="34">
        <f t="shared" si="21"/>
        <v>0</v>
      </c>
      <c r="U109" s="32">
        <f t="shared" si="22"/>
        <v>0</v>
      </c>
      <c r="V109" s="43"/>
      <c r="W109" s="32">
        <f t="shared" si="15"/>
        <v>0</v>
      </c>
      <c r="X109" s="34">
        <f t="shared" si="16"/>
        <v>0</v>
      </c>
      <c r="Y109" s="30">
        <f t="shared" si="17"/>
        <v>0</v>
      </c>
      <c r="Z109" s="34">
        <f t="shared" si="18"/>
        <v>0</v>
      </c>
      <c r="AA109" s="41">
        <f t="shared" si="19"/>
        <v>0</v>
      </c>
      <c r="AB109" s="31">
        <f t="shared" si="20"/>
        <v>0</v>
      </c>
    </row>
    <row r="110" spans="3:28" x14ac:dyDescent="0.7">
      <c r="C110" s="63" t="str">
        <f t="shared" si="23"/>
        <v/>
      </c>
      <c r="D110" s="16"/>
      <c r="E110" s="3"/>
      <c r="F110" s="57"/>
      <c r="G110" s="15" t="str">
        <f t="shared" si="24"/>
        <v/>
      </c>
      <c r="H110" s="65" t="str">
        <f t="shared" si="25"/>
        <v/>
      </c>
      <c r="I110" s="65" t="str">
        <f t="shared" si="26"/>
        <v/>
      </c>
      <c r="O110" s="32" t="str">
        <f t="shared" si="14"/>
        <v/>
      </c>
      <c r="P110" s="21"/>
      <c r="Q110" s="21"/>
      <c r="R110" s="21"/>
      <c r="S110" s="36">
        <f t="shared" si="27"/>
        <v>0</v>
      </c>
      <c r="T110" s="34">
        <f t="shared" si="21"/>
        <v>0</v>
      </c>
      <c r="U110" s="32">
        <f t="shared" si="22"/>
        <v>0</v>
      </c>
      <c r="V110" s="43"/>
      <c r="W110" s="32">
        <f t="shared" si="15"/>
        <v>0</v>
      </c>
      <c r="X110" s="34">
        <f t="shared" si="16"/>
        <v>0</v>
      </c>
      <c r="Y110" s="30">
        <f t="shared" si="17"/>
        <v>0</v>
      </c>
      <c r="Z110" s="34">
        <f t="shared" si="18"/>
        <v>0</v>
      </c>
      <c r="AA110" s="41">
        <f t="shared" si="19"/>
        <v>0</v>
      </c>
      <c r="AB110" s="31">
        <f t="shared" si="20"/>
        <v>0</v>
      </c>
    </row>
    <row r="111" spans="3:28" x14ac:dyDescent="0.7">
      <c r="C111" s="63" t="str">
        <f t="shared" si="23"/>
        <v/>
      </c>
      <c r="D111" s="16"/>
      <c r="E111" s="3"/>
      <c r="F111" s="57"/>
      <c r="G111" s="15" t="str">
        <f t="shared" si="24"/>
        <v/>
      </c>
      <c r="H111" s="65" t="str">
        <f t="shared" si="25"/>
        <v/>
      </c>
      <c r="I111" s="65" t="str">
        <f t="shared" si="26"/>
        <v/>
      </c>
      <c r="O111" s="32" t="str">
        <f t="shared" si="14"/>
        <v/>
      </c>
      <c r="P111" s="21"/>
      <c r="Q111" s="21"/>
      <c r="R111" s="21"/>
      <c r="S111" s="36">
        <f t="shared" si="27"/>
        <v>0</v>
      </c>
      <c r="T111" s="34">
        <f t="shared" si="21"/>
        <v>0</v>
      </c>
      <c r="U111" s="32">
        <f t="shared" si="22"/>
        <v>0</v>
      </c>
      <c r="V111" s="43"/>
      <c r="W111" s="32">
        <f t="shared" si="15"/>
        <v>0</v>
      </c>
      <c r="X111" s="34">
        <f t="shared" si="16"/>
        <v>0</v>
      </c>
      <c r="Y111" s="30">
        <f t="shared" si="17"/>
        <v>0</v>
      </c>
      <c r="Z111" s="34">
        <f t="shared" si="18"/>
        <v>0</v>
      </c>
      <c r="AA111" s="41">
        <f t="shared" si="19"/>
        <v>0</v>
      </c>
      <c r="AB111" s="31">
        <f t="shared" si="20"/>
        <v>0</v>
      </c>
    </row>
    <row r="112" spans="3:28" x14ac:dyDescent="0.7">
      <c r="C112" s="63" t="str">
        <f t="shared" si="23"/>
        <v/>
      </c>
      <c r="D112" s="16"/>
      <c r="E112" s="3"/>
      <c r="F112" s="57"/>
      <c r="G112" s="15" t="str">
        <f t="shared" si="24"/>
        <v/>
      </c>
      <c r="H112" s="65" t="str">
        <f t="shared" si="25"/>
        <v/>
      </c>
      <c r="I112" s="65" t="str">
        <f t="shared" si="26"/>
        <v/>
      </c>
      <c r="O112" s="32" t="str">
        <f t="shared" si="14"/>
        <v/>
      </c>
      <c r="P112" s="21"/>
      <c r="Q112" s="21"/>
      <c r="R112" s="21"/>
      <c r="S112" s="36">
        <f t="shared" si="27"/>
        <v>0</v>
      </c>
      <c r="T112" s="34">
        <f t="shared" si="21"/>
        <v>0</v>
      </c>
      <c r="U112" s="32">
        <f t="shared" si="22"/>
        <v>0</v>
      </c>
      <c r="V112" s="43"/>
      <c r="W112" s="32">
        <f t="shared" si="15"/>
        <v>0</v>
      </c>
      <c r="X112" s="34">
        <f t="shared" si="16"/>
        <v>0</v>
      </c>
      <c r="Y112" s="30">
        <f t="shared" si="17"/>
        <v>0</v>
      </c>
      <c r="Z112" s="34">
        <f t="shared" si="18"/>
        <v>0</v>
      </c>
      <c r="AA112" s="41">
        <f t="shared" si="19"/>
        <v>0</v>
      </c>
      <c r="AB112" s="31">
        <f t="shared" si="20"/>
        <v>0</v>
      </c>
    </row>
    <row r="113" spans="3:28" x14ac:dyDescent="0.7">
      <c r="C113" s="63" t="str">
        <f t="shared" si="23"/>
        <v/>
      </c>
      <c r="D113" s="16"/>
      <c r="E113" s="3"/>
      <c r="F113" s="57"/>
      <c r="G113" s="15" t="str">
        <f t="shared" si="24"/>
        <v/>
      </c>
      <c r="H113" s="65" t="str">
        <f t="shared" si="25"/>
        <v/>
      </c>
      <c r="I113" s="65" t="str">
        <f t="shared" si="26"/>
        <v/>
      </c>
      <c r="O113" s="32" t="str">
        <f t="shared" si="14"/>
        <v/>
      </c>
      <c r="P113" s="21"/>
      <c r="Q113" s="21"/>
      <c r="R113" s="21"/>
      <c r="S113" s="36">
        <f t="shared" si="27"/>
        <v>0</v>
      </c>
      <c r="T113" s="34">
        <f t="shared" si="21"/>
        <v>0</v>
      </c>
      <c r="U113" s="32">
        <f t="shared" si="22"/>
        <v>0</v>
      </c>
      <c r="V113" s="43"/>
      <c r="W113" s="32">
        <f t="shared" si="15"/>
        <v>0</v>
      </c>
      <c r="X113" s="34">
        <f t="shared" si="16"/>
        <v>0</v>
      </c>
      <c r="Y113" s="30">
        <f t="shared" si="17"/>
        <v>0</v>
      </c>
      <c r="Z113" s="34">
        <f t="shared" si="18"/>
        <v>0</v>
      </c>
      <c r="AA113" s="41">
        <f t="shared" si="19"/>
        <v>0</v>
      </c>
      <c r="AB113" s="31">
        <f t="shared" si="20"/>
        <v>0</v>
      </c>
    </row>
    <row r="114" spans="3:28" x14ac:dyDescent="0.7">
      <c r="C114" s="63" t="str">
        <f t="shared" si="23"/>
        <v/>
      </c>
      <c r="D114" s="16"/>
      <c r="E114" s="3"/>
      <c r="F114" s="57"/>
      <c r="G114" s="15" t="str">
        <f t="shared" si="24"/>
        <v/>
      </c>
      <c r="H114" s="65" t="str">
        <f t="shared" si="25"/>
        <v/>
      </c>
      <c r="I114" s="65" t="str">
        <f t="shared" si="26"/>
        <v/>
      </c>
      <c r="O114" s="32" t="str">
        <f t="shared" si="14"/>
        <v/>
      </c>
      <c r="P114" s="21"/>
      <c r="Q114" s="21"/>
      <c r="R114" s="21"/>
      <c r="S114" s="36">
        <f t="shared" si="27"/>
        <v>0</v>
      </c>
      <c r="T114" s="34">
        <f t="shared" si="21"/>
        <v>0</v>
      </c>
      <c r="U114" s="32">
        <f t="shared" si="22"/>
        <v>0</v>
      </c>
      <c r="V114" s="43"/>
      <c r="W114" s="32">
        <f t="shared" si="15"/>
        <v>0</v>
      </c>
      <c r="X114" s="34">
        <f t="shared" si="16"/>
        <v>0</v>
      </c>
      <c r="Y114" s="30">
        <f t="shared" si="17"/>
        <v>0</v>
      </c>
      <c r="Z114" s="34">
        <f t="shared" si="18"/>
        <v>0</v>
      </c>
      <c r="AA114" s="41">
        <f t="shared" si="19"/>
        <v>0</v>
      </c>
      <c r="AB114" s="31">
        <f t="shared" si="20"/>
        <v>0</v>
      </c>
    </row>
    <row r="115" spans="3:28" x14ac:dyDescent="0.7">
      <c r="C115" s="63" t="str">
        <f t="shared" si="23"/>
        <v/>
      </c>
      <c r="D115" s="16"/>
      <c r="E115" s="3"/>
      <c r="F115" s="57"/>
      <c r="G115" s="15" t="str">
        <f t="shared" si="24"/>
        <v/>
      </c>
      <c r="H115" s="65" t="str">
        <f t="shared" si="25"/>
        <v/>
      </c>
      <c r="I115" s="65" t="str">
        <f t="shared" si="26"/>
        <v/>
      </c>
      <c r="O115" s="32" t="str">
        <f t="shared" si="14"/>
        <v/>
      </c>
      <c r="P115" s="21"/>
      <c r="Q115" s="21"/>
      <c r="R115" s="21"/>
      <c r="S115" s="36">
        <f t="shared" si="27"/>
        <v>0</v>
      </c>
      <c r="T115" s="34">
        <f t="shared" si="21"/>
        <v>0</v>
      </c>
      <c r="U115" s="32">
        <f t="shared" si="22"/>
        <v>0</v>
      </c>
      <c r="V115" s="43"/>
      <c r="W115" s="32">
        <f t="shared" si="15"/>
        <v>0</v>
      </c>
      <c r="X115" s="34">
        <f t="shared" si="16"/>
        <v>0</v>
      </c>
      <c r="Y115" s="30">
        <f t="shared" si="17"/>
        <v>0</v>
      </c>
      <c r="Z115" s="34">
        <f t="shared" si="18"/>
        <v>0</v>
      </c>
      <c r="AA115" s="41">
        <f t="shared" si="19"/>
        <v>0</v>
      </c>
      <c r="AB115" s="31">
        <f t="shared" si="20"/>
        <v>0</v>
      </c>
    </row>
    <row r="116" spans="3:28" x14ac:dyDescent="0.7">
      <c r="C116" s="63" t="str">
        <f t="shared" si="23"/>
        <v/>
      </c>
      <c r="D116" s="16"/>
      <c r="E116" s="3"/>
      <c r="F116" s="57"/>
      <c r="G116" s="15" t="str">
        <f t="shared" si="24"/>
        <v/>
      </c>
      <c r="H116" s="65" t="str">
        <f t="shared" si="25"/>
        <v/>
      </c>
      <c r="I116" s="65" t="str">
        <f t="shared" si="26"/>
        <v/>
      </c>
      <c r="O116" s="32" t="str">
        <f t="shared" si="14"/>
        <v/>
      </c>
      <c r="P116" s="21"/>
      <c r="Q116" s="21"/>
      <c r="R116" s="21"/>
      <c r="S116" s="36">
        <f t="shared" si="27"/>
        <v>0</v>
      </c>
      <c r="T116" s="34">
        <f t="shared" si="21"/>
        <v>0</v>
      </c>
      <c r="U116" s="32">
        <f t="shared" si="22"/>
        <v>0</v>
      </c>
      <c r="V116" s="43"/>
      <c r="W116" s="32">
        <f t="shared" si="15"/>
        <v>0</v>
      </c>
      <c r="X116" s="34">
        <f t="shared" si="16"/>
        <v>0</v>
      </c>
      <c r="Y116" s="30">
        <f t="shared" si="17"/>
        <v>0</v>
      </c>
      <c r="Z116" s="34">
        <f t="shared" si="18"/>
        <v>0</v>
      </c>
      <c r="AA116" s="41">
        <f t="shared" si="19"/>
        <v>0</v>
      </c>
      <c r="AB116" s="31">
        <f t="shared" si="20"/>
        <v>0</v>
      </c>
    </row>
    <row r="117" spans="3:28" x14ac:dyDescent="0.7">
      <c r="C117" s="63" t="str">
        <f t="shared" si="23"/>
        <v/>
      </c>
      <c r="D117" s="16"/>
      <c r="E117" s="3"/>
      <c r="F117" s="57"/>
      <c r="G117" s="15" t="str">
        <f t="shared" si="24"/>
        <v/>
      </c>
      <c r="H117" s="65" t="str">
        <f t="shared" si="25"/>
        <v/>
      </c>
      <c r="I117" s="65" t="str">
        <f t="shared" si="26"/>
        <v/>
      </c>
      <c r="O117" s="32" t="str">
        <f t="shared" si="14"/>
        <v/>
      </c>
      <c r="P117" s="21"/>
      <c r="Q117" s="21"/>
      <c r="R117" s="21"/>
      <c r="S117" s="36">
        <f t="shared" si="27"/>
        <v>0</v>
      </c>
      <c r="T117" s="34">
        <f t="shared" si="21"/>
        <v>0</v>
      </c>
      <c r="U117" s="32">
        <f t="shared" si="22"/>
        <v>0</v>
      </c>
      <c r="V117" s="43"/>
      <c r="W117" s="32">
        <f t="shared" si="15"/>
        <v>0</v>
      </c>
      <c r="X117" s="34">
        <f t="shared" si="16"/>
        <v>0</v>
      </c>
      <c r="Y117" s="30">
        <f t="shared" si="17"/>
        <v>0</v>
      </c>
      <c r="Z117" s="34">
        <f t="shared" si="18"/>
        <v>0</v>
      </c>
      <c r="AA117" s="41">
        <f t="shared" si="19"/>
        <v>0</v>
      </c>
      <c r="AB117" s="31">
        <f t="shared" si="20"/>
        <v>0</v>
      </c>
    </row>
    <row r="118" spans="3:28" x14ac:dyDescent="0.7">
      <c r="C118" s="63" t="str">
        <f t="shared" si="23"/>
        <v/>
      </c>
      <c r="D118" s="16"/>
      <c r="E118" s="3"/>
      <c r="F118" s="57"/>
      <c r="G118" s="15" t="str">
        <f t="shared" si="24"/>
        <v/>
      </c>
      <c r="H118" s="65" t="str">
        <f t="shared" si="25"/>
        <v/>
      </c>
      <c r="I118" s="65" t="str">
        <f t="shared" si="26"/>
        <v/>
      </c>
      <c r="O118" s="32" t="str">
        <f t="shared" si="14"/>
        <v/>
      </c>
      <c r="P118" s="21"/>
      <c r="Q118" s="21"/>
      <c r="R118" s="21"/>
      <c r="S118" s="36">
        <f t="shared" si="27"/>
        <v>0</v>
      </c>
      <c r="T118" s="34">
        <f t="shared" si="21"/>
        <v>0</v>
      </c>
      <c r="U118" s="32">
        <f t="shared" si="22"/>
        <v>0</v>
      </c>
      <c r="V118" s="43"/>
      <c r="W118" s="32">
        <f t="shared" si="15"/>
        <v>0</v>
      </c>
      <c r="X118" s="34">
        <f t="shared" si="16"/>
        <v>0</v>
      </c>
      <c r="Y118" s="30">
        <f t="shared" si="17"/>
        <v>0</v>
      </c>
      <c r="Z118" s="34">
        <f t="shared" si="18"/>
        <v>0</v>
      </c>
      <c r="AA118" s="41">
        <f t="shared" si="19"/>
        <v>0</v>
      </c>
      <c r="AB118" s="31">
        <f t="shared" si="20"/>
        <v>0</v>
      </c>
    </row>
    <row r="119" spans="3:28" x14ac:dyDescent="0.7">
      <c r="C119" s="63" t="str">
        <f t="shared" si="23"/>
        <v/>
      </c>
      <c r="D119" s="16"/>
      <c r="E119" s="3"/>
      <c r="F119" s="57"/>
      <c r="G119" s="15" t="str">
        <f t="shared" si="24"/>
        <v/>
      </c>
      <c r="H119" s="65" t="str">
        <f t="shared" si="25"/>
        <v/>
      </c>
      <c r="I119" s="65" t="str">
        <f t="shared" si="26"/>
        <v/>
      </c>
      <c r="O119" s="32" t="str">
        <f t="shared" si="14"/>
        <v/>
      </c>
      <c r="P119" s="21"/>
      <c r="Q119" s="21"/>
      <c r="R119" s="21"/>
      <c r="S119" s="36">
        <f t="shared" si="27"/>
        <v>0</v>
      </c>
      <c r="T119" s="34">
        <f t="shared" si="21"/>
        <v>0</v>
      </c>
      <c r="U119" s="32">
        <f t="shared" si="22"/>
        <v>0</v>
      </c>
      <c r="V119" s="43"/>
      <c r="W119" s="32">
        <f t="shared" si="15"/>
        <v>0</v>
      </c>
      <c r="X119" s="34">
        <f t="shared" si="16"/>
        <v>0</v>
      </c>
      <c r="Y119" s="30">
        <f t="shared" si="17"/>
        <v>0</v>
      </c>
      <c r="Z119" s="34">
        <f t="shared" si="18"/>
        <v>0</v>
      </c>
      <c r="AA119" s="41">
        <f t="shared" si="19"/>
        <v>0</v>
      </c>
      <c r="AB119" s="31">
        <f t="shared" si="20"/>
        <v>0</v>
      </c>
    </row>
    <row r="120" spans="3:28" x14ac:dyDescent="0.7">
      <c r="C120" s="63" t="str">
        <f t="shared" si="23"/>
        <v/>
      </c>
      <c r="D120" s="16"/>
      <c r="E120" s="3"/>
      <c r="F120" s="57"/>
      <c r="G120" s="15" t="str">
        <f t="shared" si="24"/>
        <v/>
      </c>
      <c r="H120" s="65" t="str">
        <f t="shared" si="25"/>
        <v/>
      </c>
      <c r="I120" s="65" t="str">
        <f t="shared" si="26"/>
        <v/>
      </c>
      <c r="O120" s="32" t="str">
        <f t="shared" si="14"/>
        <v/>
      </c>
      <c r="P120" s="21"/>
      <c r="Q120" s="21"/>
      <c r="R120" s="21"/>
      <c r="S120" s="36">
        <f t="shared" si="27"/>
        <v>0</v>
      </c>
      <c r="T120" s="34">
        <f t="shared" si="21"/>
        <v>0</v>
      </c>
      <c r="U120" s="32">
        <f t="shared" si="22"/>
        <v>0</v>
      </c>
      <c r="V120" s="43"/>
      <c r="W120" s="32">
        <f t="shared" si="15"/>
        <v>0</v>
      </c>
      <c r="X120" s="34">
        <f t="shared" si="16"/>
        <v>0</v>
      </c>
      <c r="Y120" s="30">
        <f t="shared" si="17"/>
        <v>0</v>
      </c>
      <c r="Z120" s="34">
        <f t="shared" si="18"/>
        <v>0</v>
      </c>
      <c r="AA120" s="41">
        <f t="shared" si="19"/>
        <v>0</v>
      </c>
      <c r="AB120" s="31">
        <f t="shared" si="20"/>
        <v>0</v>
      </c>
    </row>
    <row r="121" spans="3:28" x14ac:dyDescent="0.7">
      <c r="C121" s="63" t="str">
        <f t="shared" si="23"/>
        <v/>
      </c>
      <c r="D121" s="16"/>
      <c r="E121" s="3"/>
      <c r="F121" s="57"/>
      <c r="G121" s="15" t="str">
        <f t="shared" si="24"/>
        <v/>
      </c>
      <c r="H121" s="65" t="str">
        <f t="shared" si="25"/>
        <v/>
      </c>
      <c r="I121" s="65" t="str">
        <f t="shared" si="26"/>
        <v/>
      </c>
      <c r="O121" s="32" t="str">
        <f t="shared" si="14"/>
        <v/>
      </c>
      <c r="P121" s="21"/>
      <c r="Q121" s="21"/>
      <c r="R121" s="21"/>
      <c r="S121" s="36">
        <f t="shared" si="27"/>
        <v>0</v>
      </c>
      <c r="T121" s="34">
        <f t="shared" si="21"/>
        <v>0</v>
      </c>
      <c r="U121" s="32">
        <f t="shared" si="22"/>
        <v>0</v>
      </c>
      <c r="V121" s="43"/>
      <c r="W121" s="32">
        <f t="shared" si="15"/>
        <v>0</v>
      </c>
      <c r="X121" s="34">
        <f t="shared" si="16"/>
        <v>0</v>
      </c>
      <c r="Y121" s="30">
        <f t="shared" si="17"/>
        <v>0</v>
      </c>
      <c r="Z121" s="34">
        <f t="shared" si="18"/>
        <v>0</v>
      </c>
      <c r="AA121" s="41">
        <f t="shared" si="19"/>
        <v>0</v>
      </c>
      <c r="AB121" s="31">
        <f t="shared" si="20"/>
        <v>0</v>
      </c>
    </row>
    <row r="122" spans="3:28" x14ac:dyDescent="0.7">
      <c r="C122" s="63" t="str">
        <f t="shared" si="23"/>
        <v/>
      </c>
      <c r="D122" s="16"/>
      <c r="E122" s="3"/>
      <c r="F122" s="57"/>
      <c r="G122" s="15" t="str">
        <f t="shared" si="24"/>
        <v/>
      </c>
      <c r="H122" s="65" t="str">
        <f t="shared" si="25"/>
        <v/>
      </c>
      <c r="I122" s="65" t="str">
        <f t="shared" si="26"/>
        <v/>
      </c>
      <c r="O122" s="32" t="str">
        <f t="shared" si="14"/>
        <v/>
      </c>
      <c r="P122" s="21"/>
      <c r="Q122" s="21"/>
      <c r="R122" s="21"/>
      <c r="S122" s="36">
        <f t="shared" si="27"/>
        <v>0</v>
      </c>
      <c r="T122" s="34">
        <f t="shared" si="21"/>
        <v>0</v>
      </c>
      <c r="U122" s="32">
        <f t="shared" si="22"/>
        <v>0</v>
      </c>
      <c r="V122" s="43"/>
      <c r="W122" s="32">
        <f t="shared" si="15"/>
        <v>0</v>
      </c>
      <c r="X122" s="34">
        <f t="shared" si="16"/>
        <v>0</v>
      </c>
      <c r="Y122" s="30">
        <f t="shared" si="17"/>
        <v>0</v>
      </c>
      <c r="Z122" s="34">
        <f t="shared" si="18"/>
        <v>0</v>
      </c>
      <c r="AA122" s="41">
        <f t="shared" si="19"/>
        <v>0</v>
      </c>
      <c r="AB122" s="31">
        <f t="shared" si="20"/>
        <v>0</v>
      </c>
    </row>
    <row r="123" spans="3:28" x14ac:dyDescent="0.7">
      <c r="C123" s="63" t="str">
        <f t="shared" si="23"/>
        <v/>
      </c>
      <c r="D123" s="16"/>
      <c r="E123" s="3"/>
      <c r="F123" s="57"/>
      <c r="G123" s="15" t="str">
        <f t="shared" si="24"/>
        <v/>
      </c>
      <c r="H123" s="65" t="str">
        <f t="shared" si="25"/>
        <v/>
      </c>
      <c r="I123" s="65" t="str">
        <f t="shared" si="26"/>
        <v/>
      </c>
      <c r="O123" s="32" t="str">
        <f t="shared" si="14"/>
        <v/>
      </c>
      <c r="P123" s="21"/>
      <c r="Q123" s="21"/>
      <c r="R123" s="21"/>
      <c r="S123" s="36">
        <f t="shared" si="27"/>
        <v>0</v>
      </c>
      <c r="T123" s="34">
        <f t="shared" si="21"/>
        <v>0</v>
      </c>
      <c r="U123" s="32">
        <f t="shared" si="22"/>
        <v>0</v>
      </c>
      <c r="V123" s="43"/>
      <c r="W123" s="32">
        <f t="shared" si="15"/>
        <v>0</v>
      </c>
      <c r="X123" s="34">
        <f t="shared" si="16"/>
        <v>0</v>
      </c>
      <c r="Y123" s="30">
        <f t="shared" si="17"/>
        <v>0</v>
      </c>
      <c r="Z123" s="34">
        <f t="shared" si="18"/>
        <v>0</v>
      </c>
      <c r="AA123" s="41">
        <f t="shared" si="19"/>
        <v>0</v>
      </c>
      <c r="AB123" s="31">
        <f t="shared" si="20"/>
        <v>0</v>
      </c>
    </row>
    <row r="124" spans="3:28" x14ac:dyDescent="0.7">
      <c r="C124" s="63" t="str">
        <f t="shared" si="23"/>
        <v/>
      </c>
      <c r="D124" s="16"/>
      <c r="E124" s="3"/>
      <c r="F124" s="57"/>
      <c r="G124" s="15" t="str">
        <f t="shared" si="24"/>
        <v/>
      </c>
      <c r="H124" s="65" t="str">
        <f t="shared" si="25"/>
        <v/>
      </c>
      <c r="I124" s="65" t="str">
        <f t="shared" si="26"/>
        <v/>
      </c>
      <c r="O124" s="32" t="str">
        <f t="shared" si="14"/>
        <v/>
      </c>
      <c r="P124" s="21"/>
      <c r="Q124" s="21"/>
      <c r="R124" s="21"/>
      <c r="S124" s="36">
        <f t="shared" si="27"/>
        <v>0</v>
      </c>
      <c r="T124" s="34">
        <f t="shared" si="21"/>
        <v>0</v>
      </c>
      <c r="U124" s="32">
        <f t="shared" si="22"/>
        <v>0</v>
      </c>
      <c r="V124" s="43"/>
      <c r="W124" s="32">
        <f t="shared" si="15"/>
        <v>0</v>
      </c>
      <c r="X124" s="34">
        <f t="shared" si="16"/>
        <v>0</v>
      </c>
      <c r="Y124" s="30">
        <f t="shared" si="17"/>
        <v>0</v>
      </c>
      <c r="Z124" s="34">
        <f t="shared" si="18"/>
        <v>0</v>
      </c>
      <c r="AA124" s="41">
        <f t="shared" si="19"/>
        <v>0</v>
      </c>
      <c r="AB124" s="31">
        <f t="shared" si="20"/>
        <v>0</v>
      </c>
    </row>
    <row r="125" spans="3:28" x14ac:dyDescent="0.7">
      <c r="C125" s="63" t="str">
        <f t="shared" si="23"/>
        <v/>
      </c>
      <c r="D125" s="16"/>
      <c r="E125" s="3"/>
      <c r="F125" s="57"/>
      <c r="G125" s="15" t="str">
        <f t="shared" si="24"/>
        <v/>
      </c>
      <c r="H125" s="65" t="str">
        <f t="shared" si="25"/>
        <v/>
      </c>
      <c r="I125" s="65" t="str">
        <f t="shared" si="26"/>
        <v/>
      </c>
      <c r="O125" s="32" t="str">
        <f t="shared" si="14"/>
        <v/>
      </c>
      <c r="P125" s="21"/>
      <c r="Q125" s="21"/>
      <c r="R125" s="21"/>
      <c r="S125" s="36">
        <f t="shared" si="27"/>
        <v>0</v>
      </c>
      <c r="T125" s="34">
        <f t="shared" si="21"/>
        <v>0</v>
      </c>
      <c r="U125" s="32">
        <f t="shared" si="22"/>
        <v>0</v>
      </c>
      <c r="V125" s="43"/>
      <c r="W125" s="32">
        <f t="shared" si="15"/>
        <v>0</v>
      </c>
      <c r="X125" s="34">
        <f t="shared" si="16"/>
        <v>0</v>
      </c>
      <c r="Y125" s="30">
        <f t="shared" si="17"/>
        <v>0</v>
      </c>
      <c r="Z125" s="34">
        <f t="shared" si="18"/>
        <v>0</v>
      </c>
      <c r="AA125" s="41">
        <f t="shared" si="19"/>
        <v>0</v>
      </c>
      <c r="AB125" s="31">
        <f t="shared" si="20"/>
        <v>0</v>
      </c>
    </row>
    <row r="126" spans="3:28" x14ac:dyDescent="0.7">
      <c r="C126" s="63" t="str">
        <f t="shared" si="23"/>
        <v/>
      </c>
      <c r="D126" s="16"/>
      <c r="E126" s="3"/>
      <c r="F126" s="57"/>
      <c r="G126" s="15" t="str">
        <f t="shared" si="24"/>
        <v/>
      </c>
      <c r="H126" s="65" t="str">
        <f t="shared" si="25"/>
        <v/>
      </c>
      <c r="I126" s="65" t="str">
        <f t="shared" si="26"/>
        <v/>
      </c>
      <c r="O126" s="32" t="str">
        <f t="shared" si="14"/>
        <v/>
      </c>
      <c r="P126" s="21"/>
      <c r="Q126" s="21"/>
      <c r="R126" s="21"/>
      <c r="S126" s="36">
        <f t="shared" si="27"/>
        <v>0</v>
      </c>
      <c r="T126" s="34">
        <f t="shared" si="21"/>
        <v>0</v>
      </c>
      <c r="U126" s="32">
        <f t="shared" si="22"/>
        <v>0</v>
      </c>
      <c r="V126" s="43"/>
      <c r="W126" s="32">
        <f t="shared" si="15"/>
        <v>0</v>
      </c>
      <c r="X126" s="34">
        <f t="shared" si="16"/>
        <v>0</v>
      </c>
      <c r="Y126" s="30">
        <f t="shared" si="17"/>
        <v>0</v>
      </c>
      <c r="Z126" s="34">
        <f t="shared" si="18"/>
        <v>0</v>
      </c>
      <c r="AA126" s="41">
        <f t="shared" si="19"/>
        <v>0</v>
      </c>
      <c r="AB126" s="31">
        <f t="shared" si="20"/>
        <v>0</v>
      </c>
    </row>
    <row r="127" spans="3:28" x14ac:dyDescent="0.7">
      <c r="C127" s="63" t="str">
        <f t="shared" si="23"/>
        <v/>
      </c>
      <c r="D127" s="16"/>
      <c r="E127" s="3"/>
      <c r="F127" s="57"/>
      <c r="G127" s="15" t="str">
        <f t="shared" si="24"/>
        <v/>
      </c>
      <c r="H127" s="65" t="str">
        <f t="shared" si="25"/>
        <v/>
      </c>
      <c r="I127" s="65" t="str">
        <f t="shared" si="26"/>
        <v/>
      </c>
      <c r="O127" s="32" t="str">
        <f t="shared" si="14"/>
        <v/>
      </c>
      <c r="P127" s="21"/>
      <c r="Q127" s="21"/>
      <c r="R127" s="21"/>
      <c r="S127" s="36">
        <f t="shared" si="27"/>
        <v>0</v>
      </c>
      <c r="T127" s="34">
        <f t="shared" si="21"/>
        <v>0</v>
      </c>
      <c r="U127" s="32">
        <f t="shared" si="22"/>
        <v>0</v>
      </c>
      <c r="V127" s="43"/>
      <c r="W127" s="32">
        <f t="shared" si="15"/>
        <v>0</v>
      </c>
      <c r="X127" s="34">
        <f t="shared" si="16"/>
        <v>0</v>
      </c>
      <c r="Y127" s="30">
        <f t="shared" si="17"/>
        <v>0</v>
      </c>
      <c r="Z127" s="34">
        <f t="shared" si="18"/>
        <v>0</v>
      </c>
      <c r="AA127" s="41">
        <f t="shared" si="19"/>
        <v>0</v>
      </c>
      <c r="AB127" s="31">
        <f t="shared" si="20"/>
        <v>0</v>
      </c>
    </row>
    <row r="128" spans="3:28" x14ac:dyDescent="0.7">
      <c r="C128" s="63" t="str">
        <f t="shared" si="23"/>
        <v/>
      </c>
      <c r="D128" s="16"/>
      <c r="E128" s="3"/>
      <c r="F128" s="57"/>
      <c r="G128" s="15" t="str">
        <f t="shared" si="24"/>
        <v/>
      </c>
      <c r="H128" s="65" t="str">
        <f t="shared" si="25"/>
        <v/>
      </c>
      <c r="I128" s="65" t="str">
        <f t="shared" si="26"/>
        <v/>
      </c>
      <c r="O128" s="32" t="str">
        <f t="shared" si="14"/>
        <v/>
      </c>
      <c r="P128" s="21"/>
      <c r="Q128" s="21"/>
      <c r="R128" s="21"/>
      <c r="S128" s="36">
        <f t="shared" si="27"/>
        <v>0</v>
      </c>
      <c r="T128" s="34">
        <f t="shared" si="21"/>
        <v>0</v>
      </c>
      <c r="U128" s="32">
        <f t="shared" si="22"/>
        <v>0</v>
      </c>
      <c r="V128" s="43"/>
      <c r="W128" s="32">
        <f t="shared" si="15"/>
        <v>0</v>
      </c>
      <c r="X128" s="34">
        <f t="shared" si="16"/>
        <v>0</v>
      </c>
      <c r="Y128" s="30">
        <f t="shared" si="17"/>
        <v>0</v>
      </c>
      <c r="Z128" s="34">
        <f t="shared" si="18"/>
        <v>0</v>
      </c>
      <c r="AA128" s="41">
        <f t="shared" si="19"/>
        <v>0</v>
      </c>
      <c r="AB128" s="31">
        <f t="shared" si="20"/>
        <v>0</v>
      </c>
    </row>
    <row r="129" spans="3:28" x14ac:dyDescent="0.7">
      <c r="C129" s="63" t="str">
        <f t="shared" si="23"/>
        <v/>
      </c>
      <c r="D129" s="16"/>
      <c r="E129" s="3"/>
      <c r="F129" s="57"/>
      <c r="G129" s="15" t="str">
        <f t="shared" si="24"/>
        <v/>
      </c>
      <c r="H129" s="65" t="str">
        <f t="shared" si="25"/>
        <v/>
      </c>
      <c r="I129" s="65" t="str">
        <f t="shared" si="26"/>
        <v/>
      </c>
      <c r="O129" s="32" t="str">
        <f t="shared" si="14"/>
        <v/>
      </c>
      <c r="P129" s="47"/>
      <c r="Q129" s="48"/>
      <c r="R129" s="48"/>
      <c r="S129" s="36">
        <f t="shared" si="27"/>
        <v>0</v>
      </c>
      <c r="T129" s="34">
        <f t="shared" si="21"/>
        <v>0</v>
      </c>
      <c r="U129" s="32">
        <f t="shared" si="22"/>
        <v>0</v>
      </c>
      <c r="V129" s="43"/>
      <c r="W129" s="32">
        <f t="shared" si="15"/>
        <v>0</v>
      </c>
      <c r="X129" s="34">
        <f t="shared" si="16"/>
        <v>0</v>
      </c>
      <c r="Y129" s="30">
        <f t="shared" si="17"/>
        <v>0</v>
      </c>
      <c r="Z129" s="34">
        <f t="shared" si="18"/>
        <v>0</v>
      </c>
      <c r="AA129" s="41">
        <f t="shared" si="19"/>
        <v>0</v>
      </c>
      <c r="AB129" s="31">
        <f t="shared" si="20"/>
        <v>0</v>
      </c>
    </row>
    <row r="130" spans="3:28" x14ac:dyDescent="0.7">
      <c r="C130" s="63" t="str">
        <f t="shared" si="23"/>
        <v/>
      </c>
      <c r="D130" s="16"/>
      <c r="E130" s="3"/>
      <c r="F130" s="57"/>
      <c r="G130" s="15" t="str">
        <f t="shared" si="24"/>
        <v/>
      </c>
      <c r="H130" s="65" t="str">
        <f t="shared" si="25"/>
        <v/>
      </c>
      <c r="I130" s="65" t="str">
        <f t="shared" si="26"/>
        <v/>
      </c>
      <c r="O130" s="32" t="str">
        <f t="shared" si="14"/>
        <v/>
      </c>
      <c r="P130" s="47"/>
      <c r="Q130" s="48"/>
      <c r="R130" s="48"/>
      <c r="S130" s="36">
        <f t="shared" si="27"/>
        <v>0</v>
      </c>
      <c r="T130" s="34">
        <f t="shared" si="21"/>
        <v>0</v>
      </c>
      <c r="U130" s="32">
        <f t="shared" si="22"/>
        <v>0</v>
      </c>
      <c r="V130" s="43"/>
      <c r="W130" s="32">
        <f t="shared" si="15"/>
        <v>0</v>
      </c>
      <c r="X130" s="34">
        <f t="shared" si="16"/>
        <v>0</v>
      </c>
      <c r="Y130" s="30">
        <f t="shared" si="17"/>
        <v>0</v>
      </c>
      <c r="Z130" s="34">
        <f t="shared" si="18"/>
        <v>0</v>
      </c>
      <c r="AA130" s="41">
        <f t="shared" si="19"/>
        <v>0</v>
      </c>
      <c r="AB130" s="31">
        <f t="shared" si="20"/>
        <v>0</v>
      </c>
    </row>
    <row r="131" spans="3:28" x14ac:dyDescent="0.7">
      <c r="C131" s="63" t="str">
        <f t="shared" si="23"/>
        <v/>
      </c>
      <c r="D131" s="16"/>
      <c r="E131" s="3"/>
      <c r="F131" s="57"/>
      <c r="G131" s="15" t="str">
        <f t="shared" si="24"/>
        <v/>
      </c>
      <c r="H131" s="65" t="str">
        <f t="shared" si="25"/>
        <v/>
      </c>
      <c r="I131" s="65" t="str">
        <f t="shared" si="26"/>
        <v/>
      </c>
      <c r="O131" s="32" t="str">
        <f t="shared" si="14"/>
        <v/>
      </c>
      <c r="P131" s="50"/>
      <c r="Q131" s="48"/>
      <c r="R131" s="48"/>
      <c r="S131" s="36">
        <f t="shared" si="27"/>
        <v>0</v>
      </c>
      <c r="T131" s="34">
        <f t="shared" si="21"/>
        <v>0</v>
      </c>
      <c r="U131" s="32">
        <f t="shared" si="22"/>
        <v>0</v>
      </c>
      <c r="V131" s="43"/>
      <c r="W131" s="32">
        <f t="shared" si="15"/>
        <v>0</v>
      </c>
      <c r="X131" s="34">
        <f t="shared" si="16"/>
        <v>0</v>
      </c>
      <c r="Y131" s="30">
        <f t="shared" si="17"/>
        <v>0</v>
      </c>
      <c r="Z131" s="34">
        <f t="shared" si="18"/>
        <v>0</v>
      </c>
      <c r="AA131" s="41">
        <f t="shared" si="19"/>
        <v>0</v>
      </c>
      <c r="AB131" s="31">
        <f t="shared" si="20"/>
        <v>0</v>
      </c>
    </row>
    <row r="132" spans="3:28" x14ac:dyDescent="0.7">
      <c r="C132" s="63" t="str">
        <f t="shared" si="23"/>
        <v/>
      </c>
      <c r="D132" s="16"/>
      <c r="E132" s="3"/>
      <c r="F132" s="57"/>
      <c r="G132" s="15" t="str">
        <f t="shared" si="24"/>
        <v/>
      </c>
      <c r="H132" s="65" t="str">
        <f t="shared" si="25"/>
        <v/>
      </c>
      <c r="I132" s="65" t="str">
        <f t="shared" si="26"/>
        <v/>
      </c>
      <c r="O132" s="32" t="str">
        <f t="shared" si="14"/>
        <v/>
      </c>
      <c r="P132" s="50"/>
      <c r="Q132" s="48"/>
      <c r="R132" s="48"/>
      <c r="S132" s="36">
        <f t="shared" si="27"/>
        <v>0</v>
      </c>
      <c r="T132" s="34">
        <f t="shared" si="21"/>
        <v>0</v>
      </c>
      <c r="U132" s="32">
        <f t="shared" si="22"/>
        <v>0</v>
      </c>
      <c r="V132" s="43"/>
      <c r="W132" s="32">
        <f t="shared" si="15"/>
        <v>0</v>
      </c>
      <c r="X132" s="34">
        <f t="shared" si="16"/>
        <v>0</v>
      </c>
      <c r="Y132" s="30">
        <f t="shared" si="17"/>
        <v>0</v>
      </c>
      <c r="Z132" s="34">
        <f t="shared" si="18"/>
        <v>0</v>
      </c>
      <c r="AA132" s="41">
        <f t="shared" si="19"/>
        <v>0</v>
      </c>
      <c r="AB132" s="31">
        <f t="shared" si="20"/>
        <v>0</v>
      </c>
    </row>
    <row r="133" spans="3:28" x14ac:dyDescent="0.7">
      <c r="C133" s="63" t="str">
        <f t="shared" si="23"/>
        <v/>
      </c>
      <c r="D133" s="16"/>
      <c r="E133" s="3"/>
      <c r="F133" s="57"/>
      <c r="G133" s="15" t="str">
        <f t="shared" si="24"/>
        <v/>
      </c>
      <c r="H133" s="65" t="str">
        <f t="shared" si="25"/>
        <v/>
      </c>
      <c r="I133" s="65" t="str">
        <f t="shared" si="26"/>
        <v/>
      </c>
      <c r="O133" s="32" t="str">
        <f t="shared" si="14"/>
        <v/>
      </c>
      <c r="P133" s="51"/>
      <c r="Q133" s="48"/>
      <c r="R133" s="48"/>
      <c r="S133" s="36">
        <f t="shared" si="27"/>
        <v>0</v>
      </c>
      <c r="T133" s="34">
        <f t="shared" si="21"/>
        <v>0</v>
      </c>
      <c r="U133" s="32">
        <f t="shared" si="22"/>
        <v>0</v>
      </c>
      <c r="V133" s="43"/>
      <c r="W133" s="32">
        <f t="shared" si="15"/>
        <v>0</v>
      </c>
      <c r="X133" s="34">
        <f t="shared" si="16"/>
        <v>0</v>
      </c>
      <c r="Y133" s="30">
        <f t="shared" si="17"/>
        <v>0</v>
      </c>
      <c r="Z133" s="34">
        <f t="shared" si="18"/>
        <v>0</v>
      </c>
      <c r="AA133" s="41">
        <f t="shared" si="19"/>
        <v>0</v>
      </c>
      <c r="AB133" s="31">
        <f t="shared" si="20"/>
        <v>0</v>
      </c>
    </row>
    <row r="134" spans="3:28" x14ac:dyDescent="0.7">
      <c r="C134" s="63" t="str">
        <f t="shared" si="23"/>
        <v/>
      </c>
      <c r="D134" s="16"/>
      <c r="E134" s="3"/>
      <c r="F134" s="57"/>
      <c r="G134" s="15" t="str">
        <f t="shared" si="24"/>
        <v/>
      </c>
      <c r="H134" s="65" t="str">
        <f t="shared" si="25"/>
        <v/>
      </c>
      <c r="I134" s="65" t="str">
        <f t="shared" si="26"/>
        <v/>
      </c>
      <c r="O134" s="32" t="str">
        <f t="shared" si="14"/>
        <v/>
      </c>
      <c r="P134" s="51"/>
      <c r="Q134" s="48"/>
      <c r="R134" s="48"/>
      <c r="S134" s="36">
        <f t="shared" si="27"/>
        <v>0</v>
      </c>
      <c r="T134" s="34">
        <f t="shared" si="21"/>
        <v>0</v>
      </c>
      <c r="U134" s="32">
        <f t="shared" si="22"/>
        <v>0</v>
      </c>
      <c r="V134" s="43"/>
      <c r="W134" s="32">
        <f t="shared" si="15"/>
        <v>0</v>
      </c>
      <c r="X134" s="34">
        <f t="shared" si="16"/>
        <v>0</v>
      </c>
      <c r="Y134" s="30">
        <f t="shared" si="17"/>
        <v>0</v>
      </c>
      <c r="Z134" s="34">
        <f t="shared" si="18"/>
        <v>0</v>
      </c>
      <c r="AA134" s="41">
        <f t="shared" si="19"/>
        <v>0</v>
      </c>
      <c r="AB134" s="31">
        <f t="shared" si="20"/>
        <v>0</v>
      </c>
    </row>
    <row r="135" spans="3:28" x14ac:dyDescent="0.7">
      <c r="C135" s="63" t="str">
        <f t="shared" si="23"/>
        <v/>
      </c>
      <c r="D135" s="16"/>
      <c r="E135" s="3"/>
      <c r="F135" s="57"/>
      <c r="G135" s="15" t="str">
        <f t="shared" si="24"/>
        <v/>
      </c>
      <c r="H135" s="65" t="str">
        <f t="shared" si="25"/>
        <v/>
      </c>
      <c r="I135" s="65" t="str">
        <f t="shared" si="26"/>
        <v/>
      </c>
      <c r="O135" s="32" t="str">
        <f t="shared" si="14"/>
        <v/>
      </c>
      <c r="P135" s="51"/>
      <c r="Q135" s="48"/>
      <c r="R135" s="48"/>
      <c r="S135" s="36">
        <f t="shared" si="27"/>
        <v>0</v>
      </c>
      <c r="T135" s="34">
        <f t="shared" si="21"/>
        <v>0</v>
      </c>
      <c r="U135" s="32">
        <f t="shared" si="22"/>
        <v>0</v>
      </c>
      <c r="V135" s="43"/>
      <c r="W135" s="32">
        <f t="shared" si="15"/>
        <v>0</v>
      </c>
      <c r="X135" s="34">
        <f t="shared" si="16"/>
        <v>0</v>
      </c>
      <c r="Y135" s="30">
        <f t="shared" si="17"/>
        <v>0</v>
      </c>
      <c r="Z135" s="34">
        <f t="shared" si="18"/>
        <v>0</v>
      </c>
      <c r="AA135" s="41">
        <f t="shared" si="19"/>
        <v>0</v>
      </c>
      <c r="AB135" s="31">
        <f t="shared" si="20"/>
        <v>0</v>
      </c>
    </row>
    <row r="136" spans="3:28" x14ac:dyDescent="0.7">
      <c r="C136" s="63" t="str">
        <f t="shared" si="23"/>
        <v/>
      </c>
      <c r="D136" s="16"/>
      <c r="E136" s="3"/>
      <c r="F136" s="57"/>
      <c r="G136" s="15" t="str">
        <f t="shared" si="24"/>
        <v/>
      </c>
      <c r="H136" s="65" t="str">
        <f t="shared" si="25"/>
        <v/>
      </c>
      <c r="I136" s="65" t="str">
        <f t="shared" si="26"/>
        <v/>
      </c>
      <c r="O136" s="32" t="str">
        <f t="shared" ref="O136:O199" si="28">IF(P136="","",ROW()-ROW($O$6))</f>
        <v/>
      </c>
      <c r="P136" s="50"/>
      <c r="Q136" s="48"/>
      <c r="R136" s="48"/>
      <c r="S136" s="36">
        <f t="shared" si="27"/>
        <v>0</v>
      </c>
      <c r="T136" s="34">
        <f t="shared" si="21"/>
        <v>0</v>
      </c>
      <c r="U136" s="32">
        <f t="shared" si="22"/>
        <v>0</v>
      </c>
      <c r="V136" s="43"/>
      <c r="W136" s="32">
        <f t="shared" ref="W136:W199" si="29">U136-V136</f>
        <v>0</v>
      </c>
      <c r="X136" s="34">
        <f t="shared" ref="X136:X199" si="30">W136/5440</f>
        <v>0</v>
      </c>
      <c r="Y136" s="30">
        <f t="shared" ref="Y136:Y199" si="31">TRUNC(X136)</f>
        <v>0</v>
      </c>
      <c r="Z136" s="34">
        <f t="shared" ref="Z136:Z199" si="32">(X136-Y136)*20</f>
        <v>0</v>
      </c>
      <c r="AA136" s="41">
        <f t="shared" ref="AA136:AA199" si="33">TRUNC(Z136)</f>
        <v>0</v>
      </c>
      <c r="AB136" s="31">
        <f t="shared" ref="AB136:AB199" si="34">(Z136-AA136)*272</f>
        <v>0</v>
      </c>
    </row>
    <row r="137" spans="3:28" x14ac:dyDescent="0.7">
      <c r="C137" s="63" t="str">
        <f t="shared" si="23"/>
        <v/>
      </c>
      <c r="D137" s="16"/>
      <c r="E137" s="3"/>
      <c r="F137" s="57"/>
      <c r="G137" s="15" t="str">
        <f t="shared" si="24"/>
        <v/>
      </c>
      <c r="H137" s="65" t="str">
        <f t="shared" si="25"/>
        <v/>
      </c>
      <c r="I137" s="65" t="str">
        <f t="shared" si="26"/>
        <v/>
      </c>
      <c r="O137" s="32" t="str">
        <f t="shared" si="28"/>
        <v/>
      </c>
      <c r="P137" s="50"/>
      <c r="Q137" s="48"/>
      <c r="R137" s="48"/>
      <c r="S137" s="36">
        <f t="shared" si="27"/>
        <v>0</v>
      </c>
      <c r="T137" s="34">
        <f t="shared" ref="T137:T200" si="35">(S137*R137)/100</f>
        <v>0</v>
      </c>
      <c r="U137" s="32">
        <f t="shared" ref="U137:U200" si="36">R137-T137</f>
        <v>0</v>
      </c>
      <c r="V137" s="43"/>
      <c r="W137" s="32">
        <f t="shared" si="29"/>
        <v>0</v>
      </c>
      <c r="X137" s="34">
        <f t="shared" si="30"/>
        <v>0</v>
      </c>
      <c r="Y137" s="30">
        <f t="shared" si="31"/>
        <v>0</v>
      </c>
      <c r="Z137" s="34">
        <f t="shared" si="32"/>
        <v>0</v>
      </c>
      <c r="AA137" s="41">
        <f t="shared" si="33"/>
        <v>0</v>
      </c>
      <c r="AB137" s="31">
        <f t="shared" si="34"/>
        <v>0</v>
      </c>
    </row>
    <row r="138" spans="3:28" x14ac:dyDescent="0.7">
      <c r="C138" s="63" t="str">
        <f t="shared" ref="C138:C201" si="37">IF(D138="","",ROW()-ROW($C$8))</f>
        <v/>
      </c>
      <c r="D138" s="16"/>
      <c r="E138" s="3"/>
      <c r="F138" s="57"/>
      <c r="G138" s="15" t="str">
        <f t="shared" ref="G138:G201" si="38">_xlfn.TEXTJOIN("-",1,E138:F138)</f>
        <v/>
      </c>
      <c r="H138" s="65" t="str">
        <f t="shared" ref="H138:H201" si="39">_xlfn.TEXTJOIN("Khasra_",1,C138:D138)</f>
        <v/>
      </c>
      <c r="I138" s="65" t="str">
        <f t="shared" ref="I138:I201" si="40">_xlfn.TEXTJOIN("=",1,H138,G138)</f>
        <v/>
      </c>
      <c r="O138" s="32" t="str">
        <f t="shared" si="28"/>
        <v/>
      </c>
      <c r="P138" s="53"/>
      <c r="Q138" s="48"/>
      <c r="R138" s="48"/>
      <c r="S138" s="36">
        <f t="shared" si="27"/>
        <v>0</v>
      </c>
      <c r="T138" s="34">
        <f t="shared" si="35"/>
        <v>0</v>
      </c>
      <c r="U138" s="32">
        <f t="shared" si="36"/>
        <v>0</v>
      </c>
      <c r="V138" s="43"/>
      <c r="W138" s="32">
        <f t="shared" si="29"/>
        <v>0</v>
      </c>
      <c r="X138" s="34">
        <f t="shared" si="30"/>
        <v>0</v>
      </c>
      <c r="Y138" s="30">
        <f t="shared" si="31"/>
        <v>0</v>
      </c>
      <c r="Z138" s="34">
        <f t="shared" si="32"/>
        <v>0</v>
      </c>
      <c r="AA138" s="41">
        <f t="shared" si="33"/>
        <v>0</v>
      </c>
      <c r="AB138" s="31">
        <f t="shared" si="34"/>
        <v>0</v>
      </c>
    </row>
    <row r="139" spans="3:28" x14ac:dyDescent="0.7">
      <c r="C139" s="63" t="str">
        <f t="shared" si="37"/>
        <v/>
      </c>
      <c r="D139" s="16"/>
      <c r="E139" s="3"/>
      <c r="F139" s="57"/>
      <c r="G139" s="15" t="str">
        <f t="shared" si="38"/>
        <v/>
      </c>
      <c r="H139" s="65" t="str">
        <f t="shared" si="39"/>
        <v/>
      </c>
      <c r="I139" s="65" t="str">
        <f t="shared" si="40"/>
        <v/>
      </c>
      <c r="O139" s="32" t="str">
        <f t="shared" si="28"/>
        <v/>
      </c>
      <c r="P139" s="50"/>
      <c r="Q139" s="48"/>
      <c r="R139" s="48"/>
      <c r="S139" s="36">
        <f t="shared" ref="S139:S202" si="41">S138</f>
        <v>0</v>
      </c>
      <c r="T139" s="34">
        <f t="shared" si="35"/>
        <v>0</v>
      </c>
      <c r="U139" s="32">
        <f t="shared" si="36"/>
        <v>0</v>
      </c>
      <c r="V139" s="43"/>
      <c r="W139" s="32">
        <f t="shared" si="29"/>
        <v>0</v>
      </c>
      <c r="X139" s="34">
        <f t="shared" si="30"/>
        <v>0</v>
      </c>
      <c r="Y139" s="30">
        <f t="shared" si="31"/>
        <v>0</v>
      </c>
      <c r="Z139" s="34">
        <f t="shared" si="32"/>
        <v>0</v>
      </c>
      <c r="AA139" s="41">
        <f t="shared" si="33"/>
        <v>0</v>
      </c>
      <c r="AB139" s="31">
        <f t="shared" si="34"/>
        <v>0</v>
      </c>
    </row>
    <row r="140" spans="3:28" x14ac:dyDescent="0.7">
      <c r="C140" s="63" t="str">
        <f t="shared" si="37"/>
        <v/>
      </c>
      <c r="D140" s="16"/>
      <c r="E140" s="3"/>
      <c r="F140" s="57"/>
      <c r="G140" s="15" t="str">
        <f t="shared" si="38"/>
        <v/>
      </c>
      <c r="H140" s="65" t="str">
        <f t="shared" si="39"/>
        <v/>
      </c>
      <c r="I140" s="65" t="str">
        <f t="shared" si="40"/>
        <v/>
      </c>
      <c r="O140" s="32" t="str">
        <f t="shared" si="28"/>
        <v/>
      </c>
      <c r="P140" s="49"/>
      <c r="Q140" s="48"/>
      <c r="R140" s="48"/>
      <c r="S140" s="36">
        <f t="shared" si="41"/>
        <v>0</v>
      </c>
      <c r="T140" s="34">
        <f t="shared" si="35"/>
        <v>0</v>
      </c>
      <c r="U140" s="32">
        <f t="shared" si="36"/>
        <v>0</v>
      </c>
      <c r="V140" s="43"/>
      <c r="W140" s="32">
        <f t="shared" si="29"/>
        <v>0</v>
      </c>
      <c r="X140" s="34">
        <f t="shared" si="30"/>
        <v>0</v>
      </c>
      <c r="Y140" s="30">
        <f t="shared" si="31"/>
        <v>0</v>
      </c>
      <c r="Z140" s="34">
        <f t="shared" si="32"/>
        <v>0</v>
      </c>
      <c r="AA140" s="41">
        <f t="shared" si="33"/>
        <v>0</v>
      </c>
      <c r="AB140" s="31">
        <f t="shared" si="34"/>
        <v>0</v>
      </c>
    </row>
    <row r="141" spans="3:28" x14ac:dyDescent="0.7">
      <c r="C141" s="63" t="str">
        <f t="shared" si="37"/>
        <v/>
      </c>
      <c r="D141" s="16"/>
      <c r="E141" s="3"/>
      <c r="F141" s="57"/>
      <c r="G141" s="15" t="str">
        <f t="shared" si="38"/>
        <v/>
      </c>
      <c r="H141" s="65" t="str">
        <f t="shared" si="39"/>
        <v/>
      </c>
      <c r="I141" s="65" t="str">
        <f t="shared" si="40"/>
        <v/>
      </c>
      <c r="O141" s="32" t="str">
        <f t="shared" si="28"/>
        <v/>
      </c>
      <c r="P141" s="50"/>
      <c r="Q141" s="48"/>
      <c r="R141" s="48"/>
      <c r="S141" s="36">
        <f t="shared" si="41"/>
        <v>0</v>
      </c>
      <c r="T141" s="34">
        <f t="shared" si="35"/>
        <v>0</v>
      </c>
      <c r="U141" s="32">
        <f t="shared" si="36"/>
        <v>0</v>
      </c>
      <c r="V141" s="43"/>
      <c r="W141" s="32">
        <f t="shared" si="29"/>
        <v>0</v>
      </c>
      <c r="X141" s="34">
        <f t="shared" si="30"/>
        <v>0</v>
      </c>
      <c r="Y141" s="30">
        <f t="shared" si="31"/>
        <v>0</v>
      </c>
      <c r="Z141" s="34">
        <f t="shared" si="32"/>
        <v>0</v>
      </c>
      <c r="AA141" s="41">
        <f t="shared" si="33"/>
        <v>0</v>
      </c>
      <c r="AB141" s="31">
        <f t="shared" si="34"/>
        <v>0</v>
      </c>
    </row>
    <row r="142" spans="3:28" x14ac:dyDescent="0.7">
      <c r="C142" s="63" t="str">
        <f t="shared" si="37"/>
        <v/>
      </c>
      <c r="D142" s="16"/>
      <c r="E142" s="3"/>
      <c r="F142" s="57"/>
      <c r="G142" s="15" t="str">
        <f t="shared" si="38"/>
        <v/>
      </c>
      <c r="H142" s="65" t="str">
        <f t="shared" si="39"/>
        <v/>
      </c>
      <c r="I142" s="65" t="str">
        <f t="shared" si="40"/>
        <v/>
      </c>
      <c r="O142" s="32" t="str">
        <f t="shared" si="28"/>
        <v/>
      </c>
      <c r="P142" s="50"/>
      <c r="Q142" s="48"/>
      <c r="R142" s="48"/>
      <c r="S142" s="36">
        <f t="shared" si="41"/>
        <v>0</v>
      </c>
      <c r="T142" s="34">
        <f t="shared" si="35"/>
        <v>0</v>
      </c>
      <c r="U142" s="32">
        <f t="shared" si="36"/>
        <v>0</v>
      </c>
      <c r="V142" s="43"/>
      <c r="W142" s="32">
        <f t="shared" si="29"/>
        <v>0</v>
      </c>
      <c r="X142" s="34">
        <f t="shared" si="30"/>
        <v>0</v>
      </c>
      <c r="Y142" s="30">
        <f t="shared" si="31"/>
        <v>0</v>
      </c>
      <c r="Z142" s="34">
        <f t="shared" si="32"/>
        <v>0</v>
      </c>
      <c r="AA142" s="41">
        <f t="shared" si="33"/>
        <v>0</v>
      </c>
      <c r="AB142" s="31">
        <f t="shared" si="34"/>
        <v>0</v>
      </c>
    </row>
    <row r="143" spans="3:28" x14ac:dyDescent="0.7">
      <c r="C143" s="63" t="str">
        <f t="shared" si="37"/>
        <v/>
      </c>
      <c r="D143" s="16"/>
      <c r="E143" s="3"/>
      <c r="F143" s="57"/>
      <c r="G143" s="15" t="str">
        <f t="shared" si="38"/>
        <v/>
      </c>
      <c r="H143" s="65" t="str">
        <f t="shared" si="39"/>
        <v/>
      </c>
      <c r="I143" s="65" t="str">
        <f t="shared" si="40"/>
        <v/>
      </c>
      <c r="O143" s="32" t="str">
        <f t="shared" si="28"/>
        <v/>
      </c>
      <c r="P143" s="50"/>
      <c r="Q143" s="48"/>
      <c r="R143" s="48"/>
      <c r="S143" s="36">
        <f t="shared" si="41"/>
        <v>0</v>
      </c>
      <c r="T143" s="34">
        <f t="shared" si="35"/>
        <v>0</v>
      </c>
      <c r="U143" s="32">
        <f t="shared" si="36"/>
        <v>0</v>
      </c>
      <c r="V143" s="43"/>
      <c r="W143" s="32">
        <f t="shared" si="29"/>
        <v>0</v>
      </c>
      <c r="X143" s="34">
        <f t="shared" si="30"/>
        <v>0</v>
      </c>
      <c r="Y143" s="30">
        <f t="shared" si="31"/>
        <v>0</v>
      </c>
      <c r="Z143" s="34">
        <f t="shared" si="32"/>
        <v>0</v>
      </c>
      <c r="AA143" s="41">
        <f t="shared" si="33"/>
        <v>0</v>
      </c>
      <c r="AB143" s="31">
        <f t="shared" si="34"/>
        <v>0</v>
      </c>
    </row>
    <row r="144" spans="3:28" x14ac:dyDescent="0.7">
      <c r="C144" s="63" t="str">
        <f t="shared" si="37"/>
        <v/>
      </c>
      <c r="D144" s="16"/>
      <c r="E144" s="3"/>
      <c r="F144" s="57"/>
      <c r="G144" s="15" t="str">
        <f t="shared" si="38"/>
        <v/>
      </c>
      <c r="H144" s="65" t="str">
        <f t="shared" si="39"/>
        <v/>
      </c>
      <c r="I144" s="65" t="str">
        <f t="shared" si="40"/>
        <v/>
      </c>
      <c r="O144" s="32" t="str">
        <f t="shared" si="28"/>
        <v/>
      </c>
      <c r="P144" s="47"/>
      <c r="Q144" s="48"/>
      <c r="R144" s="48"/>
      <c r="S144" s="36">
        <f t="shared" si="41"/>
        <v>0</v>
      </c>
      <c r="T144" s="34">
        <f t="shared" si="35"/>
        <v>0</v>
      </c>
      <c r="U144" s="32">
        <f t="shared" si="36"/>
        <v>0</v>
      </c>
      <c r="V144" s="43"/>
      <c r="W144" s="32">
        <f t="shared" si="29"/>
        <v>0</v>
      </c>
      <c r="X144" s="34">
        <f t="shared" si="30"/>
        <v>0</v>
      </c>
      <c r="Y144" s="30">
        <f t="shared" si="31"/>
        <v>0</v>
      </c>
      <c r="Z144" s="34">
        <f t="shared" si="32"/>
        <v>0</v>
      </c>
      <c r="AA144" s="41">
        <f t="shared" si="33"/>
        <v>0</v>
      </c>
      <c r="AB144" s="31">
        <f t="shared" si="34"/>
        <v>0</v>
      </c>
    </row>
    <row r="145" spans="3:28" x14ac:dyDescent="0.7">
      <c r="C145" s="63" t="str">
        <f t="shared" si="37"/>
        <v/>
      </c>
      <c r="D145" s="16"/>
      <c r="E145" s="3"/>
      <c r="F145" s="57"/>
      <c r="G145" s="15" t="str">
        <f t="shared" si="38"/>
        <v/>
      </c>
      <c r="H145" s="65" t="str">
        <f t="shared" si="39"/>
        <v/>
      </c>
      <c r="I145" s="65" t="str">
        <f t="shared" si="40"/>
        <v/>
      </c>
      <c r="O145" s="32" t="str">
        <f t="shared" si="28"/>
        <v/>
      </c>
      <c r="P145" s="49"/>
      <c r="Q145" s="48"/>
      <c r="R145" s="48"/>
      <c r="S145" s="36">
        <f t="shared" si="41"/>
        <v>0</v>
      </c>
      <c r="T145" s="34">
        <f t="shared" si="35"/>
        <v>0</v>
      </c>
      <c r="U145" s="32">
        <f t="shared" si="36"/>
        <v>0</v>
      </c>
      <c r="V145" s="43"/>
      <c r="W145" s="32">
        <f t="shared" si="29"/>
        <v>0</v>
      </c>
      <c r="X145" s="34">
        <f t="shared" si="30"/>
        <v>0</v>
      </c>
      <c r="Y145" s="30">
        <f t="shared" si="31"/>
        <v>0</v>
      </c>
      <c r="Z145" s="34">
        <f t="shared" si="32"/>
        <v>0</v>
      </c>
      <c r="AA145" s="41">
        <f t="shared" si="33"/>
        <v>0</v>
      </c>
      <c r="AB145" s="31">
        <f t="shared" si="34"/>
        <v>0</v>
      </c>
    </row>
    <row r="146" spans="3:28" x14ac:dyDescent="0.7">
      <c r="C146" s="63" t="str">
        <f t="shared" si="37"/>
        <v/>
      </c>
      <c r="D146" s="16"/>
      <c r="E146" s="3"/>
      <c r="F146" s="57"/>
      <c r="G146" s="15" t="str">
        <f t="shared" si="38"/>
        <v/>
      </c>
      <c r="H146" s="65" t="str">
        <f t="shared" si="39"/>
        <v/>
      </c>
      <c r="I146" s="65" t="str">
        <f t="shared" si="40"/>
        <v/>
      </c>
      <c r="O146" s="32" t="str">
        <f t="shared" si="28"/>
        <v/>
      </c>
      <c r="P146" s="47"/>
      <c r="Q146" s="48"/>
      <c r="R146" s="48"/>
      <c r="S146" s="36">
        <f t="shared" si="41"/>
        <v>0</v>
      </c>
      <c r="T146" s="34">
        <f t="shared" si="35"/>
        <v>0</v>
      </c>
      <c r="U146" s="32">
        <f t="shared" si="36"/>
        <v>0</v>
      </c>
      <c r="V146" s="43"/>
      <c r="W146" s="32">
        <f t="shared" si="29"/>
        <v>0</v>
      </c>
      <c r="X146" s="34">
        <f t="shared" si="30"/>
        <v>0</v>
      </c>
      <c r="Y146" s="30">
        <f t="shared" si="31"/>
        <v>0</v>
      </c>
      <c r="Z146" s="34">
        <f t="shared" si="32"/>
        <v>0</v>
      </c>
      <c r="AA146" s="41">
        <f t="shared" si="33"/>
        <v>0</v>
      </c>
      <c r="AB146" s="31">
        <f t="shared" si="34"/>
        <v>0</v>
      </c>
    </row>
    <row r="147" spans="3:28" x14ac:dyDescent="0.7">
      <c r="C147" s="63" t="str">
        <f t="shared" si="37"/>
        <v/>
      </c>
      <c r="D147" s="16"/>
      <c r="E147" s="3"/>
      <c r="F147" s="57"/>
      <c r="G147" s="15" t="str">
        <f t="shared" si="38"/>
        <v/>
      </c>
      <c r="H147" s="65" t="str">
        <f t="shared" si="39"/>
        <v/>
      </c>
      <c r="I147" s="65" t="str">
        <f t="shared" si="40"/>
        <v/>
      </c>
      <c r="O147" s="32" t="str">
        <f t="shared" si="28"/>
        <v/>
      </c>
      <c r="P147" s="51"/>
      <c r="Q147" s="48"/>
      <c r="R147" s="48"/>
      <c r="S147" s="36">
        <f t="shared" si="41"/>
        <v>0</v>
      </c>
      <c r="T147" s="34">
        <f t="shared" si="35"/>
        <v>0</v>
      </c>
      <c r="U147" s="32">
        <f t="shared" si="36"/>
        <v>0</v>
      </c>
      <c r="V147" s="43"/>
      <c r="W147" s="32">
        <f t="shared" si="29"/>
        <v>0</v>
      </c>
      <c r="X147" s="34">
        <f t="shared" si="30"/>
        <v>0</v>
      </c>
      <c r="Y147" s="30">
        <f t="shared" si="31"/>
        <v>0</v>
      </c>
      <c r="Z147" s="34">
        <f t="shared" si="32"/>
        <v>0</v>
      </c>
      <c r="AA147" s="41">
        <f t="shared" si="33"/>
        <v>0</v>
      </c>
      <c r="AB147" s="31">
        <f t="shared" si="34"/>
        <v>0</v>
      </c>
    </row>
    <row r="148" spans="3:28" x14ac:dyDescent="0.7">
      <c r="C148" s="63" t="str">
        <f t="shared" si="37"/>
        <v/>
      </c>
      <c r="D148" s="16"/>
      <c r="E148" s="3"/>
      <c r="F148" s="57"/>
      <c r="G148" s="15" t="str">
        <f t="shared" si="38"/>
        <v/>
      </c>
      <c r="H148" s="65" t="str">
        <f t="shared" si="39"/>
        <v/>
      </c>
      <c r="I148" s="65" t="str">
        <f t="shared" si="40"/>
        <v/>
      </c>
      <c r="O148" s="32" t="str">
        <f t="shared" si="28"/>
        <v/>
      </c>
      <c r="P148" s="50"/>
      <c r="Q148" s="48"/>
      <c r="R148" s="48"/>
      <c r="S148" s="36">
        <f t="shared" si="41"/>
        <v>0</v>
      </c>
      <c r="T148" s="34">
        <f t="shared" si="35"/>
        <v>0</v>
      </c>
      <c r="U148" s="32">
        <f t="shared" si="36"/>
        <v>0</v>
      </c>
      <c r="V148" s="43"/>
      <c r="W148" s="32">
        <f t="shared" si="29"/>
        <v>0</v>
      </c>
      <c r="X148" s="34">
        <f t="shared" si="30"/>
        <v>0</v>
      </c>
      <c r="Y148" s="30">
        <f t="shared" si="31"/>
        <v>0</v>
      </c>
      <c r="Z148" s="34">
        <f t="shared" si="32"/>
        <v>0</v>
      </c>
      <c r="AA148" s="41">
        <f t="shared" si="33"/>
        <v>0</v>
      </c>
      <c r="AB148" s="31">
        <f t="shared" si="34"/>
        <v>0</v>
      </c>
    </row>
    <row r="149" spans="3:28" x14ac:dyDescent="0.7">
      <c r="C149" s="63" t="str">
        <f t="shared" si="37"/>
        <v/>
      </c>
      <c r="D149" s="16"/>
      <c r="E149" s="3"/>
      <c r="F149" s="57"/>
      <c r="G149" s="15" t="str">
        <f t="shared" si="38"/>
        <v/>
      </c>
      <c r="H149" s="65" t="str">
        <f t="shared" si="39"/>
        <v/>
      </c>
      <c r="I149" s="65" t="str">
        <f t="shared" si="40"/>
        <v/>
      </c>
      <c r="O149" s="32" t="str">
        <f t="shared" si="28"/>
        <v/>
      </c>
      <c r="Q149" s="48"/>
      <c r="R149" s="48"/>
      <c r="S149" s="36">
        <f t="shared" si="41"/>
        <v>0</v>
      </c>
      <c r="T149" s="34">
        <f t="shared" si="35"/>
        <v>0</v>
      </c>
      <c r="U149" s="32">
        <f t="shared" si="36"/>
        <v>0</v>
      </c>
      <c r="V149" s="43"/>
      <c r="W149" s="32">
        <f t="shared" si="29"/>
        <v>0</v>
      </c>
      <c r="X149" s="34">
        <f t="shared" si="30"/>
        <v>0</v>
      </c>
      <c r="Y149" s="30">
        <f t="shared" si="31"/>
        <v>0</v>
      </c>
      <c r="Z149" s="34">
        <f t="shared" si="32"/>
        <v>0</v>
      </c>
      <c r="AA149" s="41">
        <f t="shared" si="33"/>
        <v>0</v>
      </c>
      <c r="AB149" s="31">
        <f t="shared" si="34"/>
        <v>0</v>
      </c>
    </row>
    <row r="150" spans="3:28" x14ac:dyDescent="0.7">
      <c r="C150" s="63" t="str">
        <f t="shared" si="37"/>
        <v/>
      </c>
      <c r="D150" s="16"/>
      <c r="E150" s="3"/>
      <c r="F150" s="57"/>
      <c r="G150" s="15" t="str">
        <f t="shared" si="38"/>
        <v/>
      </c>
      <c r="H150" s="65" t="str">
        <f t="shared" si="39"/>
        <v/>
      </c>
      <c r="I150" s="65" t="str">
        <f t="shared" si="40"/>
        <v/>
      </c>
      <c r="O150" s="32" t="str">
        <f t="shared" si="28"/>
        <v/>
      </c>
      <c r="P150" s="50"/>
      <c r="Q150" s="48"/>
      <c r="R150" s="48"/>
      <c r="S150" s="36">
        <f t="shared" si="41"/>
        <v>0</v>
      </c>
      <c r="T150" s="34">
        <f t="shared" si="35"/>
        <v>0</v>
      </c>
      <c r="U150" s="32">
        <f t="shared" si="36"/>
        <v>0</v>
      </c>
      <c r="V150" s="43"/>
      <c r="W150" s="32">
        <f t="shared" si="29"/>
        <v>0</v>
      </c>
      <c r="X150" s="34">
        <f t="shared" si="30"/>
        <v>0</v>
      </c>
      <c r="Y150" s="30">
        <f t="shared" si="31"/>
        <v>0</v>
      </c>
      <c r="Z150" s="34">
        <f t="shared" si="32"/>
        <v>0</v>
      </c>
      <c r="AA150" s="41">
        <f t="shared" si="33"/>
        <v>0</v>
      </c>
      <c r="AB150" s="31">
        <f t="shared" si="34"/>
        <v>0</v>
      </c>
    </row>
    <row r="151" spans="3:28" x14ac:dyDescent="0.7">
      <c r="C151" s="63" t="str">
        <f t="shared" si="37"/>
        <v/>
      </c>
      <c r="D151" s="16"/>
      <c r="E151" s="3"/>
      <c r="F151" s="57"/>
      <c r="G151" s="15" t="str">
        <f t="shared" si="38"/>
        <v/>
      </c>
      <c r="H151" s="65" t="str">
        <f t="shared" si="39"/>
        <v/>
      </c>
      <c r="I151" s="65" t="str">
        <f t="shared" si="40"/>
        <v/>
      </c>
      <c r="O151" s="32" t="str">
        <f t="shared" si="28"/>
        <v/>
      </c>
      <c r="P151" s="50"/>
      <c r="Q151" s="48"/>
      <c r="R151" s="48"/>
      <c r="S151" s="36">
        <f t="shared" si="41"/>
        <v>0</v>
      </c>
      <c r="T151" s="34">
        <f t="shared" si="35"/>
        <v>0</v>
      </c>
      <c r="U151" s="32">
        <f t="shared" si="36"/>
        <v>0</v>
      </c>
      <c r="V151" s="43"/>
      <c r="W151" s="32">
        <f t="shared" si="29"/>
        <v>0</v>
      </c>
      <c r="X151" s="34">
        <f t="shared" si="30"/>
        <v>0</v>
      </c>
      <c r="Y151" s="30">
        <f t="shared" si="31"/>
        <v>0</v>
      </c>
      <c r="Z151" s="34">
        <f t="shared" si="32"/>
        <v>0</v>
      </c>
      <c r="AA151" s="41">
        <f t="shared" si="33"/>
        <v>0</v>
      </c>
      <c r="AB151" s="31">
        <f t="shared" si="34"/>
        <v>0</v>
      </c>
    </row>
    <row r="152" spans="3:28" x14ac:dyDescent="0.7">
      <c r="C152" s="63" t="str">
        <f t="shared" si="37"/>
        <v/>
      </c>
      <c r="D152" s="16"/>
      <c r="E152" s="3"/>
      <c r="F152" s="57"/>
      <c r="G152" s="15" t="str">
        <f t="shared" si="38"/>
        <v/>
      </c>
      <c r="H152" s="65" t="str">
        <f t="shared" si="39"/>
        <v/>
      </c>
      <c r="I152" s="65" t="str">
        <f t="shared" si="40"/>
        <v/>
      </c>
      <c r="O152" s="32" t="str">
        <f t="shared" si="28"/>
        <v/>
      </c>
      <c r="P152" s="55"/>
      <c r="Q152" s="48"/>
      <c r="R152" s="48"/>
      <c r="S152" s="36">
        <f t="shared" si="41"/>
        <v>0</v>
      </c>
      <c r="T152" s="34">
        <f t="shared" si="35"/>
        <v>0</v>
      </c>
      <c r="U152" s="32">
        <f t="shared" si="36"/>
        <v>0</v>
      </c>
      <c r="V152" s="43"/>
      <c r="W152" s="32">
        <f t="shared" si="29"/>
        <v>0</v>
      </c>
      <c r="X152" s="34">
        <f t="shared" si="30"/>
        <v>0</v>
      </c>
      <c r="Y152" s="30">
        <f t="shared" si="31"/>
        <v>0</v>
      </c>
      <c r="Z152" s="34">
        <f t="shared" si="32"/>
        <v>0</v>
      </c>
      <c r="AA152" s="41">
        <f t="shared" si="33"/>
        <v>0</v>
      </c>
      <c r="AB152" s="31">
        <f t="shared" si="34"/>
        <v>0</v>
      </c>
    </row>
    <row r="153" spans="3:28" x14ac:dyDescent="0.7">
      <c r="C153" s="63" t="str">
        <f t="shared" si="37"/>
        <v/>
      </c>
      <c r="D153" s="16"/>
      <c r="E153" s="3"/>
      <c r="F153" s="57"/>
      <c r="G153" s="15" t="str">
        <f t="shared" si="38"/>
        <v/>
      </c>
      <c r="H153" s="65" t="str">
        <f t="shared" si="39"/>
        <v/>
      </c>
      <c r="I153" s="65" t="str">
        <f t="shared" si="40"/>
        <v/>
      </c>
      <c r="O153" s="32" t="str">
        <f t="shared" si="28"/>
        <v/>
      </c>
      <c r="P153" s="51"/>
      <c r="Q153" s="48"/>
      <c r="R153" s="48"/>
      <c r="S153" s="36">
        <f t="shared" si="41"/>
        <v>0</v>
      </c>
      <c r="T153" s="34">
        <f t="shared" si="35"/>
        <v>0</v>
      </c>
      <c r="U153" s="32">
        <f t="shared" si="36"/>
        <v>0</v>
      </c>
      <c r="V153" s="43"/>
      <c r="W153" s="32">
        <f t="shared" si="29"/>
        <v>0</v>
      </c>
      <c r="X153" s="34">
        <f t="shared" si="30"/>
        <v>0</v>
      </c>
      <c r="Y153" s="30">
        <f t="shared" si="31"/>
        <v>0</v>
      </c>
      <c r="Z153" s="34">
        <f t="shared" si="32"/>
        <v>0</v>
      </c>
      <c r="AA153" s="41">
        <f t="shared" si="33"/>
        <v>0</v>
      </c>
      <c r="AB153" s="31">
        <f t="shared" si="34"/>
        <v>0</v>
      </c>
    </row>
    <row r="154" spans="3:28" x14ac:dyDescent="0.7">
      <c r="C154" s="63" t="str">
        <f t="shared" si="37"/>
        <v/>
      </c>
      <c r="D154" s="16"/>
      <c r="E154" s="3"/>
      <c r="F154" s="57"/>
      <c r="G154" s="15" t="str">
        <f t="shared" si="38"/>
        <v/>
      </c>
      <c r="H154" s="65" t="str">
        <f t="shared" si="39"/>
        <v/>
      </c>
      <c r="I154" s="65" t="str">
        <f t="shared" si="40"/>
        <v/>
      </c>
      <c r="O154" s="32" t="str">
        <f t="shared" si="28"/>
        <v/>
      </c>
      <c r="P154" s="55"/>
      <c r="Q154" s="48"/>
      <c r="R154" s="48"/>
      <c r="S154" s="36">
        <f t="shared" si="41"/>
        <v>0</v>
      </c>
      <c r="T154" s="34">
        <f t="shared" si="35"/>
        <v>0</v>
      </c>
      <c r="U154" s="32">
        <f t="shared" si="36"/>
        <v>0</v>
      </c>
      <c r="V154" s="43"/>
      <c r="W154" s="32">
        <f t="shared" si="29"/>
        <v>0</v>
      </c>
      <c r="X154" s="34">
        <f t="shared" si="30"/>
        <v>0</v>
      </c>
      <c r="Y154" s="30">
        <f t="shared" si="31"/>
        <v>0</v>
      </c>
      <c r="Z154" s="34">
        <f t="shared" si="32"/>
        <v>0</v>
      </c>
      <c r="AA154" s="41">
        <f t="shared" si="33"/>
        <v>0</v>
      </c>
      <c r="AB154" s="31">
        <f t="shared" si="34"/>
        <v>0</v>
      </c>
    </row>
    <row r="155" spans="3:28" x14ac:dyDescent="0.7">
      <c r="C155" s="63" t="str">
        <f t="shared" si="37"/>
        <v/>
      </c>
      <c r="D155" s="16"/>
      <c r="E155" s="3"/>
      <c r="F155" s="57"/>
      <c r="G155" s="15" t="str">
        <f t="shared" si="38"/>
        <v/>
      </c>
      <c r="H155" s="65" t="str">
        <f t="shared" si="39"/>
        <v/>
      </c>
      <c r="I155" s="65" t="str">
        <f t="shared" si="40"/>
        <v/>
      </c>
      <c r="O155" s="32" t="str">
        <f t="shared" si="28"/>
        <v/>
      </c>
      <c r="P155" s="47"/>
      <c r="Q155" s="48"/>
      <c r="R155" s="48"/>
      <c r="S155" s="36">
        <f t="shared" si="41"/>
        <v>0</v>
      </c>
      <c r="T155" s="34">
        <f t="shared" si="35"/>
        <v>0</v>
      </c>
      <c r="U155" s="32">
        <f t="shared" si="36"/>
        <v>0</v>
      </c>
      <c r="V155" s="43"/>
      <c r="W155" s="32">
        <f t="shared" si="29"/>
        <v>0</v>
      </c>
      <c r="X155" s="34">
        <f t="shared" si="30"/>
        <v>0</v>
      </c>
      <c r="Y155" s="30">
        <f t="shared" si="31"/>
        <v>0</v>
      </c>
      <c r="Z155" s="34">
        <f t="shared" si="32"/>
        <v>0</v>
      </c>
      <c r="AA155" s="41">
        <f t="shared" si="33"/>
        <v>0</v>
      </c>
      <c r="AB155" s="31">
        <f t="shared" si="34"/>
        <v>0</v>
      </c>
    </row>
    <row r="156" spans="3:28" x14ac:dyDescent="0.7">
      <c r="C156" s="63" t="str">
        <f t="shared" si="37"/>
        <v/>
      </c>
      <c r="D156" s="16"/>
      <c r="E156" s="3"/>
      <c r="F156" s="57"/>
      <c r="G156" s="15" t="str">
        <f t="shared" si="38"/>
        <v/>
      </c>
      <c r="H156" s="65" t="str">
        <f t="shared" si="39"/>
        <v/>
      </c>
      <c r="I156" s="65" t="str">
        <f t="shared" si="40"/>
        <v/>
      </c>
      <c r="O156" s="32" t="str">
        <f t="shared" si="28"/>
        <v/>
      </c>
      <c r="P156" s="47"/>
      <c r="Q156" s="48"/>
      <c r="R156" s="48"/>
      <c r="S156" s="36">
        <f t="shared" si="41"/>
        <v>0</v>
      </c>
      <c r="T156" s="34">
        <f t="shared" si="35"/>
        <v>0</v>
      </c>
      <c r="U156" s="32">
        <f t="shared" si="36"/>
        <v>0</v>
      </c>
      <c r="V156" s="43"/>
      <c r="W156" s="32">
        <f t="shared" si="29"/>
        <v>0</v>
      </c>
      <c r="X156" s="34">
        <f t="shared" si="30"/>
        <v>0</v>
      </c>
      <c r="Y156" s="30">
        <f t="shared" si="31"/>
        <v>0</v>
      </c>
      <c r="Z156" s="34">
        <f t="shared" si="32"/>
        <v>0</v>
      </c>
      <c r="AA156" s="41">
        <f t="shared" si="33"/>
        <v>0</v>
      </c>
      <c r="AB156" s="31">
        <f t="shared" si="34"/>
        <v>0</v>
      </c>
    </row>
    <row r="157" spans="3:28" x14ac:dyDescent="0.7">
      <c r="C157" s="63" t="str">
        <f t="shared" si="37"/>
        <v/>
      </c>
      <c r="D157" s="16"/>
      <c r="E157" s="3"/>
      <c r="F157" s="57"/>
      <c r="G157" s="15" t="str">
        <f t="shared" si="38"/>
        <v/>
      </c>
      <c r="H157" s="65" t="str">
        <f t="shared" si="39"/>
        <v/>
      </c>
      <c r="I157" s="65" t="str">
        <f t="shared" si="40"/>
        <v/>
      </c>
      <c r="O157" s="32" t="str">
        <f t="shared" si="28"/>
        <v/>
      </c>
      <c r="P157" s="51"/>
      <c r="Q157" s="48"/>
      <c r="R157" s="48"/>
      <c r="S157" s="36">
        <f t="shared" si="41"/>
        <v>0</v>
      </c>
      <c r="T157" s="34">
        <f t="shared" si="35"/>
        <v>0</v>
      </c>
      <c r="U157" s="32">
        <f t="shared" si="36"/>
        <v>0</v>
      </c>
      <c r="V157" s="43"/>
      <c r="W157" s="32">
        <f t="shared" si="29"/>
        <v>0</v>
      </c>
      <c r="X157" s="34">
        <f t="shared" si="30"/>
        <v>0</v>
      </c>
      <c r="Y157" s="30">
        <f t="shared" si="31"/>
        <v>0</v>
      </c>
      <c r="Z157" s="34">
        <f t="shared" si="32"/>
        <v>0</v>
      </c>
      <c r="AA157" s="41">
        <f t="shared" si="33"/>
        <v>0</v>
      </c>
      <c r="AB157" s="31">
        <f t="shared" si="34"/>
        <v>0</v>
      </c>
    </row>
    <row r="158" spans="3:28" x14ac:dyDescent="0.7">
      <c r="C158" s="63" t="str">
        <f t="shared" si="37"/>
        <v/>
      </c>
      <c r="D158" s="16"/>
      <c r="E158" s="3"/>
      <c r="F158" s="57"/>
      <c r="G158" s="15" t="str">
        <f t="shared" si="38"/>
        <v/>
      </c>
      <c r="H158" s="65" t="str">
        <f t="shared" si="39"/>
        <v/>
      </c>
      <c r="I158" s="65" t="str">
        <f t="shared" si="40"/>
        <v/>
      </c>
      <c r="O158" s="32" t="str">
        <f t="shared" si="28"/>
        <v/>
      </c>
      <c r="P158" s="47"/>
      <c r="Q158" s="48"/>
      <c r="R158" s="48"/>
      <c r="S158" s="36">
        <f t="shared" si="41"/>
        <v>0</v>
      </c>
      <c r="T158" s="34">
        <f t="shared" si="35"/>
        <v>0</v>
      </c>
      <c r="U158" s="32">
        <f t="shared" si="36"/>
        <v>0</v>
      </c>
      <c r="V158" s="43"/>
      <c r="W158" s="32">
        <f t="shared" si="29"/>
        <v>0</v>
      </c>
      <c r="X158" s="34">
        <f t="shared" si="30"/>
        <v>0</v>
      </c>
      <c r="Y158" s="30">
        <f t="shared" si="31"/>
        <v>0</v>
      </c>
      <c r="Z158" s="34">
        <f t="shared" si="32"/>
        <v>0</v>
      </c>
      <c r="AA158" s="41">
        <f t="shared" si="33"/>
        <v>0</v>
      </c>
      <c r="AB158" s="31">
        <f t="shared" si="34"/>
        <v>0</v>
      </c>
    </row>
    <row r="159" spans="3:28" x14ac:dyDescent="0.7">
      <c r="C159" s="63" t="str">
        <f t="shared" si="37"/>
        <v/>
      </c>
      <c r="D159" s="16"/>
      <c r="E159" s="3"/>
      <c r="F159" s="57"/>
      <c r="G159" s="15" t="str">
        <f t="shared" si="38"/>
        <v/>
      </c>
      <c r="H159" s="65" t="str">
        <f t="shared" si="39"/>
        <v/>
      </c>
      <c r="I159" s="65" t="str">
        <f t="shared" si="40"/>
        <v/>
      </c>
      <c r="O159" s="32" t="str">
        <f t="shared" si="28"/>
        <v/>
      </c>
      <c r="P159" s="47"/>
      <c r="Q159" s="48"/>
      <c r="R159" s="48"/>
      <c r="S159" s="36">
        <f t="shared" si="41"/>
        <v>0</v>
      </c>
      <c r="T159" s="34">
        <f t="shared" si="35"/>
        <v>0</v>
      </c>
      <c r="U159" s="32">
        <f t="shared" si="36"/>
        <v>0</v>
      </c>
      <c r="V159" s="43"/>
      <c r="W159" s="32">
        <f t="shared" si="29"/>
        <v>0</v>
      </c>
      <c r="X159" s="34">
        <f t="shared" si="30"/>
        <v>0</v>
      </c>
      <c r="Y159" s="30">
        <f t="shared" si="31"/>
        <v>0</v>
      </c>
      <c r="Z159" s="34">
        <f t="shared" si="32"/>
        <v>0</v>
      </c>
      <c r="AA159" s="41">
        <f t="shared" si="33"/>
        <v>0</v>
      </c>
      <c r="AB159" s="31">
        <f t="shared" si="34"/>
        <v>0</v>
      </c>
    </row>
    <row r="160" spans="3:28" x14ac:dyDescent="0.7">
      <c r="C160" s="63" t="str">
        <f t="shared" si="37"/>
        <v/>
      </c>
      <c r="D160" s="16"/>
      <c r="E160" s="3"/>
      <c r="F160" s="57"/>
      <c r="G160" s="15" t="str">
        <f t="shared" si="38"/>
        <v/>
      </c>
      <c r="H160" s="65" t="str">
        <f t="shared" si="39"/>
        <v/>
      </c>
      <c r="I160" s="65" t="str">
        <f t="shared" si="40"/>
        <v/>
      </c>
      <c r="O160" s="32" t="str">
        <f t="shared" si="28"/>
        <v/>
      </c>
      <c r="P160" s="50"/>
      <c r="Q160" s="48"/>
      <c r="R160" s="48"/>
      <c r="S160" s="36">
        <f t="shared" si="41"/>
        <v>0</v>
      </c>
      <c r="T160" s="34">
        <f t="shared" si="35"/>
        <v>0</v>
      </c>
      <c r="U160" s="32">
        <f t="shared" si="36"/>
        <v>0</v>
      </c>
      <c r="V160" s="43"/>
      <c r="W160" s="32">
        <f t="shared" si="29"/>
        <v>0</v>
      </c>
      <c r="X160" s="34">
        <f t="shared" si="30"/>
        <v>0</v>
      </c>
      <c r="Y160" s="30">
        <f t="shared" si="31"/>
        <v>0</v>
      </c>
      <c r="Z160" s="34">
        <f t="shared" si="32"/>
        <v>0</v>
      </c>
      <c r="AA160" s="41">
        <f t="shared" si="33"/>
        <v>0</v>
      </c>
      <c r="AB160" s="31">
        <f t="shared" si="34"/>
        <v>0</v>
      </c>
    </row>
    <row r="161" spans="3:28" x14ac:dyDescent="0.7">
      <c r="C161" s="63" t="str">
        <f t="shared" si="37"/>
        <v/>
      </c>
      <c r="D161" s="16"/>
      <c r="E161" s="3"/>
      <c r="F161" s="57"/>
      <c r="G161" s="15" t="str">
        <f t="shared" si="38"/>
        <v/>
      </c>
      <c r="H161" s="65" t="str">
        <f t="shared" si="39"/>
        <v/>
      </c>
      <c r="I161" s="65" t="str">
        <f t="shared" si="40"/>
        <v/>
      </c>
      <c r="O161" s="32" t="str">
        <f t="shared" si="28"/>
        <v/>
      </c>
      <c r="P161" s="50"/>
      <c r="Q161" s="48"/>
      <c r="R161" s="48"/>
      <c r="S161" s="36">
        <f t="shared" si="41"/>
        <v>0</v>
      </c>
      <c r="T161" s="34">
        <f t="shared" si="35"/>
        <v>0</v>
      </c>
      <c r="U161" s="32">
        <f t="shared" si="36"/>
        <v>0</v>
      </c>
      <c r="V161" s="43"/>
      <c r="W161" s="32">
        <f t="shared" si="29"/>
        <v>0</v>
      </c>
      <c r="X161" s="34">
        <f t="shared" si="30"/>
        <v>0</v>
      </c>
      <c r="Y161" s="30">
        <f t="shared" si="31"/>
        <v>0</v>
      </c>
      <c r="Z161" s="34">
        <f t="shared" si="32"/>
        <v>0</v>
      </c>
      <c r="AA161" s="41">
        <f t="shared" si="33"/>
        <v>0</v>
      </c>
      <c r="AB161" s="31">
        <f t="shared" si="34"/>
        <v>0</v>
      </c>
    </row>
    <row r="162" spans="3:28" x14ac:dyDescent="0.7">
      <c r="C162" s="63" t="str">
        <f t="shared" si="37"/>
        <v/>
      </c>
      <c r="D162" s="16"/>
      <c r="E162" s="3"/>
      <c r="F162" s="57"/>
      <c r="G162" s="15" t="str">
        <f t="shared" si="38"/>
        <v/>
      </c>
      <c r="H162" s="65" t="str">
        <f t="shared" si="39"/>
        <v/>
      </c>
      <c r="I162" s="65" t="str">
        <f t="shared" si="40"/>
        <v/>
      </c>
      <c r="O162" s="32" t="str">
        <f t="shared" si="28"/>
        <v/>
      </c>
      <c r="P162" s="50"/>
      <c r="Q162" s="48"/>
      <c r="R162" s="48"/>
      <c r="S162" s="36">
        <f t="shared" si="41"/>
        <v>0</v>
      </c>
      <c r="T162" s="34">
        <f t="shared" si="35"/>
        <v>0</v>
      </c>
      <c r="U162" s="32">
        <f t="shared" si="36"/>
        <v>0</v>
      </c>
      <c r="V162" s="43"/>
      <c r="W162" s="32">
        <f t="shared" si="29"/>
        <v>0</v>
      </c>
      <c r="X162" s="34">
        <f t="shared" si="30"/>
        <v>0</v>
      </c>
      <c r="Y162" s="30">
        <f t="shared" si="31"/>
        <v>0</v>
      </c>
      <c r="Z162" s="34">
        <f t="shared" si="32"/>
        <v>0</v>
      </c>
      <c r="AA162" s="41">
        <f t="shared" si="33"/>
        <v>0</v>
      </c>
      <c r="AB162" s="31">
        <f t="shared" si="34"/>
        <v>0</v>
      </c>
    </row>
    <row r="163" spans="3:28" x14ac:dyDescent="0.7">
      <c r="C163" s="63" t="str">
        <f t="shared" si="37"/>
        <v/>
      </c>
      <c r="D163" s="16"/>
      <c r="E163" s="3"/>
      <c r="F163" s="57"/>
      <c r="G163" s="15" t="str">
        <f t="shared" si="38"/>
        <v/>
      </c>
      <c r="H163" s="65" t="str">
        <f t="shared" si="39"/>
        <v/>
      </c>
      <c r="I163" s="65" t="str">
        <f t="shared" si="40"/>
        <v/>
      </c>
      <c r="O163" s="32" t="str">
        <f t="shared" si="28"/>
        <v/>
      </c>
      <c r="P163" s="52"/>
      <c r="Q163" s="48"/>
      <c r="R163" s="48"/>
      <c r="S163" s="36">
        <f t="shared" si="41"/>
        <v>0</v>
      </c>
      <c r="T163" s="34">
        <f t="shared" si="35"/>
        <v>0</v>
      </c>
      <c r="U163" s="32">
        <f t="shared" si="36"/>
        <v>0</v>
      </c>
      <c r="V163" s="43"/>
      <c r="W163" s="32">
        <f t="shared" si="29"/>
        <v>0</v>
      </c>
      <c r="X163" s="34">
        <f t="shared" si="30"/>
        <v>0</v>
      </c>
      <c r="Y163" s="30">
        <f t="shared" si="31"/>
        <v>0</v>
      </c>
      <c r="Z163" s="34">
        <f t="shared" si="32"/>
        <v>0</v>
      </c>
      <c r="AA163" s="41">
        <f t="shared" si="33"/>
        <v>0</v>
      </c>
      <c r="AB163" s="31">
        <f t="shared" si="34"/>
        <v>0</v>
      </c>
    </row>
    <row r="164" spans="3:28" x14ac:dyDescent="0.7">
      <c r="C164" s="63" t="str">
        <f t="shared" si="37"/>
        <v/>
      </c>
      <c r="D164" s="16"/>
      <c r="E164" s="3"/>
      <c r="F164" s="57"/>
      <c r="G164" s="15" t="str">
        <f t="shared" si="38"/>
        <v/>
      </c>
      <c r="H164" s="65" t="str">
        <f t="shared" si="39"/>
        <v/>
      </c>
      <c r="I164" s="65" t="str">
        <f t="shared" si="40"/>
        <v/>
      </c>
      <c r="O164" s="32" t="str">
        <f t="shared" si="28"/>
        <v/>
      </c>
      <c r="P164" s="52"/>
      <c r="Q164" s="48"/>
      <c r="R164" s="48"/>
      <c r="S164" s="36">
        <f t="shared" si="41"/>
        <v>0</v>
      </c>
      <c r="T164" s="34">
        <f t="shared" si="35"/>
        <v>0</v>
      </c>
      <c r="U164" s="32">
        <f t="shared" si="36"/>
        <v>0</v>
      </c>
      <c r="V164" s="43"/>
      <c r="W164" s="32">
        <f t="shared" si="29"/>
        <v>0</v>
      </c>
      <c r="X164" s="34">
        <f t="shared" si="30"/>
        <v>0</v>
      </c>
      <c r="Y164" s="30">
        <f t="shared" si="31"/>
        <v>0</v>
      </c>
      <c r="Z164" s="34">
        <f t="shared" si="32"/>
        <v>0</v>
      </c>
      <c r="AA164" s="41">
        <f t="shared" si="33"/>
        <v>0</v>
      </c>
      <c r="AB164" s="31">
        <f t="shared" si="34"/>
        <v>0</v>
      </c>
    </row>
    <row r="165" spans="3:28" x14ac:dyDescent="0.7">
      <c r="C165" s="63" t="str">
        <f t="shared" si="37"/>
        <v/>
      </c>
      <c r="D165" s="16"/>
      <c r="E165" s="3"/>
      <c r="F165" s="57"/>
      <c r="G165" s="15" t="str">
        <f t="shared" si="38"/>
        <v/>
      </c>
      <c r="H165" s="65" t="str">
        <f t="shared" si="39"/>
        <v/>
      </c>
      <c r="I165" s="65" t="str">
        <f t="shared" si="40"/>
        <v/>
      </c>
      <c r="O165" s="32" t="str">
        <f t="shared" si="28"/>
        <v/>
      </c>
      <c r="P165" s="51"/>
      <c r="Q165" s="48"/>
      <c r="R165" s="48"/>
      <c r="S165" s="36">
        <f t="shared" si="41"/>
        <v>0</v>
      </c>
      <c r="T165" s="34">
        <f t="shared" si="35"/>
        <v>0</v>
      </c>
      <c r="U165" s="32">
        <f t="shared" si="36"/>
        <v>0</v>
      </c>
      <c r="V165" s="43"/>
      <c r="W165" s="32">
        <f t="shared" si="29"/>
        <v>0</v>
      </c>
      <c r="X165" s="34">
        <f t="shared" si="30"/>
        <v>0</v>
      </c>
      <c r="Y165" s="30">
        <f t="shared" si="31"/>
        <v>0</v>
      </c>
      <c r="Z165" s="34">
        <f t="shared" si="32"/>
        <v>0</v>
      </c>
      <c r="AA165" s="41">
        <f t="shared" si="33"/>
        <v>0</v>
      </c>
      <c r="AB165" s="31">
        <f t="shared" si="34"/>
        <v>0</v>
      </c>
    </row>
    <row r="166" spans="3:28" x14ac:dyDescent="0.7">
      <c r="C166" s="63" t="str">
        <f t="shared" si="37"/>
        <v/>
      </c>
      <c r="D166" s="16"/>
      <c r="E166" s="3"/>
      <c r="F166" s="57"/>
      <c r="G166" s="15" t="str">
        <f t="shared" si="38"/>
        <v/>
      </c>
      <c r="H166" s="65" t="str">
        <f t="shared" si="39"/>
        <v/>
      </c>
      <c r="I166" s="65" t="str">
        <f t="shared" si="40"/>
        <v/>
      </c>
      <c r="O166" s="32" t="str">
        <f t="shared" si="28"/>
        <v/>
      </c>
      <c r="Q166" s="48"/>
      <c r="R166" s="48"/>
      <c r="S166" s="36">
        <f t="shared" si="41"/>
        <v>0</v>
      </c>
      <c r="T166" s="34">
        <f t="shared" si="35"/>
        <v>0</v>
      </c>
      <c r="U166" s="32">
        <f t="shared" si="36"/>
        <v>0</v>
      </c>
      <c r="V166" s="43"/>
      <c r="W166" s="32">
        <f t="shared" si="29"/>
        <v>0</v>
      </c>
      <c r="X166" s="34">
        <f t="shared" si="30"/>
        <v>0</v>
      </c>
      <c r="Y166" s="30">
        <f t="shared" si="31"/>
        <v>0</v>
      </c>
      <c r="Z166" s="34">
        <f t="shared" si="32"/>
        <v>0</v>
      </c>
      <c r="AA166" s="41">
        <f t="shared" si="33"/>
        <v>0</v>
      </c>
      <c r="AB166" s="31">
        <f t="shared" si="34"/>
        <v>0</v>
      </c>
    </row>
    <row r="167" spans="3:28" x14ac:dyDescent="0.7">
      <c r="C167" s="63" t="str">
        <f t="shared" si="37"/>
        <v/>
      </c>
      <c r="D167" s="16"/>
      <c r="E167" s="3"/>
      <c r="F167" s="57"/>
      <c r="G167" s="15" t="str">
        <f t="shared" si="38"/>
        <v/>
      </c>
      <c r="H167" s="65" t="str">
        <f t="shared" si="39"/>
        <v/>
      </c>
      <c r="I167" s="65" t="str">
        <f t="shared" si="40"/>
        <v/>
      </c>
      <c r="O167" s="32" t="str">
        <f t="shared" si="28"/>
        <v/>
      </c>
      <c r="Q167" s="48"/>
      <c r="R167" s="48"/>
      <c r="S167" s="36">
        <f t="shared" si="41"/>
        <v>0</v>
      </c>
      <c r="T167" s="34">
        <f t="shared" si="35"/>
        <v>0</v>
      </c>
      <c r="U167" s="32">
        <f t="shared" si="36"/>
        <v>0</v>
      </c>
      <c r="V167" s="43"/>
      <c r="W167" s="32">
        <f t="shared" si="29"/>
        <v>0</v>
      </c>
      <c r="X167" s="34">
        <f t="shared" si="30"/>
        <v>0</v>
      </c>
      <c r="Y167" s="30">
        <f t="shared" si="31"/>
        <v>0</v>
      </c>
      <c r="Z167" s="34">
        <f t="shared" si="32"/>
        <v>0</v>
      </c>
      <c r="AA167" s="41">
        <f t="shared" si="33"/>
        <v>0</v>
      </c>
      <c r="AB167" s="31">
        <f t="shared" si="34"/>
        <v>0</v>
      </c>
    </row>
    <row r="168" spans="3:28" x14ac:dyDescent="0.7">
      <c r="C168" s="63" t="str">
        <f t="shared" si="37"/>
        <v/>
      </c>
      <c r="D168" s="16"/>
      <c r="E168" s="3"/>
      <c r="F168" s="57"/>
      <c r="G168" s="15" t="str">
        <f t="shared" si="38"/>
        <v/>
      </c>
      <c r="H168" s="65" t="str">
        <f t="shared" si="39"/>
        <v/>
      </c>
      <c r="I168" s="65" t="str">
        <f t="shared" si="40"/>
        <v/>
      </c>
      <c r="O168" s="32" t="str">
        <f t="shared" si="28"/>
        <v/>
      </c>
      <c r="Q168" s="48"/>
      <c r="R168" s="48"/>
      <c r="S168" s="36">
        <f t="shared" si="41"/>
        <v>0</v>
      </c>
      <c r="T168" s="34">
        <f t="shared" si="35"/>
        <v>0</v>
      </c>
      <c r="U168" s="32">
        <f t="shared" si="36"/>
        <v>0</v>
      </c>
      <c r="V168" s="43"/>
      <c r="W168" s="32">
        <f t="shared" si="29"/>
        <v>0</v>
      </c>
      <c r="X168" s="34">
        <f t="shared" si="30"/>
        <v>0</v>
      </c>
      <c r="Y168" s="30">
        <f t="shared" si="31"/>
        <v>0</v>
      </c>
      <c r="Z168" s="34">
        <f t="shared" si="32"/>
        <v>0</v>
      </c>
      <c r="AA168" s="41">
        <f t="shared" si="33"/>
        <v>0</v>
      </c>
      <c r="AB168" s="31">
        <f t="shared" si="34"/>
        <v>0</v>
      </c>
    </row>
    <row r="169" spans="3:28" x14ac:dyDescent="0.7">
      <c r="C169" s="63" t="str">
        <f t="shared" si="37"/>
        <v/>
      </c>
      <c r="D169" s="16"/>
      <c r="E169" s="3"/>
      <c r="F169" s="57"/>
      <c r="G169" s="15" t="str">
        <f t="shared" si="38"/>
        <v/>
      </c>
      <c r="H169" s="65" t="str">
        <f t="shared" si="39"/>
        <v/>
      </c>
      <c r="I169" s="65" t="str">
        <f t="shared" si="40"/>
        <v/>
      </c>
      <c r="O169" s="32" t="str">
        <f t="shared" si="28"/>
        <v/>
      </c>
      <c r="Q169" s="48"/>
      <c r="R169" s="48"/>
      <c r="S169" s="36">
        <f t="shared" si="41"/>
        <v>0</v>
      </c>
      <c r="T169" s="34">
        <f t="shared" si="35"/>
        <v>0</v>
      </c>
      <c r="U169" s="32">
        <f t="shared" si="36"/>
        <v>0</v>
      </c>
      <c r="V169" s="43"/>
      <c r="W169" s="32">
        <f t="shared" si="29"/>
        <v>0</v>
      </c>
      <c r="X169" s="34">
        <f t="shared" si="30"/>
        <v>0</v>
      </c>
      <c r="Y169" s="30">
        <f t="shared" si="31"/>
        <v>0</v>
      </c>
      <c r="Z169" s="34">
        <f t="shared" si="32"/>
        <v>0</v>
      </c>
      <c r="AA169" s="41">
        <f t="shared" si="33"/>
        <v>0</v>
      </c>
      <c r="AB169" s="31">
        <f t="shared" si="34"/>
        <v>0</v>
      </c>
    </row>
    <row r="170" spans="3:28" x14ac:dyDescent="0.7">
      <c r="C170" s="63" t="str">
        <f t="shared" si="37"/>
        <v/>
      </c>
      <c r="D170" s="16"/>
      <c r="E170" s="3"/>
      <c r="F170" s="57"/>
      <c r="G170" s="15" t="str">
        <f t="shared" si="38"/>
        <v/>
      </c>
      <c r="H170" s="65" t="str">
        <f t="shared" si="39"/>
        <v/>
      </c>
      <c r="I170" s="65" t="str">
        <f t="shared" si="40"/>
        <v/>
      </c>
      <c r="O170" s="32" t="str">
        <f t="shared" si="28"/>
        <v/>
      </c>
      <c r="P170" s="51"/>
      <c r="Q170" s="48"/>
      <c r="R170" s="48"/>
      <c r="S170" s="36">
        <f t="shared" si="41"/>
        <v>0</v>
      </c>
      <c r="T170" s="34">
        <f t="shared" si="35"/>
        <v>0</v>
      </c>
      <c r="U170" s="32">
        <f t="shared" si="36"/>
        <v>0</v>
      </c>
      <c r="V170" s="43"/>
      <c r="W170" s="32">
        <f t="shared" si="29"/>
        <v>0</v>
      </c>
      <c r="X170" s="34">
        <f t="shared" si="30"/>
        <v>0</v>
      </c>
      <c r="Y170" s="30">
        <f t="shared" si="31"/>
        <v>0</v>
      </c>
      <c r="Z170" s="34">
        <f t="shared" si="32"/>
        <v>0</v>
      </c>
      <c r="AA170" s="41">
        <f t="shared" si="33"/>
        <v>0</v>
      </c>
      <c r="AB170" s="31">
        <f t="shared" si="34"/>
        <v>0</v>
      </c>
    </row>
    <row r="171" spans="3:28" x14ac:dyDescent="0.7">
      <c r="C171" s="63" t="str">
        <f t="shared" si="37"/>
        <v/>
      </c>
      <c r="D171" s="16"/>
      <c r="E171" s="3"/>
      <c r="F171" s="57"/>
      <c r="G171" s="15" t="str">
        <f t="shared" si="38"/>
        <v/>
      </c>
      <c r="H171" s="65" t="str">
        <f t="shared" si="39"/>
        <v/>
      </c>
      <c r="I171" s="65" t="str">
        <f t="shared" si="40"/>
        <v/>
      </c>
      <c r="O171" s="32" t="str">
        <f t="shared" si="28"/>
        <v/>
      </c>
      <c r="P171" s="47"/>
      <c r="Q171" s="48"/>
      <c r="R171" s="48"/>
      <c r="S171" s="36">
        <f t="shared" si="41"/>
        <v>0</v>
      </c>
      <c r="T171" s="34">
        <f t="shared" si="35"/>
        <v>0</v>
      </c>
      <c r="U171" s="32">
        <f t="shared" si="36"/>
        <v>0</v>
      </c>
      <c r="V171" s="43"/>
      <c r="W171" s="32">
        <f t="shared" si="29"/>
        <v>0</v>
      </c>
      <c r="X171" s="34">
        <f t="shared" si="30"/>
        <v>0</v>
      </c>
      <c r="Y171" s="30">
        <f t="shared" si="31"/>
        <v>0</v>
      </c>
      <c r="Z171" s="34">
        <f t="shared" si="32"/>
        <v>0</v>
      </c>
      <c r="AA171" s="41">
        <f t="shared" si="33"/>
        <v>0</v>
      </c>
      <c r="AB171" s="31">
        <f t="shared" si="34"/>
        <v>0</v>
      </c>
    </row>
    <row r="172" spans="3:28" x14ac:dyDescent="0.7">
      <c r="C172" s="63" t="str">
        <f t="shared" si="37"/>
        <v/>
      </c>
      <c r="D172" s="16"/>
      <c r="E172" s="3"/>
      <c r="F172" s="57"/>
      <c r="G172" s="15" t="str">
        <f t="shared" si="38"/>
        <v/>
      </c>
      <c r="H172" s="65" t="str">
        <f t="shared" si="39"/>
        <v/>
      </c>
      <c r="I172" s="65" t="str">
        <f t="shared" si="40"/>
        <v/>
      </c>
      <c r="O172" s="32" t="str">
        <f t="shared" si="28"/>
        <v/>
      </c>
      <c r="P172" s="49"/>
      <c r="Q172" s="48"/>
      <c r="R172" s="48"/>
      <c r="S172" s="36">
        <f t="shared" si="41"/>
        <v>0</v>
      </c>
      <c r="T172" s="34">
        <f t="shared" si="35"/>
        <v>0</v>
      </c>
      <c r="U172" s="32">
        <f t="shared" si="36"/>
        <v>0</v>
      </c>
      <c r="V172" s="43"/>
      <c r="W172" s="32">
        <f t="shared" si="29"/>
        <v>0</v>
      </c>
      <c r="X172" s="34">
        <f t="shared" si="30"/>
        <v>0</v>
      </c>
      <c r="Y172" s="30">
        <f t="shared" si="31"/>
        <v>0</v>
      </c>
      <c r="Z172" s="34">
        <f t="shared" si="32"/>
        <v>0</v>
      </c>
      <c r="AA172" s="41">
        <f t="shared" si="33"/>
        <v>0</v>
      </c>
      <c r="AB172" s="31">
        <f t="shared" si="34"/>
        <v>0</v>
      </c>
    </row>
    <row r="173" spans="3:28" x14ac:dyDescent="0.7">
      <c r="C173" s="63" t="str">
        <f t="shared" si="37"/>
        <v/>
      </c>
      <c r="D173" s="16"/>
      <c r="E173" s="3"/>
      <c r="F173" s="57"/>
      <c r="G173" s="15" t="str">
        <f t="shared" si="38"/>
        <v/>
      </c>
      <c r="H173" s="65" t="str">
        <f t="shared" si="39"/>
        <v/>
      </c>
      <c r="I173" s="65" t="str">
        <f t="shared" si="40"/>
        <v/>
      </c>
      <c r="O173" s="32" t="str">
        <f t="shared" si="28"/>
        <v/>
      </c>
      <c r="P173" s="50"/>
      <c r="Q173" s="48"/>
      <c r="R173" s="48"/>
      <c r="S173" s="36">
        <f t="shared" si="41"/>
        <v>0</v>
      </c>
      <c r="T173" s="34">
        <f t="shared" si="35"/>
        <v>0</v>
      </c>
      <c r="U173" s="32">
        <f t="shared" si="36"/>
        <v>0</v>
      </c>
      <c r="V173" s="43"/>
      <c r="W173" s="32">
        <f t="shared" si="29"/>
        <v>0</v>
      </c>
      <c r="X173" s="34">
        <f t="shared" si="30"/>
        <v>0</v>
      </c>
      <c r="Y173" s="30">
        <f t="shared" si="31"/>
        <v>0</v>
      </c>
      <c r="Z173" s="34">
        <f t="shared" si="32"/>
        <v>0</v>
      </c>
      <c r="AA173" s="41">
        <f t="shared" si="33"/>
        <v>0</v>
      </c>
      <c r="AB173" s="31">
        <f t="shared" si="34"/>
        <v>0</v>
      </c>
    </row>
    <row r="174" spans="3:28" x14ac:dyDescent="0.7">
      <c r="C174" s="63" t="str">
        <f t="shared" si="37"/>
        <v/>
      </c>
      <c r="D174" s="16"/>
      <c r="E174" s="3"/>
      <c r="F174" s="57"/>
      <c r="G174" s="15" t="str">
        <f t="shared" si="38"/>
        <v/>
      </c>
      <c r="H174" s="65" t="str">
        <f t="shared" si="39"/>
        <v/>
      </c>
      <c r="I174" s="65" t="str">
        <f t="shared" si="40"/>
        <v/>
      </c>
      <c r="O174" s="32" t="str">
        <f t="shared" si="28"/>
        <v/>
      </c>
      <c r="P174" s="49"/>
      <c r="Q174" s="48"/>
      <c r="R174" s="48"/>
      <c r="S174" s="36">
        <f t="shared" si="41"/>
        <v>0</v>
      </c>
      <c r="T174" s="34">
        <f t="shared" si="35"/>
        <v>0</v>
      </c>
      <c r="U174" s="32">
        <f t="shared" si="36"/>
        <v>0</v>
      </c>
      <c r="V174" s="43"/>
      <c r="W174" s="32">
        <f t="shared" si="29"/>
        <v>0</v>
      </c>
      <c r="X174" s="34">
        <f t="shared" si="30"/>
        <v>0</v>
      </c>
      <c r="Y174" s="30">
        <f t="shared" si="31"/>
        <v>0</v>
      </c>
      <c r="Z174" s="34">
        <f t="shared" si="32"/>
        <v>0</v>
      </c>
      <c r="AA174" s="41">
        <f t="shared" si="33"/>
        <v>0</v>
      </c>
      <c r="AB174" s="31">
        <f t="shared" si="34"/>
        <v>0</v>
      </c>
    </row>
    <row r="175" spans="3:28" x14ac:dyDescent="0.7">
      <c r="C175" s="63" t="str">
        <f t="shared" si="37"/>
        <v/>
      </c>
      <c r="D175" s="16"/>
      <c r="E175" s="3"/>
      <c r="F175" s="57"/>
      <c r="G175" s="15" t="str">
        <f t="shared" si="38"/>
        <v/>
      </c>
      <c r="H175" s="65" t="str">
        <f t="shared" si="39"/>
        <v/>
      </c>
      <c r="I175" s="65" t="str">
        <f t="shared" si="40"/>
        <v/>
      </c>
      <c r="O175" s="32" t="str">
        <f t="shared" si="28"/>
        <v/>
      </c>
      <c r="P175" s="50"/>
      <c r="Q175" s="48"/>
      <c r="R175" s="48"/>
      <c r="S175" s="36">
        <f t="shared" si="41"/>
        <v>0</v>
      </c>
      <c r="T175" s="34">
        <f t="shared" si="35"/>
        <v>0</v>
      </c>
      <c r="U175" s="32">
        <f t="shared" si="36"/>
        <v>0</v>
      </c>
      <c r="V175" s="43"/>
      <c r="W175" s="32">
        <f t="shared" si="29"/>
        <v>0</v>
      </c>
      <c r="X175" s="34">
        <f t="shared" si="30"/>
        <v>0</v>
      </c>
      <c r="Y175" s="30">
        <f t="shared" si="31"/>
        <v>0</v>
      </c>
      <c r="Z175" s="34">
        <f t="shared" si="32"/>
        <v>0</v>
      </c>
      <c r="AA175" s="41">
        <f t="shared" si="33"/>
        <v>0</v>
      </c>
      <c r="AB175" s="31">
        <f t="shared" si="34"/>
        <v>0</v>
      </c>
    </row>
    <row r="176" spans="3:28" x14ac:dyDescent="0.7">
      <c r="C176" s="63" t="str">
        <f t="shared" si="37"/>
        <v/>
      </c>
      <c r="D176" s="16"/>
      <c r="E176" s="3"/>
      <c r="F176" s="57"/>
      <c r="G176" s="15" t="str">
        <f t="shared" si="38"/>
        <v/>
      </c>
      <c r="H176" s="65" t="str">
        <f t="shared" si="39"/>
        <v/>
      </c>
      <c r="I176" s="65" t="str">
        <f t="shared" si="40"/>
        <v/>
      </c>
      <c r="O176" s="32" t="str">
        <f t="shared" si="28"/>
        <v/>
      </c>
      <c r="P176" s="47"/>
      <c r="Q176" s="48"/>
      <c r="R176" s="48"/>
      <c r="S176" s="36">
        <f t="shared" si="41"/>
        <v>0</v>
      </c>
      <c r="T176" s="34">
        <f t="shared" si="35"/>
        <v>0</v>
      </c>
      <c r="U176" s="32">
        <f t="shared" si="36"/>
        <v>0</v>
      </c>
      <c r="V176" s="43"/>
      <c r="W176" s="32">
        <f t="shared" si="29"/>
        <v>0</v>
      </c>
      <c r="X176" s="34">
        <f t="shared" si="30"/>
        <v>0</v>
      </c>
      <c r="Y176" s="30">
        <f t="shared" si="31"/>
        <v>0</v>
      </c>
      <c r="Z176" s="34">
        <f t="shared" si="32"/>
        <v>0</v>
      </c>
      <c r="AA176" s="41">
        <f t="shared" si="33"/>
        <v>0</v>
      </c>
      <c r="AB176" s="31">
        <f t="shared" si="34"/>
        <v>0</v>
      </c>
    </row>
    <row r="177" spans="3:28" x14ac:dyDescent="0.7">
      <c r="C177" s="63" t="str">
        <f t="shared" si="37"/>
        <v/>
      </c>
      <c r="D177" s="16"/>
      <c r="E177" s="3"/>
      <c r="F177" s="57"/>
      <c r="G177" s="15" t="str">
        <f t="shared" si="38"/>
        <v/>
      </c>
      <c r="H177" s="65" t="str">
        <f t="shared" si="39"/>
        <v/>
      </c>
      <c r="I177" s="65" t="str">
        <f t="shared" si="40"/>
        <v/>
      </c>
      <c r="O177" s="32" t="str">
        <f t="shared" si="28"/>
        <v/>
      </c>
      <c r="P177" s="47"/>
      <c r="Q177" s="48"/>
      <c r="R177" s="48"/>
      <c r="S177" s="36">
        <f t="shared" si="41"/>
        <v>0</v>
      </c>
      <c r="T177" s="34">
        <f t="shared" si="35"/>
        <v>0</v>
      </c>
      <c r="U177" s="32">
        <f t="shared" si="36"/>
        <v>0</v>
      </c>
      <c r="V177" s="43"/>
      <c r="W177" s="32">
        <f t="shared" si="29"/>
        <v>0</v>
      </c>
      <c r="X177" s="34">
        <f t="shared" si="30"/>
        <v>0</v>
      </c>
      <c r="Y177" s="30">
        <f t="shared" si="31"/>
        <v>0</v>
      </c>
      <c r="Z177" s="34">
        <f t="shared" si="32"/>
        <v>0</v>
      </c>
      <c r="AA177" s="41">
        <f t="shared" si="33"/>
        <v>0</v>
      </c>
      <c r="AB177" s="31">
        <f t="shared" si="34"/>
        <v>0</v>
      </c>
    </row>
    <row r="178" spans="3:28" x14ac:dyDescent="0.7">
      <c r="C178" s="63" t="str">
        <f t="shared" si="37"/>
        <v/>
      </c>
      <c r="D178" s="16"/>
      <c r="E178" s="3"/>
      <c r="F178" s="57"/>
      <c r="G178" s="15" t="str">
        <f t="shared" si="38"/>
        <v/>
      </c>
      <c r="H178" s="65" t="str">
        <f t="shared" si="39"/>
        <v/>
      </c>
      <c r="I178" s="65" t="str">
        <f t="shared" si="40"/>
        <v/>
      </c>
      <c r="O178" s="32" t="str">
        <f t="shared" si="28"/>
        <v/>
      </c>
      <c r="P178" s="50"/>
      <c r="Q178" s="48"/>
      <c r="R178" s="48"/>
      <c r="S178" s="36">
        <f t="shared" si="41"/>
        <v>0</v>
      </c>
      <c r="T178" s="34">
        <f t="shared" si="35"/>
        <v>0</v>
      </c>
      <c r="U178" s="32">
        <f t="shared" si="36"/>
        <v>0</v>
      </c>
      <c r="V178" s="43"/>
      <c r="W178" s="32">
        <f t="shared" si="29"/>
        <v>0</v>
      </c>
      <c r="X178" s="34">
        <f t="shared" si="30"/>
        <v>0</v>
      </c>
      <c r="Y178" s="30">
        <f t="shared" si="31"/>
        <v>0</v>
      </c>
      <c r="Z178" s="34">
        <f t="shared" si="32"/>
        <v>0</v>
      </c>
      <c r="AA178" s="41">
        <f t="shared" si="33"/>
        <v>0</v>
      </c>
      <c r="AB178" s="31">
        <f t="shared" si="34"/>
        <v>0</v>
      </c>
    </row>
    <row r="179" spans="3:28" x14ac:dyDescent="0.7">
      <c r="C179" s="63" t="str">
        <f t="shared" si="37"/>
        <v/>
      </c>
      <c r="D179" s="16"/>
      <c r="E179" s="3"/>
      <c r="F179" s="57"/>
      <c r="G179" s="15" t="str">
        <f t="shared" si="38"/>
        <v/>
      </c>
      <c r="H179" s="65" t="str">
        <f t="shared" si="39"/>
        <v/>
      </c>
      <c r="I179" s="65" t="str">
        <f t="shared" si="40"/>
        <v/>
      </c>
      <c r="O179" s="32" t="str">
        <f t="shared" si="28"/>
        <v/>
      </c>
      <c r="P179" s="50"/>
      <c r="Q179" s="48"/>
      <c r="R179" s="48"/>
      <c r="S179" s="36">
        <f t="shared" si="41"/>
        <v>0</v>
      </c>
      <c r="T179" s="34">
        <f t="shared" si="35"/>
        <v>0</v>
      </c>
      <c r="U179" s="32">
        <f t="shared" si="36"/>
        <v>0</v>
      </c>
      <c r="V179" s="43"/>
      <c r="W179" s="32">
        <f t="shared" si="29"/>
        <v>0</v>
      </c>
      <c r="X179" s="34">
        <f t="shared" si="30"/>
        <v>0</v>
      </c>
      <c r="Y179" s="30">
        <f t="shared" si="31"/>
        <v>0</v>
      </c>
      <c r="Z179" s="34">
        <f t="shared" si="32"/>
        <v>0</v>
      </c>
      <c r="AA179" s="41">
        <f t="shared" si="33"/>
        <v>0</v>
      </c>
      <c r="AB179" s="31">
        <f t="shared" si="34"/>
        <v>0</v>
      </c>
    </row>
    <row r="180" spans="3:28" x14ac:dyDescent="0.7">
      <c r="C180" s="63" t="str">
        <f t="shared" si="37"/>
        <v/>
      </c>
      <c r="D180" s="16"/>
      <c r="E180" s="3"/>
      <c r="F180" s="57"/>
      <c r="G180" s="15" t="str">
        <f t="shared" si="38"/>
        <v/>
      </c>
      <c r="H180" s="65" t="str">
        <f t="shared" si="39"/>
        <v/>
      </c>
      <c r="I180" s="65" t="str">
        <f t="shared" si="40"/>
        <v/>
      </c>
      <c r="O180" s="32" t="str">
        <f t="shared" si="28"/>
        <v/>
      </c>
      <c r="P180" s="51"/>
      <c r="Q180" s="48"/>
      <c r="R180" s="48"/>
      <c r="S180" s="36">
        <f t="shared" si="41"/>
        <v>0</v>
      </c>
      <c r="T180" s="34">
        <f t="shared" si="35"/>
        <v>0</v>
      </c>
      <c r="U180" s="32">
        <f t="shared" si="36"/>
        <v>0</v>
      </c>
      <c r="V180" s="43"/>
      <c r="W180" s="32">
        <f t="shared" si="29"/>
        <v>0</v>
      </c>
      <c r="X180" s="34">
        <f t="shared" si="30"/>
        <v>0</v>
      </c>
      <c r="Y180" s="30">
        <f t="shared" si="31"/>
        <v>0</v>
      </c>
      <c r="Z180" s="34">
        <f t="shared" si="32"/>
        <v>0</v>
      </c>
      <c r="AA180" s="41">
        <f t="shared" si="33"/>
        <v>0</v>
      </c>
      <c r="AB180" s="31">
        <f t="shared" si="34"/>
        <v>0</v>
      </c>
    </row>
    <row r="181" spans="3:28" x14ac:dyDescent="0.7">
      <c r="C181" s="63" t="str">
        <f t="shared" si="37"/>
        <v/>
      </c>
      <c r="D181" s="16"/>
      <c r="E181" s="3"/>
      <c r="F181" s="57"/>
      <c r="G181" s="15" t="str">
        <f t="shared" si="38"/>
        <v/>
      </c>
      <c r="H181" s="65" t="str">
        <f t="shared" si="39"/>
        <v/>
      </c>
      <c r="I181" s="65" t="str">
        <f t="shared" si="40"/>
        <v/>
      </c>
      <c r="O181" s="32" t="str">
        <f t="shared" si="28"/>
        <v/>
      </c>
      <c r="P181" s="47"/>
      <c r="Q181" s="48"/>
      <c r="R181" s="48"/>
      <c r="S181" s="36">
        <f t="shared" si="41"/>
        <v>0</v>
      </c>
      <c r="T181" s="34">
        <f t="shared" si="35"/>
        <v>0</v>
      </c>
      <c r="U181" s="32">
        <f t="shared" si="36"/>
        <v>0</v>
      </c>
      <c r="V181" s="43"/>
      <c r="W181" s="32">
        <f t="shared" si="29"/>
        <v>0</v>
      </c>
      <c r="X181" s="34">
        <f t="shared" si="30"/>
        <v>0</v>
      </c>
      <c r="Y181" s="30">
        <f t="shared" si="31"/>
        <v>0</v>
      </c>
      <c r="Z181" s="34">
        <f t="shared" si="32"/>
        <v>0</v>
      </c>
      <c r="AA181" s="41">
        <f t="shared" si="33"/>
        <v>0</v>
      </c>
      <c r="AB181" s="31">
        <f t="shared" si="34"/>
        <v>0</v>
      </c>
    </row>
    <row r="182" spans="3:28" x14ac:dyDescent="0.7">
      <c r="C182" s="63" t="str">
        <f t="shared" si="37"/>
        <v/>
      </c>
      <c r="D182" s="16"/>
      <c r="E182" s="3"/>
      <c r="F182" s="57"/>
      <c r="G182" s="15" t="str">
        <f t="shared" si="38"/>
        <v/>
      </c>
      <c r="H182" s="65" t="str">
        <f t="shared" si="39"/>
        <v/>
      </c>
      <c r="I182" s="65" t="str">
        <f t="shared" si="40"/>
        <v/>
      </c>
      <c r="O182" s="32" t="str">
        <f t="shared" si="28"/>
        <v/>
      </c>
      <c r="P182" s="47"/>
      <c r="Q182" s="48"/>
      <c r="R182" s="48"/>
      <c r="S182" s="36">
        <f t="shared" si="41"/>
        <v>0</v>
      </c>
      <c r="T182" s="34">
        <f t="shared" si="35"/>
        <v>0</v>
      </c>
      <c r="U182" s="32">
        <f t="shared" si="36"/>
        <v>0</v>
      </c>
      <c r="V182" s="43"/>
      <c r="W182" s="32">
        <f t="shared" si="29"/>
        <v>0</v>
      </c>
      <c r="X182" s="34">
        <f t="shared" si="30"/>
        <v>0</v>
      </c>
      <c r="Y182" s="30">
        <f t="shared" si="31"/>
        <v>0</v>
      </c>
      <c r="Z182" s="34">
        <f t="shared" si="32"/>
        <v>0</v>
      </c>
      <c r="AA182" s="41">
        <f t="shared" si="33"/>
        <v>0</v>
      </c>
      <c r="AB182" s="31">
        <f t="shared" si="34"/>
        <v>0</v>
      </c>
    </row>
    <row r="183" spans="3:28" x14ac:dyDescent="0.7">
      <c r="C183" s="63" t="str">
        <f t="shared" si="37"/>
        <v/>
      </c>
      <c r="D183" s="16"/>
      <c r="E183" s="3"/>
      <c r="F183" s="57"/>
      <c r="G183" s="15" t="str">
        <f t="shared" si="38"/>
        <v/>
      </c>
      <c r="H183" s="65" t="str">
        <f t="shared" si="39"/>
        <v/>
      </c>
      <c r="I183" s="65" t="str">
        <f t="shared" si="40"/>
        <v/>
      </c>
      <c r="O183" s="32" t="str">
        <f t="shared" si="28"/>
        <v/>
      </c>
      <c r="P183" s="47"/>
      <c r="Q183" s="48"/>
      <c r="R183" s="48"/>
      <c r="S183" s="36">
        <f t="shared" si="41"/>
        <v>0</v>
      </c>
      <c r="T183" s="34">
        <f t="shared" si="35"/>
        <v>0</v>
      </c>
      <c r="U183" s="32">
        <f t="shared" si="36"/>
        <v>0</v>
      </c>
      <c r="V183" s="43"/>
      <c r="W183" s="32">
        <f t="shared" si="29"/>
        <v>0</v>
      </c>
      <c r="X183" s="34">
        <f t="shared" si="30"/>
        <v>0</v>
      </c>
      <c r="Y183" s="30">
        <f t="shared" si="31"/>
        <v>0</v>
      </c>
      <c r="Z183" s="34">
        <f t="shared" si="32"/>
        <v>0</v>
      </c>
      <c r="AA183" s="41">
        <f t="shared" si="33"/>
        <v>0</v>
      </c>
      <c r="AB183" s="31">
        <f t="shared" si="34"/>
        <v>0</v>
      </c>
    </row>
    <row r="184" spans="3:28" x14ac:dyDescent="0.7">
      <c r="C184" s="63" t="str">
        <f t="shared" si="37"/>
        <v/>
      </c>
      <c r="D184" s="16"/>
      <c r="E184" s="3"/>
      <c r="F184" s="57"/>
      <c r="G184" s="15" t="str">
        <f t="shared" si="38"/>
        <v/>
      </c>
      <c r="H184" s="65" t="str">
        <f t="shared" si="39"/>
        <v/>
      </c>
      <c r="I184" s="65" t="str">
        <f t="shared" si="40"/>
        <v/>
      </c>
      <c r="O184" s="32" t="str">
        <f t="shared" si="28"/>
        <v/>
      </c>
      <c r="P184" s="51"/>
      <c r="Q184" s="48"/>
      <c r="R184" s="48"/>
      <c r="S184" s="36">
        <f t="shared" si="41"/>
        <v>0</v>
      </c>
      <c r="T184" s="34">
        <f t="shared" si="35"/>
        <v>0</v>
      </c>
      <c r="U184" s="32">
        <f t="shared" si="36"/>
        <v>0</v>
      </c>
      <c r="V184" s="43"/>
      <c r="W184" s="32">
        <f t="shared" si="29"/>
        <v>0</v>
      </c>
      <c r="X184" s="34">
        <f t="shared" si="30"/>
        <v>0</v>
      </c>
      <c r="Y184" s="30">
        <f t="shared" si="31"/>
        <v>0</v>
      </c>
      <c r="Z184" s="34">
        <f t="shared" si="32"/>
        <v>0</v>
      </c>
      <c r="AA184" s="41">
        <f t="shared" si="33"/>
        <v>0</v>
      </c>
      <c r="AB184" s="31">
        <f t="shared" si="34"/>
        <v>0</v>
      </c>
    </row>
    <row r="185" spans="3:28" x14ac:dyDescent="0.7">
      <c r="C185" s="63" t="str">
        <f t="shared" si="37"/>
        <v/>
      </c>
      <c r="D185" s="16"/>
      <c r="E185" s="3"/>
      <c r="F185" s="57"/>
      <c r="G185" s="15" t="str">
        <f t="shared" si="38"/>
        <v/>
      </c>
      <c r="H185" s="65" t="str">
        <f t="shared" si="39"/>
        <v/>
      </c>
      <c r="I185" s="65" t="str">
        <f t="shared" si="40"/>
        <v/>
      </c>
      <c r="O185" s="32" t="str">
        <f t="shared" si="28"/>
        <v/>
      </c>
      <c r="P185" s="47"/>
      <c r="Q185" s="48"/>
      <c r="R185" s="48"/>
      <c r="S185" s="36">
        <f t="shared" si="41"/>
        <v>0</v>
      </c>
      <c r="T185" s="34">
        <f t="shared" si="35"/>
        <v>0</v>
      </c>
      <c r="U185" s="32">
        <f t="shared" si="36"/>
        <v>0</v>
      </c>
      <c r="V185" s="43"/>
      <c r="W185" s="32">
        <f t="shared" si="29"/>
        <v>0</v>
      </c>
      <c r="X185" s="34">
        <f t="shared" si="30"/>
        <v>0</v>
      </c>
      <c r="Y185" s="30">
        <f t="shared" si="31"/>
        <v>0</v>
      </c>
      <c r="Z185" s="34">
        <f t="shared" si="32"/>
        <v>0</v>
      </c>
      <c r="AA185" s="41">
        <f t="shared" si="33"/>
        <v>0</v>
      </c>
      <c r="AB185" s="31">
        <f t="shared" si="34"/>
        <v>0</v>
      </c>
    </row>
    <row r="186" spans="3:28" x14ac:dyDescent="0.7">
      <c r="C186" s="63" t="str">
        <f t="shared" si="37"/>
        <v/>
      </c>
      <c r="D186" s="16"/>
      <c r="E186" s="3"/>
      <c r="F186" s="57"/>
      <c r="G186" s="15" t="str">
        <f t="shared" si="38"/>
        <v/>
      </c>
      <c r="H186" s="65" t="str">
        <f t="shared" si="39"/>
        <v/>
      </c>
      <c r="I186" s="65" t="str">
        <f t="shared" si="40"/>
        <v/>
      </c>
      <c r="O186" s="32" t="str">
        <f t="shared" si="28"/>
        <v/>
      </c>
      <c r="P186" s="47"/>
      <c r="Q186" s="48"/>
      <c r="R186" s="48"/>
      <c r="S186" s="36">
        <f t="shared" si="41"/>
        <v>0</v>
      </c>
      <c r="T186" s="34">
        <f t="shared" si="35"/>
        <v>0</v>
      </c>
      <c r="U186" s="32">
        <f t="shared" si="36"/>
        <v>0</v>
      </c>
      <c r="V186" s="43"/>
      <c r="W186" s="32">
        <f t="shared" si="29"/>
        <v>0</v>
      </c>
      <c r="X186" s="34">
        <f t="shared" si="30"/>
        <v>0</v>
      </c>
      <c r="Y186" s="30">
        <f t="shared" si="31"/>
        <v>0</v>
      </c>
      <c r="Z186" s="34">
        <f t="shared" si="32"/>
        <v>0</v>
      </c>
      <c r="AA186" s="41">
        <f t="shared" si="33"/>
        <v>0</v>
      </c>
      <c r="AB186" s="31">
        <f t="shared" si="34"/>
        <v>0</v>
      </c>
    </row>
    <row r="187" spans="3:28" x14ac:dyDescent="0.7">
      <c r="C187" s="63" t="str">
        <f t="shared" si="37"/>
        <v/>
      </c>
      <c r="D187" s="16"/>
      <c r="E187" s="3"/>
      <c r="F187" s="57"/>
      <c r="G187" s="15" t="str">
        <f t="shared" si="38"/>
        <v/>
      </c>
      <c r="H187" s="65" t="str">
        <f t="shared" si="39"/>
        <v/>
      </c>
      <c r="I187" s="65" t="str">
        <f t="shared" si="40"/>
        <v/>
      </c>
      <c r="O187" s="32" t="str">
        <f t="shared" si="28"/>
        <v/>
      </c>
      <c r="P187" s="50"/>
      <c r="Q187" s="48"/>
      <c r="R187" s="48"/>
      <c r="S187" s="36">
        <f t="shared" si="41"/>
        <v>0</v>
      </c>
      <c r="T187" s="34">
        <f t="shared" si="35"/>
        <v>0</v>
      </c>
      <c r="U187" s="32">
        <f t="shared" si="36"/>
        <v>0</v>
      </c>
      <c r="V187" s="43"/>
      <c r="W187" s="32">
        <f t="shared" si="29"/>
        <v>0</v>
      </c>
      <c r="X187" s="34">
        <f t="shared" si="30"/>
        <v>0</v>
      </c>
      <c r="Y187" s="30">
        <f t="shared" si="31"/>
        <v>0</v>
      </c>
      <c r="Z187" s="34">
        <f t="shared" si="32"/>
        <v>0</v>
      </c>
      <c r="AA187" s="41">
        <f t="shared" si="33"/>
        <v>0</v>
      </c>
      <c r="AB187" s="31">
        <f t="shared" si="34"/>
        <v>0</v>
      </c>
    </row>
    <row r="188" spans="3:28" x14ac:dyDescent="0.7">
      <c r="C188" s="63" t="str">
        <f t="shared" si="37"/>
        <v/>
      </c>
      <c r="D188" s="16"/>
      <c r="E188" s="3"/>
      <c r="F188" s="57"/>
      <c r="G188" s="15" t="str">
        <f t="shared" si="38"/>
        <v/>
      </c>
      <c r="H188" s="65" t="str">
        <f t="shared" si="39"/>
        <v/>
      </c>
      <c r="I188" s="65" t="str">
        <f t="shared" si="40"/>
        <v/>
      </c>
      <c r="O188" s="32" t="str">
        <f t="shared" si="28"/>
        <v/>
      </c>
      <c r="P188" s="50"/>
      <c r="Q188" s="48"/>
      <c r="R188" s="48"/>
      <c r="S188" s="36">
        <f t="shared" si="41"/>
        <v>0</v>
      </c>
      <c r="T188" s="34">
        <f t="shared" si="35"/>
        <v>0</v>
      </c>
      <c r="U188" s="32">
        <f t="shared" si="36"/>
        <v>0</v>
      </c>
      <c r="V188" s="43"/>
      <c r="W188" s="32">
        <f t="shared" si="29"/>
        <v>0</v>
      </c>
      <c r="X188" s="34">
        <f t="shared" si="30"/>
        <v>0</v>
      </c>
      <c r="Y188" s="30">
        <f t="shared" si="31"/>
        <v>0</v>
      </c>
      <c r="Z188" s="34">
        <f t="shared" si="32"/>
        <v>0</v>
      </c>
      <c r="AA188" s="41">
        <f t="shared" si="33"/>
        <v>0</v>
      </c>
      <c r="AB188" s="31">
        <f t="shared" si="34"/>
        <v>0</v>
      </c>
    </row>
    <row r="189" spans="3:28" x14ac:dyDescent="0.7">
      <c r="C189" s="63" t="str">
        <f t="shared" si="37"/>
        <v/>
      </c>
      <c r="D189" s="16"/>
      <c r="E189" s="3"/>
      <c r="F189" s="57"/>
      <c r="G189" s="15" t="str">
        <f t="shared" si="38"/>
        <v/>
      </c>
      <c r="H189" s="65" t="str">
        <f t="shared" si="39"/>
        <v/>
      </c>
      <c r="I189" s="65" t="str">
        <f t="shared" si="40"/>
        <v/>
      </c>
      <c r="O189" s="32" t="str">
        <f t="shared" si="28"/>
        <v/>
      </c>
      <c r="P189" s="51"/>
      <c r="Q189" s="48"/>
      <c r="R189" s="48"/>
      <c r="S189" s="36">
        <f t="shared" si="41"/>
        <v>0</v>
      </c>
      <c r="T189" s="34">
        <f t="shared" si="35"/>
        <v>0</v>
      </c>
      <c r="U189" s="32">
        <f t="shared" si="36"/>
        <v>0</v>
      </c>
      <c r="V189" s="43"/>
      <c r="W189" s="32">
        <f t="shared" si="29"/>
        <v>0</v>
      </c>
      <c r="X189" s="34">
        <f t="shared" si="30"/>
        <v>0</v>
      </c>
      <c r="Y189" s="30">
        <f t="shared" si="31"/>
        <v>0</v>
      </c>
      <c r="Z189" s="34">
        <f t="shared" si="32"/>
        <v>0</v>
      </c>
      <c r="AA189" s="41">
        <f t="shared" si="33"/>
        <v>0</v>
      </c>
      <c r="AB189" s="31">
        <f t="shared" si="34"/>
        <v>0</v>
      </c>
    </row>
    <row r="190" spans="3:28" x14ac:dyDescent="0.7">
      <c r="C190" s="63" t="str">
        <f t="shared" si="37"/>
        <v/>
      </c>
      <c r="D190" s="16"/>
      <c r="E190" s="3"/>
      <c r="F190" s="57"/>
      <c r="G190" s="15" t="str">
        <f t="shared" si="38"/>
        <v/>
      </c>
      <c r="H190" s="65" t="str">
        <f t="shared" si="39"/>
        <v/>
      </c>
      <c r="I190" s="65" t="str">
        <f t="shared" si="40"/>
        <v/>
      </c>
      <c r="O190" s="32" t="str">
        <f t="shared" si="28"/>
        <v/>
      </c>
      <c r="P190" s="50"/>
      <c r="Q190" s="48"/>
      <c r="R190" s="48"/>
      <c r="S190" s="36">
        <f t="shared" si="41"/>
        <v>0</v>
      </c>
      <c r="T190" s="34">
        <f t="shared" si="35"/>
        <v>0</v>
      </c>
      <c r="U190" s="32">
        <f t="shared" si="36"/>
        <v>0</v>
      </c>
      <c r="V190" s="43"/>
      <c r="W190" s="32">
        <f t="shared" si="29"/>
        <v>0</v>
      </c>
      <c r="X190" s="34">
        <f t="shared" si="30"/>
        <v>0</v>
      </c>
      <c r="Y190" s="30">
        <f t="shared" si="31"/>
        <v>0</v>
      </c>
      <c r="Z190" s="34">
        <f t="shared" si="32"/>
        <v>0</v>
      </c>
      <c r="AA190" s="41">
        <f t="shared" si="33"/>
        <v>0</v>
      </c>
      <c r="AB190" s="31">
        <f t="shared" si="34"/>
        <v>0</v>
      </c>
    </row>
    <row r="191" spans="3:28" x14ac:dyDescent="0.7">
      <c r="C191" s="63" t="str">
        <f t="shared" si="37"/>
        <v/>
      </c>
      <c r="D191" s="16"/>
      <c r="E191" s="3"/>
      <c r="F191" s="57"/>
      <c r="G191" s="15" t="str">
        <f t="shared" si="38"/>
        <v/>
      </c>
      <c r="H191" s="65" t="str">
        <f t="shared" si="39"/>
        <v/>
      </c>
      <c r="I191" s="65" t="str">
        <f t="shared" si="40"/>
        <v/>
      </c>
      <c r="O191" s="32" t="str">
        <f t="shared" si="28"/>
        <v/>
      </c>
      <c r="P191" s="52"/>
      <c r="Q191" s="48"/>
      <c r="R191" s="48"/>
      <c r="S191" s="36">
        <f t="shared" si="41"/>
        <v>0</v>
      </c>
      <c r="T191" s="34">
        <f t="shared" si="35"/>
        <v>0</v>
      </c>
      <c r="U191" s="32">
        <f t="shared" si="36"/>
        <v>0</v>
      </c>
      <c r="V191" s="43"/>
      <c r="W191" s="32">
        <f t="shared" si="29"/>
        <v>0</v>
      </c>
      <c r="X191" s="34">
        <f t="shared" si="30"/>
        <v>0</v>
      </c>
      <c r="Y191" s="30">
        <f t="shared" si="31"/>
        <v>0</v>
      </c>
      <c r="Z191" s="34">
        <f t="shared" si="32"/>
        <v>0</v>
      </c>
      <c r="AA191" s="41">
        <f t="shared" si="33"/>
        <v>0</v>
      </c>
      <c r="AB191" s="31">
        <f t="shared" si="34"/>
        <v>0</v>
      </c>
    </row>
    <row r="192" spans="3:28" x14ac:dyDescent="0.7">
      <c r="C192" s="63" t="str">
        <f t="shared" si="37"/>
        <v/>
      </c>
      <c r="D192" s="16"/>
      <c r="E192" s="3"/>
      <c r="F192" s="57"/>
      <c r="G192" s="15" t="str">
        <f t="shared" si="38"/>
        <v/>
      </c>
      <c r="H192" s="65" t="str">
        <f t="shared" si="39"/>
        <v/>
      </c>
      <c r="I192" s="65" t="str">
        <f t="shared" si="40"/>
        <v/>
      </c>
      <c r="O192" s="32" t="str">
        <f t="shared" si="28"/>
        <v/>
      </c>
      <c r="P192" s="52"/>
      <c r="Q192" s="48"/>
      <c r="R192" s="48"/>
      <c r="S192" s="36">
        <f t="shared" si="41"/>
        <v>0</v>
      </c>
      <c r="T192" s="34">
        <f t="shared" si="35"/>
        <v>0</v>
      </c>
      <c r="U192" s="32">
        <f t="shared" si="36"/>
        <v>0</v>
      </c>
      <c r="V192" s="43"/>
      <c r="W192" s="32">
        <f t="shared" si="29"/>
        <v>0</v>
      </c>
      <c r="X192" s="34">
        <f t="shared" si="30"/>
        <v>0</v>
      </c>
      <c r="Y192" s="30">
        <f t="shared" si="31"/>
        <v>0</v>
      </c>
      <c r="Z192" s="34">
        <f t="shared" si="32"/>
        <v>0</v>
      </c>
      <c r="AA192" s="41">
        <f t="shared" si="33"/>
        <v>0</v>
      </c>
      <c r="AB192" s="31">
        <f t="shared" si="34"/>
        <v>0</v>
      </c>
    </row>
    <row r="193" spans="3:28" x14ac:dyDescent="0.7">
      <c r="C193" s="63" t="str">
        <f t="shared" si="37"/>
        <v/>
      </c>
      <c r="D193" s="16"/>
      <c r="E193" s="3"/>
      <c r="F193" s="57"/>
      <c r="G193" s="15" t="str">
        <f t="shared" si="38"/>
        <v/>
      </c>
      <c r="H193" s="65" t="str">
        <f t="shared" si="39"/>
        <v/>
      </c>
      <c r="I193" s="65" t="str">
        <f t="shared" si="40"/>
        <v/>
      </c>
      <c r="O193" s="32" t="str">
        <f t="shared" si="28"/>
        <v/>
      </c>
      <c r="P193" s="51"/>
      <c r="Q193" s="48"/>
      <c r="R193" s="48"/>
      <c r="S193" s="36">
        <f t="shared" si="41"/>
        <v>0</v>
      </c>
      <c r="T193" s="34">
        <f t="shared" si="35"/>
        <v>0</v>
      </c>
      <c r="U193" s="32">
        <f t="shared" si="36"/>
        <v>0</v>
      </c>
      <c r="V193" s="43"/>
      <c r="W193" s="32">
        <f t="shared" si="29"/>
        <v>0</v>
      </c>
      <c r="X193" s="34">
        <f t="shared" si="30"/>
        <v>0</v>
      </c>
      <c r="Y193" s="30">
        <f t="shared" si="31"/>
        <v>0</v>
      </c>
      <c r="Z193" s="34">
        <f t="shared" si="32"/>
        <v>0</v>
      </c>
      <c r="AA193" s="41">
        <f t="shared" si="33"/>
        <v>0</v>
      </c>
      <c r="AB193" s="31">
        <f t="shared" si="34"/>
        <v>0</v>
      </c>
    </row>
    <row r="194" spans="3:28" x14ac:dyDescent="0.7">
      <c r="C194" s="63" t="str">
        <f t="shared" si="37"/>
        <v/>
      </c>
      <c r="D194" s="16"/>
      <c r="E194" s="3"/>
      <c r="F194" s="57"/>
      <c r="G194" s="15" t="str">
        <f t="shared" si="38"/>
        <v/>
      </c>
      <c r="H194" s="65" t="str">
        <f t="shared" si="39"/>
        <v/>
      </c>
      <c r="I194" s="65" t="str">
        <f t="shared" si="40"/>
        <v/>
      </c>
      <c r="O194" s="32" t="str">
        <f t="shared" si="28"/>
        <v/>
      </c>
      <c r="Q194" s="48"/>
      <c r="R194" s="48"/>
      <c r="S194" s="36">
        <f t="shared" si="41"/>
        <v>0</v>
      </c>
      <c r="T194" s="34">
        <f t="shared" si="35"/>
        <v>0</v>
      </c>
      <c r="U194" s="32">
        <f t="shared" si="36"/>
        <v>0</v>
      </c>
      <c r="V194" s="43"/>
      <c r="W194" s="32">
        <f t="shared" si="29"/>
        <v>0</v>
      </c>
      <c r="X194" s="34">
        <f t="shared" si="30"/>
        <v>0</v>
      </c>
      <c r="Y194" s="30">
        <f t="shared" si="31"/>
        <v>0</v>
      </c>
      <c r="Z194" s="34">
        <f t="shared" si="32"/>
        <v>0</v>
      </c>
      <c r="AA194" s="41">
        <f t="shared" si="33"/>
        <v>0</v>
      </c>
      <c r="AB194" s="31">
        <f t="shared" si="34"/>
        <v>0</v>
      </c>
    </row>
    <row r="195" spans="3:28" x14ac:dyDescent="0.7">
      <c r="C195" s="63" t="str">
        <f t="shared" si="37"/>
        <v/>
      </c>
      <c r="D195" s="16"/>
      <c r="E195" s="3"/>
      <c r="F195" s="57"/>
      <c r="G195" s="15" t="str">
        <f t="shared" si="38"/>
        <v/>
      </c>
      <c r="H195" s="65" t="str">
        <f t="shared" si="39"/>
        <v/>
      </c>
      <c r="I195" s="65" t="str">
        <f t="shared" si="40"/>
        <v/>
      </c>
      <c r="O195" s="32" t="str">
        <f t="shared" si="28"/>
        <v/>
      </c>
      <c r="Q195" s="48"/>
      <c r="R195" s="48"/>
      <c r="S195" s="36">
        <f t="shared" si="41"/>
        <v>0</v>
      </c>
      <c r="T195" s="34">
        <f t="shared" si="35"/>
        <v>0</v>
      </c>
      <c r="U195" s="32">
        <f t="shared" si="36"/>
        <v>0</v>
      </c>
      <c r="V195" s="43"/>
      <c r="W195" s="32">
        <f t="shared" si="29"/>
        <v>0</v>
      </c>
      <c r="X195" s="34">
        <f t="shared" si="30"/>
        <v>0</v>
      </c>
      <c r="Y195" s="30">
        <f t="shared" si="31"/>
        <v>0</v>
      </c>
      <c r="Z195" s="34">
        <f t="shared" si="32"/>
        <v>0</v>
      </c>
      <c r="AA195" s="41">
        <f t="shared" si="33"/>
        <v>0</v>
      </c>
      <c r="AB195" s="31">
        <f t="shared" si="34"/>
        <v>0</v>
      </c>
    </row>
    <row r="196" spans="3:28" x14ac:dyDescent="0.7">
      <c r="C196" s="63" t="str">
        <f t="shared" si="37"/>
        <v/>
      </c>
      <c r="D196" s="16"/>
      <c r="E196" s="3"/>
      <c r="F196" s="57"/>
      <c r="G196" s="15" t="str">
        <f t="shared" si="38"/>
        <v/>
      </c>
      <c r="H196" s="65" t="str">
        <f t="shared" si="39"/>
        <v/>
      </c>
      <c r="I196" s="65" t="str">
        <f t="shared" si="40"/>
        <v/>
      </c>
      <c r="O196" s="32" t="str">
        <f t="shared" si="28"/>
        <v/>
      </c>
      <c r="Q196" s="48"/>
      <c r="R196" s="48"/>
      <c r="S196" s="36">
        <f t="shared" si="41"/>
        <v>0</v>
      </c>
      <c r="T196" s="34">
        <f t="shared" si="35"/>
        <v>0</v>
      </c>
      <c r="U196" s="32">
        <f t="shared" si="36"/>
        <v>0</v>
      </c>
      <c r="V196" s="43"/>
      <c r="W196" s="32">
        <f t="shared" si="29"/>
        <v>0</v>
      </c>
      <c r="X196" s="34">
        <f t="shared" si="30"/>
        <v>0</v>
      </c>
      <c r="Y196" s="30">
        <f t="shared" si="31"/>
        <v>0</v>
      </c>
      <c r="Z196" s="34">
        <f t="shared" si="32"/>
        <v>0</v>
      </c>
      <c r="AA196" s="41">
        <f t="shared" si="33"/>
        <v>0</v>
      </c>
      <c r="AB196" s="31">
        <f t="shared" si="34"/>
        <v>0</v>
      </c>
    </row>
    <row r="197" spans="3:28" x14ac:dyDescent="0.7">
      <c r="C197" s="63" t="str">
        <f t="shared" si="37"/>
        <v/>
      </c>
      <c r="D197" s="16"/>
      <c r="E197" s="3"/>
      <c r="F197" s="57"/>
      <c r="G197" s="15" t="str">
        <f t="shared" si="38"/>
        <v/>
      </c>
      <c r="H197" s="65" t="str">
        <f t="shared" si="39"/>
        <v/>
      </c>
      <c r="I197" s="65" t="str">
        <f t="shared" si="40"/>
        <v/>
      </c>
      <c r="O197" s="32" t="str">
        <f t="shared" si="28"/>
        <v/>
      </c>
      <c r="Q197" s="48"/>
      <c r="R197" s="48"/>
      <c r="S197" s="36">
        <f t="shared" si="41"/>
        <v>0</v>
      </c>
      <c r="T197" s="34">
        <f t="shared" si="35"/>
        <v>0</v>
      </c>
      <c r="U197" s="32">
        <f t="shared" si="36"/>
        <v>0</v>
      </c>
      <c r="V197" s="43"/>
      <c r="W197" s="32">
        <f t="shared" si="29"/>
        <v>0</v>
      </c>
      <c r="X197" s="34">
        <f t="shared" si="30"/>
        <v>0</v>
      </c>
      <c r="Y197" s="30">
        <f t="shared" si="31"/>
        <v>0</v>
      </c>
      <c r="Z197" s="34">
        <f t="shared" si="32"/>
        <v>0</v>
      </c>
      <c r="AA197" s="41">
        <f t="shared" si="33"/>
        <v>0</v>
      </c>
      <c r="AB197" s="31">
        <f t="shared" si="34"/>
        <v>0</v>
      </c>
    </row>
    <row r="198" spans="3:28" x14ac:dyDescent="0.7">
      <c r="C198" s="63" t="str">
        <f t="shared" si="37"/>
        <v/>
      </c>
      <c r="D198" s="16"/>
      <c r="E198" s="3"/>
      <c r="F198" s="57"/>
      <c r="G198" s="15" t="str">
        <f t="shared" si="38"/>
        <v/>
      </c>
      <c r="H198" s="65" t="str">
        <f t="shared" si="39"/>
        <v/>
      </c>
      <c r="I198" s="65" t="str">
        <f t="shared" si="40"/>
        <v/>
      </c>
      <c r="O198" s="32" t="str">
        <f t="shared" si="28"/>
        <v/>
      </c>
      <c r="P198" s="51"/>
      <c r="Q198" s="48"/>
      <c r="R198" s="48"/>
      <c r="S198" s="36">
        <f t="shared" si="41"/>
        <v>0</v>
      </c>
      <c r="T198" s="34">
        <f t="shared" si="35"/>
        <v>0</v>
      </c>
      <c r="U198" s="32">
        <f t="shared" si="36"/>
        <v>0</v>
      </c>
      <c r="V198" s="43"/>
      <c r="W198" s="32">
        <f t="shared" si="29"/>
        <v>0</v>
      </c>
      <c r="X198" s="34">
        <f t="shared" si="30"/>
        <v>0</v>
      </c>
      <c r="Y198" s="30">
        <f t="shared" si="31"/>
        <v>0</v>
      </c>
      <c r="Z198" s="34">
        <f t="shared" si="32"/>
        <v>0</v>
      </c>
      <c r="AA198" s="41">
        <f t="shared" si="33"/>
        <v>0</v>
      </c>
      <c r="AB198" s="31">
        <f t="shared" si="34"/>
        <v>0</v>
      </c>
    </row>
    <row r="199" spans="3:28" x14ac:dyDescent="0.7">
      <c r="C199" s="63" t="str">
        <f t="shared" si="37"/>
        <v/>
      </c>
      <c r="D199" s="16"/>
      <c r="E199" s="3"/>
      <c r="F199" s="57"/>
      <c r="G199" s="15" t="str">
        <f t="shared" si="38"/>
        <v/>
      </c>
      <c r="H199" s="65" t="str">
        <f t="shared" si="39"/>
        <v/>
      </c>
      <c r="I199" s="65" t="str">
        <f t="shared" si="40"/>
        <v/>
      </c>
      <c r="O199" s="32" t="str">
        <f t="shared" si="28"/>
        <v/>
      </c>
      <c r="P199" s="50"/>
      <c r="Q199" s="48"/>
      <c r="R199" s="48"/>
      <c r="S199" s="36">
        <f t="shared" si="41"/>
        <v>0</v>
      </c>
      <c r="T199" s="34">
        <f t="shared" si="35"/>
        <v>0</v>
      </c>
      <c r="U199" s="32">
        <f t="shared" si="36"/>
        <v>0</v>
      </c>
      <c r="V199" s="43"/>
      <c r="W199" s="32">
        <f t="shared" si="29"/>
        <v>0</v>
      </c>
      <c r="X199" s="34">
        <f t="shared" si="30"/>
        <v>0</v>
      </c>
      <c r="Y199" s="30">
        <f t="shared" si="31"/>
        <v>0</v>
      </c>
      <c r="Z199" s="34">
        <f t="shared" si="32"/>
        <v>0</v>
      </c>
      <c r="AA199" s="41">
        <f t="shared" si="33"/>
        <v>0</v>
      </c>
      <c r="AB199" s="31">
        <f t="shared" si="34"/>
        <v>0</v>
      </c>
    </row>
    <row r="200" spans="3:28" x14ac:dyDescent="0.7">
      <c r="C200" s="63" t="str">
        <f t="shared" si="37"/>
        <v/>
      </c>
      <c r="D200" s="16"/>
      <c r="E200" s="3"/>
      <c r="F200" s="57"/>
      <c r="G200" s="15" t="str">
        <f t="shared" si="38"/>
        <v/>
      </c>
      <c r="H200" s="65" t="str">
        <f t="shared" si="39"/>
        <v/>
      </c>
      <c r="I200" s="65" t="str">
        <f t="shared" si="40"/>
        <v/>
      </c>
      <c r="O200" s="32" t="str">
        <f t="shared" ref="O200:O263" si="42">IF(P200="","",ROW()-ROW($O$6))</f>
        <v/>
      </c>
      <c r="P200" s="50"/>
      <c r="Q200" s="48"/>
      <c r="R200" s="48"/>
      <c r="S200" s="36">
        <f t="shared" si="41"/>
        <v>0</v>
      </c>
      <c r="T200" s="34">
        <f t="shared" si="35"/>
        <v>0</v>
      </c>
      <c r="U200" s="32">
        <f t="shared" si="36"/>
        <v>0</v>
      </c>
      <c r="V200" s="43"/>
      <c r="W200" s="32">
        <f t="shared" ref="W200:W263" si="43">U200-V200</f>
        <v>0</v>
      </c>
      <c r="X200" s="34">
        <f t="shared" ref="X200:X263" si="44">W200/5440</f>
        <v>0</v>
      </c>
      <c r="Y200" s="30">
        <f t="shared" ref="Y200:Y263" si="45">TRUNC(X200)</f>
        <v>0</v>
      </c>
      <c r="Z200" s="34">
        <f t="shared" ref="Z200:Z263" si="46">(X200-Y200)*20</f>
        <v>0</v>
      </c>
      <c r="AA200" s="41">
        <f t="shared" ref="AA200:AA263" si="47">TRUNC(Z200)</f>
        <v>0</v>
      </c>
      <c r="AB200" s="31">
        <f t="shared" ref="AB200:AB263" si="48">(Z200-AA200)*272</f>
        <v>0</v>
      </c>
    </row>
    <row r="201" spans="3:28" x14ac:dyDescent="0.7">
      <c r="C201" s="63" t="str">
        <f t="shared" si="37"/>
        <v/>
      </c>
      <c r="D201" s="16"/>
      <c r="E201" s="3"/>
      <c r="F201" s="57"/>
      <c r="G201" s="15" t="str">
        <f t="shared" si="38"/>
        <v/>
      </c>
      <c r="H201" s="65" t="str">
        <f t="shared" si="39"/>
        <v/>
      </c>
      <c r="I201" s="65" t="str">
        <f t="shared" si="40"/>
        <v/>
      </c>
      <c r="O201" s="32" t="str">
        <f t="shared" si="42"/>
        <v/>
      </c>
      <c r="P201" s="53"/>
      <c r="Q201" s="48"/>
      <c r="R201" s="48"/>
      <c r="S201" s="36">
        <f t="shared" si="41"/>
        <v>0</v>
      </c>
      <c r="T201" s="34">
        <f t="shared" ref="T201:T264" si="49">(S201*R201)/100</f>
        <v>0</v>
      </c>
      <c r="U201" s="32">
        <f t="shared" ref="U201:U264" si="50">R201-T201</f>
        <v>0</v>
      </c>
      <c r="V201" s="43"/>
      <c r="W201" s="32">
        <f t="shared" si="43"/>
        <v>0</v>
      </c>
      <c r="X201" s="34">
        <f t="shared" si="44"/>
        <v>0</v>
      </c>
      <c r="Y201" s="30">
        <f t="shared" si="45"/>
        <v>0</v>
      </c>
      <c r="Z201" s="34">
        <f t="shared" si="46"/>
        <v>0</v>
      </c>
      <c r="AA201" s="41">
        <f t="shared" si="47"/>
        <v>0</v>
      </c>
      <c r="AB201" s="31">
        <f t="shared" si="48"/>
        <v>0</v>
      </c>
    </row>
    <row r="202" spans="3:28" x14ac:dyDescent="0.7">
      <c r="C202" s="63" t="str">
        <f t="shared" ref="C202:C265" si="51">IF(D202="","",ROW()-ROW($C$8))</f>
        <v/>
      </c>
      <c r="D202" s="16"/>
      <c r="E202" s="3"/>
      <c r="F202" s="57"/>
      <c r="G202" s="15" t="str">
        <f t="shared" ref="G202:G265" si="52">_xlfn.TEXTJOIN("-",1,E202:F202)</f>
        <v/>
      </c>
      <c r="H202" s="65" t="str">
        <f t="shared" ref="H202:H265" si="53">_xlfn.TEXTJOIN("Khasra_",1,C202:D202)</f>
        <v/>
      </c>
      <c r="I202" s="65" t="str">
        <f t="shared" ref="I202:I265" si="54">_xlfn.TEXTJOIN("=",1,H202,G202)</f>
        <v/>
      </c>
      <c r="O202" s="32" t="str">
        <f t="shared" si="42"/>
        <v/>
      </c>
      <c r="P202" s="53"/>
      <c r="Q202" s="48"/>
      <c r="R202" s="48"/>
      <c r="S202" s="36">
        <f t="shared" si="41"/>
        <v>0</v>
      </c>
      <c r="T202" s="34">
        <f t="shared" si="49"/>
        <v>0</v>
      </c>
      <c r="U202" s="32">
        <f t="shared" si="50"/>
        <v>0</v>
      </c>
      <c r="V202" s="43"/>
      <c r="W202" s="32">
        <f t="shared" si="43"/>
        <v>0</v>
      </c>
      <c r="X202" s="34">
        <f t="shared" si="44"/>
        <v>0</v>
      </c>
      <c r="Y202" s="30">
        <f t="shared" si="45"/>
        <v>0</v>
      </c>
      <c r="Z202" s="34">
        <f t="shared" si="46"/>
        <v>0</v>
      </c>
      <c r="AA202" s="41">
        <f t="shared" si="47"/>
        <v>0</v>
      </c>
      <c r="AB202" s="31">
        <f t="shared" si="48"/>
        <v>0</v>
      </c>
    </row>
    <row r="203" spans="3:28" x14ac:dyDescent="0.7">
      <c r="C203" s="63" t="str">
        <f t="shared" si="51"/>
        <v/>
      </c>
      <c r="D203" s="16"/>
      <c r="E203" s="3"/>
      <c r="F203" s="57"/>
      <c r="G203" s="15" t="str">
        <f t="shared" si="52"/>
        <v/>
      </c>
      <c r="H203" s="65" t="str">
        <f t="shared" si="53"/>
        <v/>
      </c>
      <c r="I203" s="65" t="str">
        <f t="shared" si="54"/>
        <v/>
      </c>
      <c r="O203" s="32" t="str">
        <f t="shared" si="42"/>
        <v/>
      </c>
      <c r="P203" s="51"/>
      <c r="Q203" s="48"/>
      <c r="R203" s="48"/>
      <c r="S203" s="36">
        <f t="shared" ref="S203:S266" si="55">S202</f>
        <v>0</v>
      </c>
      <c r="T203" s="34">
        <f t="shared" si="49"/>
        <v>0</v>
      </c>
      <c r="U203" s="32">
        <f t="shared" si="50"/>
        <v>0</v>
      </c>
      <c r="V203" s="43"/>
      <c r="W203" s="32">
        <f t="shared" si="43"/>
        <v>0</v>
      </c>
      <c r="X203" s="34">
        <f t="shared" si="44"/>
        <v>0</v>
      </c>
      <c r="Y203" s="30">
        <f t="shared" si="45"/>
        <v>0</v>
      </c>
      <c r="Z203" s="34">
        <f t="shared" si="46"/>
        <v>0</v>
      </c>
      <c r="AA203" s="41">
        <f t="shared" si="47"/>
        <v>0</v>
      </c>
      <c r="AB203" s="31">
        <f t="shared" si="48"/>
        <v>0</v>
      </c>
    </row>
    <row r="204" spans="3:28" x14ac:dyDescent="0.7">
      <c r="C204" s="63" t="str">
        <f t="shared" si="51"/>
        <v/>
      </c>
      <c r="D204" s="16"/>
      <c r="E204" s="3"/>
      <c r="F204" s="57"/>
      <c r="G204" s="15" t="str">
        <f t="shared" si="52"/>
        <v/>
      </c>
      <c r="H204" s="65" t="str">
        <f t="shared" si="53"/>
        <v/>
      </c>
      <c r="I204" s="65" t="str">
        <f t="shared" si="54"/>
        <v/>
      </c>
      <c r="O204" s="32" t="str">
        <f t="shared" si="42"/>
        <v/>
      </c>
      <c r="Q204" s="48"/>
      <c r="R204" s="48"/>
      <c r="S204" s="36">
        <f t="shared" si="55"/>
        <v>0</v>
      </c>
      <c r="T204" s="34">
        <f t="shared" si="49"/>
        <v>0</v>
      </c>
      <c r="U204" s="32">
        <f t="shared" si="50"/>
        <v>0</v>
      </c>
      <c r="V204" s="43"/>
      <c r="W204" s="32">
        <f t="shared" si="43"/>
        <v>0</v>
      </c>
      <c r="X204" s="34">
        <f t="shared" si="44"/>
        <v>0</v>
      </c>
      <c r="Y204" s="30">
        <f t="shared" si="45"/>
        <v>0</v>
      </c>
      <c r="Z204" s="34">
        <f t="shared" si="46"/>
        <v>0</v>
      </c>
      <c r="AA204" s="41">
        <f t="shared" si="47"/>
        <v>0</v>
      </c>
      <c r="AB204" s="31">
        <f t="shared" si="48"/>
        <v>0</v>
      </c>
    </row>
    <row r="205" spans="3:28" x14ac:dyDescent="0.7">
      <c r="C205" s="63" t="str">
        <f t="shared" si="51"/>
        <v/>
      </c>
      <c r="D205" s="16"/>
      <c r="E205" s="3"/>
      <c r="F205" s="57"/>
      <c r="G205" s="15" t="str">
        <f t="shared" si="52"/>
        <v/>
      </c>
      <c r="H205" s="65" t="str">
        <f t="shared" si="53"/>
        <v/>
      </c>
      <c r="I205" s="65" t="str">
        <f t="shared" si="54"/>
        <v/>
      </c>
      <c r="O205" s="32" t="str">
        <f t="shared" si="42"/>
        <v/>
      </c>
      <c r="P205" s="50"/>
      <c r="Q205" s="48"/>
      <c r="R205" s="48"/>
      <c r="S205" s="36">
        <f t="shared" si="55"/>
        <v>0</v>
      </c>
      <c r="T205" s="34">
        <f t="shared" si="49"/>
        <v>0</v>
      </c>
      <c r="U205" s="32">
        <f t="shared" si="50"/>
        <v>0</v>
      </c>
      <c r="V205" s="43"/>
      <c r="W205" s="32">
        <f t="shared" si="43"/>
        <v>0</v>
      </c>
      <c r="X205" s="34">
        <f t="shared" si="44"/>
        <v>0</v>
      </c>
      <c r="Y205" s="30">
        <f t="shared" si="45"/>
        <v>0</v>
      </c>
      <c r="Z205" s="34">
        <f t="shared" si="46"/>
        <v>0</v>
      </c>
      <c r="AA205" s="41">
        <f t="shared" si="47"/>
        <v>0</v>
      </c>
      <c r="AB205" s="31">
        <f t="shared" si="48"/>
        <v>0</v>
      </c>
    </row>
    <row r="206" spans="3:28" x14ac:dyDescent="0.7">
      <c r="C206" s="63" t="str">
        <f t="shared" si="51"/>
        <v/>
      </c>
      <c r="D206" s="16"/>
      <c r="E206" s="3"/>
      <c r="F206" s="57"/>
      <c r="G206" s="15" t="str">
        <f t="shared" si="52"/>
        <v/>
      </c>
      <c r="H206" s="65" t="str">
        <f t="shared" si="53"/>
        <v/>
      </c>
      <c r="I206" s="65" t="str">
        <f t="shared" si="54"/>
        <v/>
      </c>
      <c r="O206" s="32" t="str">
        <f t="shared" si="42"/>
        <v/>
      </c>
      <c r="P206" s="50"/>
      <c r="Q206" s="48"/>
      <c r="R206" s="48"/>
      <c r="S206" s="36">
        <f t="shared" si="55"/>
        <v>0</v>
      </c>
      <c r="T206" s="34">
        <f t="shared" si="49"/>
        <v>0</v>
      </c>
      <c r="U206" s="32">
        <f t="shared" si="50"/>
        <v>0</v>
      </c>
      <c r="V206" s="43"/>
      <c r="W206" s="32">
        <f t="shared" si="43"/>
        <v>0</v>
      </c>
      <c r="X206" s="34">
        <f t="shared" si="44"/>
        <v>0</v>
      </c>
      <c r="Y206" s="30">
        <f t="shared" si="45"/>
        <v>0</v>
      </c>
      <c r="Z206" s="34">
        <f t="shared" si="46"/>
        <v>0</v>
      </c>
      <c r="AA206" s="41">
        <f t="shared" si="47"/>
        <v>0</v>
      </c>
      <c r="AB206" s="31">
        <f t="shared" si="48"/>
        <v>0</v>
      </c>
    </row>
    <row r="207" spans="3:28" x14ac:dyDescent="0.7">
      <c r="C207" s="63" t="str">
        <f t="shared" si="51"/>
        <v/>
      </c>
      <c r="D207" s="16"/>
      <c r="E207" s="3"/>
      <c r="F207" s="57"/>
      <c r="G207" s="15" t="str">
        <f t="shared" si="52"/>
        <v/>
      </c>
      <c r="H207" s="65" t="str">
        <f t="shared" si="53"/>
        <v/>
      </c>
      <c r="I207" s="65" t="str">
        <f t="shared" si="54"/>
        <v/>
      </c>
      <c r="O207" s="32" t="str">
        <f t="shared" si="42"/>
        <v/>
      </c>
      <c r="P207" s="50"/>
      <c r="Q207" s="48"/>
      <c r="R207" s="48"/>
      <c r="S207" s="36">
        <f t="shared" si="55"/>
        <v>0</v>
      </c>
      <c r="T207" s="34">
        <f t="shared" si="49"/>
        <v>0</v>
      </c>
      <c r="U207" s="32">
        <f t="shared" si="50"/>
        <v>0</v>
      </c>
      <c r="V207" s="43"/>
      <c r="W207" s="32">
        <f t="shared" si="43"/>
        <v>0</v>
      </c>
      <c r="X207" s="34">
        <f t="shared" si="44"/>
        <v>0</v>
      </c>
      <c r="Y207" s="30">
        <f t="shared" si="45"/>
        <v>0</v>
      </c>
      <c r="Z207" s="34">
        <f t="shared" si="46"/>
        <v>0</v>
      </c>
      <c r="AA207" s="41">
        <f t="shared" si="47"/>
        <v>0</v>
      </c>
      <c r="AB207" s="31">
        <f t="shared" si="48"/>
        <v>0</v>
      </c>
    </row>
    <row r="208" spans="3:28" x14ac:dyDescent="0.7">
      <c r="C208" s="63" t="str">
        <f t="shared" si="51"/>
        <v/>
      </c>
      <c r="D208" s="16"/>
      <c r="E208" s="3"/>
      <c r="F208" s="57"/>
      <c r="G208" s="15" t="str">
        <f t="shared" si="52"/>
        <v/>
      </c>
      <c r="H208" s="65" t="str">
        <f t="shared" si="53"/>
        <v/>
      </c>
      <c r="I208" s="65" t="str">
        <f t="shared" si="54"/>
        <v/>
      </c>
      <c r="O208" s="32" t="str">
        <f t="shared" si="42"/>
        <v/>
      </c>
      <c r="P208" s="51"/>
      <c r="Q208" s="48"/>
      <c r="R208" s="48"/>
      <c r="S208" s="36">
        <f t="shared" si="55"/>
        <v>0</v>
      </c>
      <c r="T208" s="34">
        <f t="shared" si="49"/>
        <v>0</v>
      </c>
      <c r="U208" s="32">
        <f t="shared" si="50"/>
        <v>0</v>
      </c>
      <c r="V208" s="43"/>
      <c r="W208" s="32">
        <f t="shared" si="43"/>
        <v>0</v>
      </c>
      <c r="X208" s="34">
        <f t="shared" si="44"/>
        <v>0</v>
      </c>
      <c r="Y208" s="30">
        <f t="shared" si="45"/>
        <v>0</v>
      </c>
      <c r="Z208" s="34">
        <f t="shared" si="46"/>
        <v>0</v>
      </c>
      <c r="AA208" s="41">
        <f t="shared" si="47"/>
        <v>0</v>
      </c>
      <c r="AB208" s="31">
        <f t="shared" si="48"/>
        <v>0</v>
      </c>
    </row>
    <row r="209" spans="3:28" x14ac:dyDescent="0.7">
      <c r="C209" s="63" t="str">
        <f t="shared" si="51"/>
        <v/>
      </c>
      <c r="D209" s="16"/>
      <c r="E209" s="3"/>
      <c r="F209" s="57"/>
      <c r="G209" s="15" t="str">
        <f t="shared" si="52"/>
        <v/>
      </c>
      <c r="H209" s="65" t="str">
        <f t="shared" si="53"/>
        <v/>
      </c>
      <c r="I209" s="65" t="str">
        <f t="shared" si="54"/>
        <v/>
      </c>
      <c r="O209" s="32" t="str">
        <f t="shared" si="42"/>
        <v/>
      </c>
      <c r="P209" s="50"/>
      <c r="Q209" s="48"/>
      <c r="R209" s="48"/>
      <c r="S209" s="36">
        <f t="shared" si="55"/>
        <v>0</v>
      </c>
      <c r="T209" s="34">
        <f t="shared" si="49"/>
        <v>0</v>
      </c>
      <c r="U209" s="32">
        <f t="shared" si="50"/>
        <v>0</v>
      </c>
      <c r="V209" s="43"/>
      <c r="W209" s="32">
        <f t="shared" si="43"/>
        <v>0</v>
      </c>
      <c r="X209" s="34">
        <f t="shared" si="44"/>
        <v>0</v>
      </c>
      <c r="Y209" s="30">
        <f t="shared" si="45"/>
        <v>0</v>
      </c>
      <c r="Z209" s="34">
        <f t="shared" si="46"/>
        <v>0</v>
      </c>
      <c r="AA209" s="41">
        <f t="shared" si="47"/>
        <v>0</v>
      </c>
      <c r="AB209" s="31">
        <f t="shared" si="48"/>
        <v>0</v>
      </c>
    </row>
    <row r="210" spans="3:28" x14ac:dyDescent="0.7">
      <c r="C210" s="63" t="str">
        <f t="shared" si="51"/>
        <v/>
      </c>
      <c r="D210" s="16"/>
      <c r="E210" s="3"/>
      <c r="F210" s="57"/>
      <c r="G210" s="15" t="str">
        <f t="shared" si="52"/>
        <v/>
      </c>
      <c r="H210" s="65" t="str">
        <f t="shared" si="53"/>
        <v/>
      </c>
      <c r="I210" s="65" t="str">
        <f t="shared" si="54"/>
        <v/>
      </c>
      <c r="O210" s="32" t="str">
        <f t="shared" si="42"/>
        <v/>
      </c>
      <c r="P210" s="50"/>
      <c r="Q210" s="48"/>
      <c r="R210" s="48"/>
      <c r="S210" s="36">
        <f t="shared" si="55"/>
        <v>0</v>
      </c>
      <c r="T210" s="34">
        <f t="shared" si="49"/>
        <v>0</v>
      </c>
      <c r="U210" s="32">
        <f t="shared" si="50"/>
        <v>0</v>
      </c>
      <c r="V210" s="43"/>
      <c r="W210" s="32">
        <f t="shared" si="43"/>
        <v>0</v>
      </c>
      <c r="X210" s="34">
        <f t="shared" si="44"/>
        <v>0</v>
      </c>
      <c r="Y210" s="30">
        <f t="shared" si="45"/>
        <v>0</v>
      </c>
      <c r="Z210" s="34">
        <f t="shared" si="46"/>
        <v>0</v>
      </c>
      <c r="AA210" s="41">
        <f t="shared" si="47"/>
        <v>0</v>
      </c>
      <c r="AB210" s="31">
        <f t="shared" si="48"/>
        <v>0</v>
      </c>
    </row>
    <row r="211" spans="3:28" x14ac:dyDescent="0.7">
      <c r="C211" s="63" t="str">
        <f t="shared" si="51"/>
        <v/>
      </c>
      <c r="D211" s="16"/>
      <c r="E211" s="3"/>
      <c r="F211" s="57"/>
      <c r="G211" s="15" t="str">
        <f t="shared" si="52"/>
        <v/>
      </c>
      <c r="H211" s="65" t="str">
        <f t="shared" si="53"/>
        <v/>
      </c>
      <c r="I211" s="65" t="str">
        <f t="shared" si="54"/>
        <v/>
      </c>
      <c r="O211" s="32" t="str">
        <f t="shared" si="42"/>
        <v/>
      </c>
      <c r="P211" s="53"/>
      <c r="Q211" s="48"/>
      <c r="R211" s="48"/>
      <c r="S211" s="36">
        <f t="shared" si="55"/>
        <v>0</v>
      </c>
      <c r="T211" s="34">
        <f t="shared" si="49"/>
        <v>0</v>
      </c>
      <c r="U211" s="32">
        <f t="shared" si="50"/>
        <v>0</v>
      </c>
      <c r="V211" s="43"/>
      <c r="W211" s="32">
        <f t="shared" si="43"/>
        <v>0</v>
      </c>
      <c r="X211" s="34">
        <f t="shared" si="44"/>
        <v>0</v>
      </c>
      <c r="Y211" s="30">
        <f t="shared" si="45"/>
        <v>0</v>
      </c>
      <c r="Z211" s="34">
        <f t="shared" si="46"/>
        <v>0</v>
      </c>
      <c r="AA211" s="41">
        <f t="shared" si="47"/>
        <v>0</v>
      </c>
      <c r="AB211" s="31">
        <f t="shared" si="48"/>
        <v>0</v>
      </c>
    </row>
    <row r="212" spans="3:28" x14ac:dyDescent="0.7">
      <c r="C212" s="63" t="str">
        <f t="shared" si="51"/>
        <v/>
      </c>
      <c r="D212" s="16"/>
      <c r="E212" s="3"/>
      <c r="F212" s="57"/>
      <c r="G212" s="15" t="str">
        <f t="shared" si="52"/>
        <v/>
      </c>
      <c r="H212" s="65" t="str">
        <f t="shared" si="53"/>
        <v/>
      </c>
      <c r="I212" s="65" t="str">
        <f t="shared" si="54"/>
        <v/>
      </c>
      <c r="O212" s="32" t="str">
        <f t="shared" si="42"/>
        <v/>
      </c>
      <c r="P212" s="50"/>
      <c r="Q212" s="48"/>
      <c r="R212" s="48"/>
      <c r="S212" s="36">
        <f t="shared" si="55"/>
        <v>0</v>
      </c>
      <c r="T212" s="34">
        <f t="shared" si="49"/>
        <v>0</v>
      </c>
      <c r="U212" s="32">
        <f t="shared" si="50"/>
        <v>0</v>
      </c>
      <c r="V212" s="43"/>
      <c r="W212" s="32">
        <f t="shared" si="43"/>
        <v>0</v>
      </c>
      <c r="X212" s="34">
        <f t="shared" si="44"/>
        <v>0</v>
      </c>
      <c r="Y212" s="30">
        <f t="shared" si="45"/>
        <v>0</v>
      </c>
      <c r="Z212" s="34">
        <f t="shared" si="46"/>
        <v>0</v>
      </c>
      <c r="AA212" s="41">
        <f t="shared" si="47"/>
        <v>0</v>
      </c>
      <c r="AB212" s="31">
        <f t="shared" si="48"/>
        <v>0</v>
      </c>
    </row>
    <row r="213" spans="3:28" x14ac:dyDescent="0.7">
      <c r="C213" s="63" t="str">
        <f t="shared" si="51"/>
        <v/>
      </c>
      <c r="D213" s="16"/>
      <c r="E213" s="3"/>
      <c r="F213" s="57"/>
      <c r="G213" s="15" t="str">
        <f t="shared" si="52"/>
        <v/>
      </c>
      <c r="H213" s="65" t="str">
        <f t="shared" si="53"/>
        <v/>
      </c>
      <c r="I213" s="65" t="str">
        <f t="shared" si="54"/>
        <v/>
      </c>
      <c r="O213" s="32" t="str">
        <f t="shared" si="42"/>
        <v/>
      </c>
      <c r="Q213" s="48"/>
      <c r="R213" s="48"/>
      <c r="S213" s="36">
        <f t="shared" si="55"/>
        <v>0</v>
      </c>
      <c r="T213" s="34">
        <f t="shared" si="49"/>
        <v>0</v>
      </c>
      <c r="U213" s="32">
        <f t="shared" si="50"/>
        <v>0</v>
      </c>
      <c r="V213" s="43"/>
      <c r="W213" s="32">
        <f t="shared" si="43"/>
        <v>0</v>
      </c>
      <c r="X213" s="34">
        <f t="shared" si="44"/>
        <v>0</v>
      </c>
      <c r="Y213" s="30">
        <f t="shared" si="45"/>
        <v>0</v>
      </c>
      <c r="Z213" s="34">
        <f t="shared" si="46"/>
        <v>0</v>
      </c>
      <c r="AA213" s="41">
        <f t="shared" si="47"/>
        <v>0</v>
      </c>
      <c r="AB213" s="31">
        <f t="shared" si="48"/>
        <v>0</v>
      </c>
    </row>
    <row r="214" spans="3:28" x14ac:dyDescent="0.7">
      <c r="C214" s="63" t="str">
        <f t="shared" si="51"/>
        <v/>
      </c>
      <c r="D214" s="16"/>
      <c r="E214" s="3"/>
      <c r="F214" s="57"/>
      <c r="G214" s="15" t="str">
        <f t="shared" si="52"/>
        <v/>
      </c>
      <c r="H214" s="65" t="str">
        <f t="shared" si="53"/>
        <v/>
      </c>
      <c r="I214" s="65" t="str">
        <f t="shared" si="54"/>
        <v/>
      </c>
      <c r="O214" s="32" t="str">
        <f t="shared" si="42"/>
        <v/>
      </c>
      <c r="P214" s="50"/>
      <c r="Q214" s="48"/>
      <c r="R214" s="48"/>
      <c r="S214" s="36">
        <f t="shared" si="55"/>
        <v>0</v>
      </c>
      <c r="T214" s="34">
        <f t="shared" si="49"/>
        <v>0</v>
      </c>
      <c r="U214" s="32">
        <f t="shared" si="50"/>
        <v>0</v>
      </c>
      <c r="V214" s="43"/>
      <c r="W214" s="32">
        <f t="shared" si="43"/>
        <v>0</v>
      </c>
      <c r="X214" s="34">
        <f t="shared" si="44"/>
        <v>0</v>
      </c>
      <c r="Y214" s="30">
        <f t="shared" si="45"/>
        <v>0</v>
      </c>
      <c r="Z214" s="34">
        <f t="shared" si="46"/>
        <v>0</v>
      </c>
      <c r="AA214" s="41">
        <f t="shared" si="47"/>
        <v>0</v>
      </c>
      <c r="AB214" s="31">
        <f t="shared" si="48"/>
        <v>0</v>
      </c>
    </row>
    <row r="215" spans="3:28" x14ac:dyDescent="0.7">
      <c r="C215" s="63" t="str">
        <f t="shared" si="51"/>
        <v/>
      </c>
      <c r="D215" s="16"/>
      <c r="E215" s="3"/>
      <c r="F215" s="57"/>
      <c r="G215" s="15" t="str">
        <f t="shared" si="52"/>
        <v/>
      </c>
      <c r="H215" s="65" t="str">
        <f t="shared" si="53"/>
        <v/>
      </c>
      <c r="I215" s="65" t="str">
        <f t="shared" si="54"/>
        <v/>
      </c>
      <c r="O215" s="32" t="str">
        <f t="shared" si="42"/>
        <v/>
      </c>
      <c r="P215" s="50"/>
      <c r="Q215" s="48"/>
      <c r="R215" s="48"/>
      <c r="S215" s="36">
        <f t="shared" si="55"/>
        <v>0</v>
      </c>
      <c r="T215" s="34">
        <f t="shared" si="49"/>
        <v>0</v>
      </c>
      <c r="U215" s="32">
        <f t="shared" si="50"/>
        <v>0</v>
      </c>
      <c r="V215" s="43"/>
      <c r="W215" s="32">
        <f t="shared" si="43"/>
        <v>0</v>
      </c>
      <c r="X215" s="34">
        <f t="shared" si="44"/>
        <v>0</v>
      </c>
      <c r="Y215" s="30">
        <f t="shared" si="45"/>
        <v>0</v>
      </c>
      <c r="Z215" s="34">
        <f t="shared" si="46"/>
        <v>0</v>
      </c>
      <c r="AA215" s="41">
        <f t="shared" si="47"/>
        <v>0</v>
      </c>
      <c r="AB215" s="31">
        <f t="shared" si="48"/>
        <v>0</v>
      </c>
    </row>
    <row r="216" spans="3:28" x14ac:dyDescent="0.7">
      <c r="C216" s="63" t="str">
        <f t="shared" si="51"/>
        <v/>
      </c>
      <c r="D216" s="16"/>
      <c r="E216" s="3"/>
      <c r="F216" s="57"/>
      <c r="G216" s="15" t="str">
        <f t="shared" si="52"/>
        <v/>
      </c>
      <c r="H216" s="65" t="str">
        <f t="shared" si="53"/>
        <v/>
      </c>
      <c r="I216" s="65" t="str">
        <f t="shared" si="54"/>
        <v/>
      </c>
      <c r="O216" s="32" t="str">
        <f t="shared" si="42"/>
        <v/>
      </c>
      <c r="P216" s="53"/>
      <c r="Q216" s="48"/>
      <c r="R216" s="48"/>
      <c r="S216" s="36">
        <f t="shared" si="55"/>
        <v>0</v>
      </c>
      <c r="T216" s="34">
        <f t="shared" si="49"/>
        <v>0</v>
      </c>
      <c r="U216" s="32">
        <f t="shared" si="50"/>
        <v>0</v>
      </c>
      <c r="V216" s="43"/>
      <c r="W216" s="32">
        <f t="shared" si="43"/>
        <v>0</v>
      </c>
      <c r="X216" s="34">
        <f t="shared" si="44"/>
        <v>0</v>
      </c>
      <c r="Y216" s="30">
        <f t="shared" si="45"/>
        <v>0</v>
      </c>
      <c r="Z216" s="34">
        <f t="shared" si="46"/>
        <v>0</v>
      </c>
      <c r="AA216" s="41">
        <f t="shared" si="47"/>
        <v>0</v>
      </c>
      <c r="AB216" s="31">
        <f t="shared" si="48"/>
        <v>0</v>
      </c>
    </row>
    <row r="217" spans="3:28" x14ac:dyDescent="0.7">
      <c r="C217" s="63" t="str">
        <f t="shared" si="51"/>
        <v/>
      </c>
      <c r="D217" s="16"/>
      <c r="E217" s="3"/>
      <c r="F217" s="57"/>
      <c r="G217" s="15" t="str">
        <f t="shared" si="52"/>
        <v/>
      </c>
      <c r="H217" s="65" t="str">
        <f t="shared" si="53"/>
        <v/>
      </c>
      <c r="I217" s="65" t="str">
        <f t="shared" si="54"/>
        <v/>
      </c>
      <c r="O217" s="32" t="str">
        <f t="shared" si="42"/>
        <v/>
      </c>
      <c r="P217" s="50"/>
      <c r="Q217" s="48"/>
      <c r="R217" s="48"/>
      <c r="S217" s="36">
        <f t="shared" si="55"/>
        <v>0</v>
      </c>
      <c r="T217" s="34">
        <f t="shared" si="49"/>
        <v>0</v>
      </c>
      <c r="U217" s="32">
        <f t="shared" si="50"/>
        <v>0</v>
      </c>
      <c r="V217" s="43"/>
      <c r="W217" s="32">
        <f t="shared" si="43"/>
        <v>0</v>
      </c>
      <c r="X217" s="34">
        <f t="shared" si="44"/>
        <v>0</v>
      </c>
      <c r="Y217" s="30">
        <f t="shared" si="45"/>
        <v>0</v>
      </c>
      <c r="Z217" s="34">
        <f t="shared" si="46"/>
        <v>0</v>
      </c>
      <c r="AA217" s="41">
        <f t="shared" si="47"/>
        <v>0</v>
      </c>
      <c r="AB217" s="31">
        <f t="shared" si="48"/>
        <v>0</v>
      </c>
    </row>
    <row r="218" spans="3:28" x14ac:dyDescent="0.7">
      <c r="C218" s="63" t="str">
        <f t="shared" si="51"/>
        <v/>
      </c>
      <c r="D218" s="16"/>
      <c r="E218" s="3"/>
      <c r="F218" s="57"/>
      <c r="G218" s="15" t="str">
        <f t="shared" si="52"/>
        <v/>
      </c>
      <c r="H218" s="65" t="str">
        <f t="shared" si="53"/>
        <v/>
      </c>
      <c r="I218" s="65" t="str">
        <f t="shared" si="54"/>
        <v/>
      </c>
      <c r="O218" s="32" t="str">
        <f t="shared" si="42"/>
        <v/>
      </c>
      <c r="P218" s="52"/>
      <c r="Q218" s="48"/>
      <c r="R218" s="48"/>
      <c r="S218" s="36">
        <f t="shared" si="55"/>
        <v>0</v>
      </c>
      <c r="T218" s="34">
        <f t="shared" si="49"/>
        <v>0</v>
      </c>
      <c r="U218" s="32">
        <f t="shared" si="50"/>
        <v>0</v>
      </c>
      <c r="V218" s="43"/>
      <c r="W218" s="32">
        <f t="shared" si="43"/>
        <v>0</v>
      </c>
      <c r="X218" s="34">
        <f t="shared" si="44"/>
        <v>0</v>
      </c>
      <c r="Y218" s="30">
        <f t="shared" si="45"/>
        <v>0</v>
      </c>
      <c r="Z218" s="34">
        <f t="shared" si="46"/>
        <v>0</v>
      </c>
      <c r="AA218" s="41">
        <f t="shared" si="47"/>
        <v>0</v>
      </c>
      <c r="AB218" s="31">
        <f t="shared" si="48"/>
        <v>0</v>
      </c>
    </row>
    <row r="219" spans="3:28" x14ac:dyDescent="0.7">
      <c r="C219" s="63" t="str">
        <f t="shared" si="51"/>
        <v/>
      </c>
      <c r="D219" s="16"/>
      <c r="E219" s="3"/>
      <c r="F219" s="57"/>
      <c r="G219" s="15" t="str">
        <f t="shared" si="52"/>
        <v/>
      </c>
      <c r="H219" s="65" t="str">
        <f t="shared" si="53"/>
        <v/>
      </c>
      <c r="I219" s="65" t="str">
        <f t="shared" si="54"/>
        <v/>
      </c>
      <c r="O219" s="32" t="str">
        <f t="shared" si="42"/>
        <v/>
      </c>
      <c r="P219" s="50"/>
      <c r="Q219" s="48"/>
      <c r="R219" s="48"/>
      <c r="S219" s="36">
        <f t="shared" si="55"/>
        <v>0</v>
      </c>
      <c r="T219" s="34">
        <f t="shared" si="49"/>
        <v>0</v>
      </c>
      <c r="U219" s="32">
        <f t="shared" si="50"/>
        <v>0</v>
      </c>
      <c r="V219" s="43"/>
      <c r="W219" s="32">
        <f t="shared" si="43"/>
        <v>0</v>
      </c>
      <c r="X219" s="34">
        <f t="shared" si="44"/>
        <v>0</v>
      </c>
      <c r="Y219" s="30">
        <f t="shared" si="45"/>
        <v>0</v>
      </c>
      <c r="Z219" s="34">
        <f t="shared" si="46"/>
        <v>0</v>
      </c>
      <c r="AA219" s="41">
        <f t="shared" si="47"/>
        <v>0</v>
      </c>
      <c r="AB219" s="31">
        <f t="shared" si="48"/>
        <v>0</v>
      </c>
    </row>
    <row r="220" spans="3:28" x14ac:dyDescent="0.7">
      <c r="C220" s="63" t="str">
        <f t="shared" si="51"/>
        <v/>
      </c>
      <c r="D220" s="16"/>
      <c r="E220" s="3"/>
      <c r="F220" s="57"/>
      <c r="G220" s="15" t="str">
        <f t="shared" si="52"/>
        <v/>
      </c>
      <c r="H220" s="65" t="str">
        <f t="shared" si="53"/>
        <v/>
      </c>
      <c r="I220" s="65" t="str">
        <f t="shared" si="54"/>
        <v/>
      </c>
      <c r="O220" s="32" t="str">
        <f t="shared" si="42"/>
        <v/>
      </c>
      <c r="P220" s="50"/>
      <c r="Q220" s="48"/>
      <c r="R220" s="48"/>
      <c r="S220" s="36">
        <f t="shared" si="55"/>
        <v>0</v>
      </c>
      <c r="T220" s="34">
        <f t="shared" si="49"/>
        <v>0</v>
      </c>
      <c r="U220" s="32">
        <f t="shared" si="50"/>
        <v>0</v>
      </c>
      <c r="V220" s="43"/>
      <c r="W220" s="32">
        <f t="shared" si="43"/>
        <v>0</v>
      </c>
      <c r="X220" s="34">
        <f t="shared" si="44"/>
        <v>0</v>
      </c>
      <c r="Y220" s="30">
        <f t="shared" si="45"/>
        <v>0</v>
      </c>
      <c r="Z220" s="34">
        <f t="shared" si="46"/>
        <v>0</v>
      </c>
      <c r="AA220" s="41">
        <f t="shared" si="47"/>
        <v>0</v>
      </c>
      <c r="AB220" s="31">
        <f t="shared" si="48"/>
        <v>0</v>
      </c>
    </row>
    <row r="221" spans="3:28" x14ac:dyDescent="0.7">
      <c r="C221" s="63" t="str">
        <f t="shared" si="51"/>
        <v/>
      </c>
      <c r="D221" s="16"/>
      <c r="E221" s="3"/>
      <c r="F221" s="57"/>
      <c r="G221" s="15" t="str">
        <f t="shared" si="52"/>
        <v/>
      </c>
      <c r="H221" s="65" t="str">
        <f t="shared" si="53"/>
        <v/>
      </c>
      <c r="I221" s="65" t="str">
        <f t="shared" si="54"/>
        <v/>
      </c>
      <c r="O221" s="32" t="str">
        <f t="shared" si="42"/>
        <v/>
      </c>
      <c r="P221" s="50"/>
      <c r="Q221" s="48"/>
      <c r="R221" s="48"/>
      <c r="S221" s="36">
        <f t="shared" si="55"/>
        <v>0</v>
      </c>
      <c r="T221" s="34">
        <f t="shared" si="49"/>
        <v>0</v>
      </c>
      <c r="U221" s="32">
        <f t="shared" si="50"/>
        <v>0</v>
      </c>
      <c r="V221" s="43"/>
      <c r="W221" s="32">
        <f t="shared" si="43"/>
        <v>0</v>
      </c>
      <c r="X221" s="34">
        <f t="shared" si="44"/>
        <v>0</v>
      </c>
      <c r="Y221" s="30">
        <f t="shared" si="45"/>
        <v>0</v>
      </c>
      <c r="Z221" s="34">
        <f t="shared" si="46"/>
        <v>0</v>
      </c>
      <c r="AA221" s="41">
        <f t="shared" si="47"/>
        <v>0</v>
      </c>
      <c r="AB221" s="31">
        <f t="shared" si="48"/>
        <v>0</v>
      </c>
    </row>
    <row r="222" spans="3:28" x14ac:dyDescent="0.7">
      <c r="C222" s="63" t="str">
        <f t="shared" si="51"/>
        <v/>
      </c>
      <c r="D222" s="16"/>
      <c r="E222" s="3"/>
      <c r="F222" s="57"/>
      <c r="G222" s="15" t="str">
        <f t="shared" si="52"/>
        <v/>
      </c>
      <c r="H222" s="65" t="str">
        <f t="shared" si="53"/>
        <v/>
      </c>
      <c r="I222" s="65" t="str">
        <f t="shared" si="54"/>
        <v/>
      </c>
      <c r="O222" s="32" t="str">
        <f t="shared" si="42"/>
        <v/>
      </c>
      <c r="P222" s="50"/>
      <c r="Q222" s="48"/>
      <c r="R222" s="48"/>
      <c r="S222" s="36">
        <f t="shared" si="55"/>
        <v>0</v>
      </c>
      <c r="T222" s="34">
        <f t="shared" si="49"/>
        <v>0</v>
      </c>
      <c r="U222" s="32">
        <f t="shared" si="50"/>
        <v>0</v>
      </c>
      <c r="V222" s="43"/>
      <c r="W222" s="32">
        <f t="shared" si="43"/>
        <v>0</v>
      </c>
      <c r="X222" s="34">
        <f t="shared" si="44"/>
        <v>0</v>
      </c>
      <c r="Y222" s="30">
        <f t="shared" si="45"/>
        <v>0</v>
      </c>
      <c r="Z222" s="34">
        <f t="shared" si="46"/>
        <v>0</v>
      </c>
      <c r="AA222" s="41">
        <f t="shared" si="47"/>
        <v>0</v>
      </c>
      <c r="AB222" s="31">
        <f t="shared" si="48"/>
        <v>0</v>
      </c>
    </row>
    <row r="223" spans="3:28" x14ac:dyDescent="0.7">
      <c r="C223" s="63" t="str">
        <f t="shared" si="51"/>
        <v/>
      </c>
      <c r="D223" s="16"/>
      <c r="E223" s="3"/>
      <c r="F223" s="57"/>
      <c r="G223" s="15" t="str">
        <f t="shared" si="52"/>
        <v/>
      </c>
      <c r="H223" s="65" t="str">
        <f t="shared" si="53"/>
        <v/>
      </c>
      <c r="I223" s="65" t="str">
        <f t="shared" si="54"/>
        <v/>
      </c>
      <c r="O223" s="32" t="str">
        <f t="shared" si="42"/>
        <v/>
      </c>
      <c r="Q223" s="48"/>
      <c r="R223" s="48"/>
      <c r="S223" s="36">
        <f t="shared" si="55"/>
        <v>0</v>
      </c>
      <c r="T223" s="34">
        <f t="shared" si="49"/>
        <v>0</v>
      </c>
      <c r="U223" s="32">
        <f t="shared" si="50"/>
        <v>0</v>
      </c>
      <c r="V223" s="43"/>
      <c r="W223" s="32">
        <f t="shared" si="43"/>
        <v>0</v>
      </c>
      <c r="X223" s="34">
        <f t="shared" si="44"/>
        <v>0</v>
      </c>
      <c r="Y223" s="30">
        <f t="shared" si="45"/>
        <v>0</v>
      </c>
      <c r="Z223" s="34">
        <f t="shared" si="46"/>
        <v>0</v>
      </c>
      <c r="AA223" s="41">
        <f t="shared" si="47"/>
        <v>0</v>
      </c>
      <c r="AB223" s="31">
        <f t="shared" si="48"/>
        <v>0</v>
      </c>
    </row>
    <row r="224" spans="3:28" x14ac:dyDescent="0.7">
      <c r="C224" s="63" t="str">
        <f t="shared" si="51"/>
        <v/>
      </c>
      <c r="D224" s="16"/>
      <c r="E224" s="3"/>
      <c r="F224" s="57"/>
      <c r="G224" s="15" t="str">
        <f t="shared" si="52"/>
        <v/>
      </c>
      <c r="H224" s="65" t="str">
        <f t="shared" si="53"/>
        <v/>
      </c>
      <c r="I224" s="65" t="str">
        <f t="shared" si="54"/>
        <v/>
      </c>
      <c r="O224" s="32" t="str">
        <f t="shared" si="42"/>
        <v/>
      </c>
      <c r="P224" s="53"/>
      <c r="Q224" s="48"/>
      <c r="R224" s="48"/>
      <c r="S224" s="36">
        <f t="shared" si="55"/>
        <v>0</v>
      </c>
      <c r="T224" s="34">
        <f t="shared" si="49"/>
        <v>0</v>
      </c>
      <c r="U224" s="32">
        <f t="shared" si="50"/>
        <v>0</v>
      </c>
      <c r="V224" s="43"/>
      <c r="W224" s="32">
        <f t="shared" si="43"/>
        <v>0</v>
      </c>
      <c r="X224" s="34">
        <f t="shared" si="44"/>
        <v>0</v>
      </c>
      <c r="Y224" s="30">
        <f t="shared" si="45"/>
        <v>0</v>
      </c>
      <c r="Z224" s="34">
        <f t="shared" si="46"/>
        <v>0</v>
      </c>
      <c r="AA224" s="41">
        <f t="shared" si="47"/>
        <v>0</v>
      </c>
      <c r="AB224" s="31">
        <f t="shared" si="48"/>
        <v>0</v>
      </c>
    </row>
    <row r="225" spans="3:28" x14ac:dyDescent="0.7">
      <c r="C225" s="63" t="str">
        <f t="shared" si="51"/>
        <v/>
      </c>
      <c r="D225" s="16"/>
      <c r="E225" s="3"/>
      <c r="F225" s="57"/>
      <c r="G225" s="15" t="str">
        <f t="shared" si="52"/>
        <v/>
      </c>
      <c r="H225" s="65" t="str">
        <f t="shared" si="53"/>
        <v/>
      </c>
      <c r="I225" s="65" t="str">
        <f t="shared" si="54"/>
        <v/>
      </c>
      <c r="O225" s="32" t="str">
        <f t="shared" si="42"/>
        <v/>
      </c>
      <c r="Q225" s="48"/>
      <c r="R225" s="48"/>
      <c r="S225" s="36">
        <f t="shared" si="55"/>
        <v>0</v>
      </c>
      <c r="T225" s="34">
        <f t="shared" si="49"/>
        <v>0</v>
      </c>
      <c r="U225" s="32">
        <f t="shared" si="50"/>
        <v>0</v>
      </c>
      <c r="V225" s="43"/>
      <c r="W225" s="32">
        <f t="shared" si="43"/>
        <v>0</v>
      </c>
      <c r="X225" s="34">
        <f t="shared" si="44"/>
        <v>0</v>
      </c>
      <c r="Y225" s="30">
        <f t="shared" si="45"/>
        <v>0</v>
      </c>
      <c r="Z225" s="34">
        <f t="shared" si="46"/>
        <v>0</v>
      </c>
      <c r="AA225" s="41">
        <f t="shared" si="47"/>
        <v>0</v>
      </c>
      <c r="AB225" s="31">
        <f t="shared" si="48"/>
        <v>0</v>
      </c>
    </row>
    <row r="226" spans="3:28" x14ac:dyDescent="0.7">
      <c r="C226" s="63" t="str">
        <f t="shared" si="51"/>
        <v/>
      </c>
      <c r="D226" s="16"/>
      <c r="E226" s="3"/>
      <c r="F226" s="57"/>
      <c r="G226" s="15" t="str">
        <f t="shared" si="52"/>
        <v/>
      </c>
      <c r="H226" s="65" t="str">
        <f t="shared" si="53"/>
        <v/>
      </c>
      <c r="I226" s="65" t="str">
        <f t="shared" si="54"/>
        <v/>
      </c>
      <c r="O226" s="32" t="str">
        <f t="shared" si="42"/>
        <v/>
      </c>
      <c r="P226" s="51"/>
      <c r="Q226" s="48"/>
      <c r="R226" s="48"/>
      <c r="S226" s="36">
        <f t="shared" si="55"/>
        <v>0</v>
      </c>
      <c r="T226" s="34">
        <f t="shared" si="49"/>
        <v>0</v>
      </c>
      <c r="U226" s="32">
        <f t="shared" si="50"/>
        <v>0</v>
      </c>
      <c r="V226" s="43"/>
      <c r="W226" s="32">
        <f t="shared" si="43"/>
        <v>0</v>
      </c>
      <c r="X226" s="34">
        <f t="shared" si="44"/>
        <v>0</v>
      </c>
      <c r="Y226" s="30">
        <f t="shared" si="45"/>
        <v>0</v>
      </c>
      <c r="Z226" s="34">
        <f t="shared" si="46"/>
        <v>0</v>
      </c>
      <c r="AA226" s="41">
        <f t="shared" si="47"/>
        <v>0</v>
      </c>
      <c r="AB226" s="31">
        <f t="shared" si="48"/>
        <v>0</v>
      </c>
    </row>
    <row r="227" spans="3:28" x14ac:dyDescent="0.7">
      <c r="C227" s="63" t="str">
        <f t="shared" si="51"/>
        <v/>
      </c>
      <c r="D227" s="16"/>
      <c r="E227" s="3"/>
      <c r="F227" s="57"/>
      <c r="G227" s="15" t="str">
        <f t="shared" si="52"/>
        <v/>
      </c>
      <c r="H227" s="65" t="str">
        <f t="shared" si="53"/>
        <v/>
      </c>
      <c r="I227" s="65" t="str">
        <f t="shared" si="54"/>
        <v/>
      </c>
      <c r="O227" s="32" t="str">
        <f t="shared" si="42"/>
        <v/>
      </c>
      <c r="P227" s="51"/>
      <c r="Q227" s="48"/>
      <c r="R227" s="48"/>
      <c r="S227" s="36">
        <f t="shared" si="55"/>
        <v>0</v>
      </c>
      <c r="T227" s="34">
        <f t="shared" si="49"/>
        <v>0</v>
      </c>
      <c r="U227" s="32">
        <f t="shared" si="50"/>
        <v>0</v>
      </c>
      <c r="V227" s="43"/>
      <c r="W227" s="32">
        <f t="shared" si="43"/>
        <v>0</v>
      </c>
      <c r="X227" s="34">
        <f t="shared" si="44"/>
        <v>0</v>
      </c>
      <c r="Y227" s="30">
        <f t="shared" si="45"/>
        <v>0</v>
      </c>
      <c r="Z227" s="34">
        <f t="shared" si="46"/>
        <v>0</v>
      </c>
      <c r="AA227" s="41">
        <f t="shared" si="47"/>
        <v>0</v>
      </c>
      <c r="AB227" s="31">
        <f t="shared" si="48"/>
        <v>0</v>
      </c>
    </row>
    <row r="228" spans="3:28" x14ac:dyDescent="0.7">
      <c r="C228" s="63" t="str">
        <f t="shared" si="51"/>
        <v/>
      </c>
      <c r="D228" s="16"/>
      <c r="E228" s="3"/>
      <c r="F228" s="57"/>
      <c r="G228" s="15" t="str">
        <f t="shared" si="52"/>
        <v/>
      </c>
      <c r="H228" s="65" t="str">
        <f t="shared" si="53"/>
        <v/>
      </c>
      <c r="I228" s="65" t="str">
        <f t="shared" si="54"/>
        <v/>
      </c>
      <c r="O228" s="32" t="str">
        <f t="shared" si="42"/>
        <v/>
      </c>
      <c r="Q228" s="48"/>
      <c r="R228" s="48"/>
      <c r="S228" s="36">
        <f t="shared" si="55"/>
        <v>0</v>
      </c>
      <c r="T228" s="34">
        <f t="shared" si="49"/>
        <v>0</v>
      </c>
      <c r="U228" s="32">
        <f t="shared" si="50"/>
        <v>0</v>
      </c>
      <c r="V228" s="43"/>
      <c r="W228" s="32">
        <f t="shared" si="43"/>
        <v>0</v>
      </c>
      <c r="X228" s="34">
        <f t="shared" si="44"/>
        <v>0</v>
      </c>
      <c r="Y228" s="30">
        <f t="shared" si="45"/>
        <v>0</v>
      </c>
      <c r="Z228" s="34">
        <f t="shared" si="46"/>
        <v>0</v>
      </c>
      <c r="AA228" s="41">
        <f t="shared" si="47"/>
        <v>0</v>
      </c>
      <c r="AB228" s="31">
        <f t="shared" si="48"/>
        <v>0</v>
      </c>
    </row>
    <row r="229" spans="3:28" x14ac:dyDescent="0.7">
      <c r="C229" s="63" t="str">
        <f t="shared" si="51"/>
        <v/>
      </c>
      <c r="D229" s="16"/>
      <c r="E229" s="3"/>
      <c r="F229" s="57"/>
      <c r="G229" s="15" t="str">
        <f t="shared" si="52"/>
        <v/>
      </c>
      <c r="H229" s="65" t="str">
        <f t="shared" si="53"/>
        <v/>
      </c>
      <c r="I229" s="65" t="str">
        <f t="shared" si="54"/>
        <v/>
      </c>
      <c r="O229" s="32" t="str">
        <f t="shared" si="42"/>
        <v/>
      </c>
      <c r="P229" s="21"/>
      <c r="Q229" s="21"/>
      <c r="R229" s="21"/>
      <c r="S229" s="36">
        <f t="shared" si="55"/>
        <v>0</v>
      </c>
      <c r="T229" s="34">
        <f t="shared" si="49"/>
        <v>0</v>
      </c>
      <c r="U229" s="32">
        <f t="shared" si="50"/>
        <v>0</v>
      </c>
      <c r="V229" s="43"/>
      <c r="W229" s="32">
        <f t="shared" si="43"/>
        <v>0</v>
      </c>
      <c r="X229" s="34">
        <f t="shared" si="44"/>
        <v>0</v>
      </c>
      <c r="Y229" s="30">
        <f t="shared" si="45"/>
        <v>0</v>
      </c>
      <c r="Z229" s="34">
        <f t="shared" si="46"/>
        <v>0</v>
      </c>
      <c r="AA229" s="41">
        <f t="shared" si="47"/>
        <v>0</v>
      </c>
      <c r="AB229" s="31">
        <f t="shared" si="48"/>
        <v>0</v>
      </c>
    </row>
    <row r="230" spans="3:28" x14ac:dyDescent="0.7">
      <c r="C230" s="63" t="str">
        <f t="shared" si="51"/>
        <v/>
      </c>
      <c r="D230" s="16"/>
      <c r="E230" s="3"/>
      <c r="F230" s="57"/>
      <c r="G230" s="15" t="str">
        <f t="shared" si="52"/>
        <v/>
      </c>
      <c r="H230" s="65" t="str">
        <f t="shared" si="53"/>
        <v/>
      </c>
      <c r="I230" s="65" t="str">
        <f t="shared" si="54"/>
        <v/>
      </c>
      <c r="O230" s="32" t="str">
        <f t="shared" si="42"/>
        <v/>
      </c>
      <c r="P230" s="21"/>
      <c r="Q230" s="21"/>
      <c r="R230" s="21"/>
      <c r="S230" s="36">
        <f t="shared" si="55"/>
        <v>0</v>
      </c>
      <c r="T230" s="34">
        <f t="shared" si="49"/>
        <v>0</v>
      </c>
      <c r="U230" s="32">
        <f t="shared" si="50"/>
        <v>0</v>
      </c>
      <c r="V230" s="43"/>
      <c r="W230" s="32">
        <f t="shared" si="43"/>
        <v>0</v>
      </c>
      <c r="X230" s="34">
        <f t="shared" si="44"/>
        <v>0</v>
      </c>
      <c r="Y230" s="30">
        <f t="shared" si="45"/>
        <v>0</v>
      </c>
      <c r="Z230" s="34">
        <f t="shared" si="46"/>
        <v>0</v>
      </c>
      <c r="AA230" s="41">
        <f t="shared" si="47"/>
        <v>0</v>
      </c>
      <c r="AB230" s="31">
        <f t="shared" si="48"/>
        <v>0</v>
      </c>
    </row>
    <row r="231" spans="3:28" x14ac:dyDescent="0.7">
      <c r="C231" s="63" t="str">
        <f t="shared" si="51"/>
        <v/>
      </c>
      <c r="D231" s="16"/>
      <c r="E231" s="3"/>
      <c r="F231" s="57"/>
      <c r="G231" s="15" t="str">
        <f t="shared" si="52"/>
        <v/>
      </c>
      <c r="H231" s="65" t="str">
        <f t="shared" si="53"/>
        <v/>
      </c>
      <c r="I231" s="65" t="str">
        <f t="shared" si="54"/>
        <v/>
      </c>
      <c r="O231" s="32" t="str">
        <f t="shared" si="42"/>
        <v/>
      </c>
      <c r="P231" s="21"/>
      <c r="Q231" s="21"/>
      <c r="R231" s="21"/>
      <c r="S231" s="36">
        <f t="shared" si="55"/>
        <v>0</v>
      </c>
      <c r="T231" s="34">
        <f t="shared" si="49"/>
        <v>0</v>
      </c>
      <c r="U231" s="32">
        <f t="shared" si="50"/>
        <v>0</v>
      </c>
      <c r="V231" s="43"/>
      <c r="W231" s="32">
        <f t="shared" si="43"/>
        <v>0</v>
      </c>
      <c r="X231" s="34">
        <f t="shared" si="44"/>
        <v>0</v>
      </c>
      <c r="Y231" s="30">
        <f t="shared" si="45"/>
        <v>0</v>
      </c>
      <c r="Z231" s="34">
        <f t="shared" si="46"/>
        <v>0</v>
      </c>
      <c r="AA231" s="41">
        <f t="shared" si="47"/>
        <v>0</v>
      </c>
      <c r="AB231" s="31">
        <f t="shared" si="48"/>
        <v>0</v>
      </c>
    </row>
    <row r="232" spans="3:28" x14ac:dyDescent="0.7">
      <c r="C232" s="63" t="str">
        <f t="shared" si="51"/>
        <v/>
      </c>
      <c r="D232" s="16"/>
      <c r="E232" s="3"/>
      <c r="F232" s="57"/>
      <c r="G232" s="15" t="str">
        <f t="shared" si="52"/>
        <v/>
      </c>
      <c r="H232" s="65" t="str">
        <f t="shared" si="53"/>
        <v/>
      </c>
      <c r="I232" s="65" t="str">
        <f t="shared" si="54"/>
        <v/>
      </c>
      <c r="O232" s="32" t="str">
        <f t="shared" si="42"/>
        <v/>
      </c>
      <c r="P232" s="21"/>
      <c r="Q232" s="21"/>
      <c r="R232" s="21"/>
      <c r="S232" s="36">
        <f t="shared" si="55"/>
        <v>0</v>
      </c>
      <c r="T232" s="34">
        <f t="shared" si="49"/>
        <v>0</v>
      </c>
      <c r="U232" s="32">
        <f t="shared" si="50"/>
        <v>0</v>
      </c>
      <c r="V232" s="43"/>
      <c r="W232" s="32">
        <f t="shared" si="43"/>
        <v>0</v>
      </c>
      <c r="X232" s="34">
        <f t="shared" si="44"/>
        <v>0</v>
      </c>
      <c r="Y232" s="30">
        <f t="shared" si="45"/>
        <v>0</v>
      </c>
      <c r="Z232" s="34">
        <f t="shared" si="46"/>
        <v>0</v>
      </c>
      <c r="AA232" s="41">
        <f t="shared" si="47"/>
        <v>0</v>
      </c>
      <c r="AB232" s="31">
        <f t="shared" si="48"/>
        <v>0</v>
      </c>
    </row>
    <row r="233" spans="3:28" x14ac:dyDescent="0.7">
      <c r="C233" s="63" t="str">
        <f t="shared" si="51"/>
        <v/>
      </c>
      <c r="D233" s="16"/>
      <c r="E233" s="3"/>
      <c r="F233" s="57"/>
      <c r="G233" s="15" t="str">
        <f t="shared" si="52"/>
        <v/>
      </c>
      <c r="H233" s="65" t="str">
        <f t="shared" si="53"/>
        <v/>
      </c>
      <c r="I233" s="65" t="str">
        <f t="shared" si="54"/>
        <v/>
      </c>
      <c r="O233" s="32" t="str">
        <f t="shared" si="42"/>
        <v/>
      </c>
      <c r="P233" s="21"/>
      <c r="Q233" s="21"/>
      <c r="R233" s="21"/>
      <c r="S233" s="36">
        <f t="shared" si="55"/>
        <v>0</v>
      </c>
      <c r="T233" s="34">
        <f t="shared" si="49"/>
        <v>0</v>
      </c>
      <c r="U233" s="32">
        <f t="shared" si="50"/>
        <v>0</v>
      </c>
      <c r="V233" s="43"/>
      <c r="W233" s="32">
        <f t="shared" si="43"/>
        <v>0</v>
      </c>
      <c r="X233" s="34">
        <f t="shared" si="44"/>
        <v>0</v>
      </c>
      <c r="Y233" s="30">
        <f t="shared" si="45"/>
        <v>0</v>
      </c>
      <c r="Z233" s="34">
        <f t="shared" si="46"/>
        <v>0</v>
      </c>
      <c r="AA233" s="41">
        <f t="shared" si="47"/>
        <v>0</v>
      </c>
      <c r="AB233" s="31">
        <f t="shared" si="48"/>
        <v>0</v>
      </c>
    </row>
    <row r="234" spans="3:28" x14ac:dyDescent="0.7">
      <c r="C234" s="63" t="str">
        <f t="shared" si="51"/>
        <v/>
      </c>
      <c r="D234" s="16"/>
      <c r="E234" s="3"/>
      <c r="F234" s="57"/>
      <c r="G234" s="15" t="str">
        <f t="shared" si="52"/>
        <v/>
      </c>
      <c r="H234" s="65" t="str">
        <f t="shared" si="53"/>
        <v/>
      </c>
      <c r="I234" s="65" t="str">
        <f t="shared" si="54"/>
        <v/>
      </c>
      <c r="O234" s="32" t="str">
        <f t="shared" si="42"/>
        <v/>
      </c>
      <c r="P234" s="21"/>
      <c r="Q234" s="21"/>
      <c r="R234" s="21"/>
      <c r="S234" s="36">
        <f t="shared" si="55"/>
        <v>0</v>
      </c>
      <c r="T234" s="34">
        <f t="shared" si="49"/>
        <v>0</v>
      </c>
      <c r="U234" s="32">
        <f t="shared" si="50"/>
        <v>0</v>
      </c>
      <c r="V234" s="43"/>
      <c r="W234" s="32">
        <f t="shared" si="43"/>
        <v>0</v>
      </c>
      <c r="X234" s="34">
        <f t="shared" si="44"/>
        <v>0</v>
      </c>
      <c r="Y234" s="30">
        <f t="shared" si="45"/>
        <v>0</v>
      </c>
      <c r="Z234" s="34">
        <f t="shared" si="46"/>
        <v>0</v>
      </c>
      <c r="AA234" s="41">
        <f t="shared" si="47"/>
        <v>0</v>
      </c>
      <c r="AB234" s="31">
        <f t="shared" si="48"/>
        <v>0</v>
      </c>
    </row>
    <row r="235" spans="3:28" x14ac:dyDescent="0.7">
      <c r="C235" s="63" t="str">
        <f t="shared" si="51"/>
        <v/>
      </c>
      <c r="D235" s="16"/>
      <c r="E235" s="3"/>
      <c r="F235" s="57"/>
      <c r="G235" s="15" t="str">
        <f t="shared" si="52"/>
        <v/>
      </c>
      <c r="H235" s="65" t="str">
        <f t="shared" si="53"/>
        <v/>
      </c>
      <c r="I235" s="65" t="str">
        <f t="shared" si="54"/>
        <v/>
      </c>
      <c r="O235" s="32" t="str">
        <f t="shared" si="42"/>
        <v/>
      </c>
      <c r="P235" s="21"/>
      <c r="Q235" s="21"/>
      <c r="R235" s="21"/>
      <c r="S235" s="36">
        <f t="shared" si="55"/>
        <v>0</v>
      </c>
      <c r="T235" s="34">
        <f t="shared" si="49"/>
        <v>0</v>
      </c>
      <c r="U235" s="32">
        <f t="shared" si="50"/>
        <v>0</v>
      </c>
      <c r="V235" s="43"/>
      <c r="W235" s="32">
        <f t="shared" si="43"/>
        <v>0</v>
      </c>
      <c r="X235" s="34">
        <f t="shared" si="44"/>
        <v>0</v>
      </c>
      <c r="Y235" s="30">
        <f t="shared" si="45"/>
        <v>0</v>
      </c>
      <c r="Z235" s="34">
        <f t="shared" si="46"/>
        <v>0</v>
      </c>
      <c r="AA235" s="41">
        <f t="shared" si="47"/>
        <v>0</v>
      </c>
      <c r="AB235" s="31">
        <f t="shared" si="48"/>
        <v>0</v>
      </c>
    </row>
    <row r="236" spans="3:28" x14ac:dyDescent="0.7">
      <c r="C236" s="63" t="str">
        <f t="shared" si="51"/>
        <v/>
      </c>
      <c r="D236" s="16"/>
      <c r="E236" s="3"/>
      <c r="F236" s="57"/>
      <c r="G236" s="15" t="str">
        <f t="shared" si="52"/>
        <v/>
      </c>
      <c r="H236" s="65" t="str">
        <f t="shared" si="53"/>
        <v/>
      </c>
      <c r="I236" s="65" t="str">
        <f t="shared" si="54"/>
        <v/>
      </c>
      <c r="O236" s="32" t="str">
        <f t="shared" si="42"/>
        <v/>
      </c>
      <c r="P236" s="21"/>
      <c r="Q236" s="21"/>
      <c r="R236" s="21"/>
      <c r="S236" s="36">
        <f t="shared" si="55"/>
        <v>0</v>
      </c>
      <c r="T236" s="34">
        <f t="shared" si="49"/>
        <v>0</v>
      </c>
      <c r="U236" s="32">
        <f t="shared" si="50"/>
        <v>0</v>
      </c>
      <c r="V236" s="43"/>
      <c r="W236" s="32">
        <f t="shared" si="43"/>
        <v>0</v>
      </c>
      <c r="X236" s="34">
        <f t="shared" si="44"/>
        <v>0</v>
      </c>
      <c r="Y236" s="30">
        <f t="shared" si="45"/>
        <v>0</v>
      </c>
      <c r="Z236" s="34">
        <f t="shared" si="46"/>
        <v>0</v>
      </c>
      <c r="AA236" s="41">
        <f t="shared" si="47"/>
        <v>0</v>
      </c>
      <c r="AB236" s="31">
        <f t="shared" si="48"/>
        <v>0</v>
      </c>
    </row>
    <row r="237" spans="3:28" x14ac:dyDescent="0.7">
      <c r="C237" s="63" t="str">
        <f t="shared" si="51"/>
        <v/>
      </c>
      <c r="D237" s="16"/>
      <c r="E237" s="3"/>
      <c r="F237" s="57"/>
      <c r="G237" s="15" t="str">
        <f t="shared" si="52"/>
        <v/>
      </c>
      <c r="H237" s="65" t="str">
        <f t="shared" si="53"/>
        <v/>
      </c>
      <c r="I237" s="65" t="str">
        <f t="shared" si="54"/>
        <v/>
      </c>
      <c r="O237" s="32" t="str">
        <f t="shared" si="42"/>
        <v/>
      </c>
      <c r="P237" s="21"/>
      <c r="Q237" s="21"/>
      <c r="R237" s="21"/>
      <c r="S237" s="36">
        <f t="shared" si="55"/>
        <v>0</v>
      </c>
      <c r="T237" s="34">
        <f t="shared" si="49"/>
        <v>0</v>
      </c>
      <c r="U237" s="32">
        <f t="shared" si="50"/>
        <v>0</v>
      </c>
      <c r="V237" s="43"/>
      <c r="W237" s="32">
        <f t="shared" si="43"/>
        <v>0</v>
      </c>
      <c r="X237" s="34">
        <f t="shared" si="44"/>
        <v>0</v>
      </c>
      <c r="Y237" s="30">
        <f t="shared" si="45"/>
        <v>0</v>
      </c>
      <c r="Z237" s="34">
        <f t="shared" si="46"/>
        <v>0</v>
      </c>
      <c r="AA237" s="41">
        <f t="shared" si="47"/>
        <v>0</v>
      </c>
      <c r="AB237" s="31">
        <f t="shared" si="48"/>
        <v>0</v>
      </c>
    </row>
    <row r="238" spans="3:28" x14ac:dyDescent="0.7">
      <c r="C238" s="63" t="str">
        <f t="shared" si="51"/>
        <v/>
      </c>
      <c r="D238" s="16"/>
      <c r="E238" s="3"/>
      <c r="F238" s="57"/>
      <c r="G238" s="15" t="str">
        <f t="shared" si="52"/>
        <v/>
      </c>
      <c r="H238" s="65" t="str">
        <f t="shared" si="53"/>
        <v/>
      </c>
      <c r="I238" s="65" t="str">
        <f t="shared" si="54"/>
        <v/>
      </c>
      <c r="O238" s="32" t="str">
        <f t="shared" si="42"/>
        <v/>
      </c>
      <c r="P238" s="21"/>
      <c r="Q238" s="21"/>
      <c r="R238" s="21"/>
      <c r="S238" s="36">
        <f t="shared" si="55"/>
        <v>0</v>
      </c>
      <c r="T238" s="34">
        <f t="shared" si="49"/>
        <v>0</v>
      </c>
      <c r="U238" s="32">
        <f t="shared" si="50"/>
        <v>0</v>
      </c>
      <c r="V238" s="43"/>
      <c r="W238" s="32">
        <f t="shared" si="43"/>
        <v>0</v>
      </c>
      <c r="X238" s="34">
        <f t="shared" si="44"/>
        <v>0</v>
      </c>
      <c r="Y238" s="30">
        <f t="shared" si="45"/>
        <v>0</v>
      </c>
      <c r="Z238" s="34">
        <f t="shared" si="46"/>
        <v>0</v>
      </c>
      <c r="AA238" s="41">
        <f t="shared" si="47"/>
        <v>0</v>
      </c>
      <c r="AB238" s="31">
        <f t="shared" si="48"/>
        <v>0</v>
      </c>
    </row>
    <row r="239" spans="3:28" x14ac:dyDescent="0.7">
      <c r="C239" s="63" t="str">
        <f t="shared" si="51"/>
        <v/>
      </c>
      <c r="D239" s="16"/>
      <c r="E239" s="3"/>
      <c r="F239" s="57"/>
      <c r="G239" s="15" t="str">
        <f t="shared" si="52"/>
        <v/>
      </c>
      <c r="H239" s="65" t="str">
        <f t="shared" si="53"/>
        <v/>
      </c>
      <c r="I239" s="65" t="str">
        <f t="shared" si="54"/>
        <v/>
      </c>
      <c r="O239" s="32" t="str">
        <f t="shared" si="42"/>
        <v/>
      </c>
      <c r="P239" s="21"/>
      <c r="Q239" s="21"/>
      <c r="R239" s="21"/>
      <c r="S239" s="36">
        <f t="shared" si="55"/>
        <v>0</v>
      </c>
      <c r="T239" s="34">
        <f t="shared" si="49"/>
        <v>0</v>
      </c>
      <c r="U239" s="32">
        <f t="shared" si="50"/>
        <v>0</v>
      </c>
      <c r="V239" s="43"/>
      <c r="W239" s="32">
        <f t="shared" si="43"/>
        <v>0</v>
      </c>
      <c r="X239" s="34">
        <f t="shared" si="44"/>
        <v>0</v>
      </c>
      <c r="Y239" s="30">
        <f t="shared" si="45"/>
        <v>0</v>
      </c>
      <c r="Z239" s="34">
        <f t="shared" si="46"/>
        <v>0</v>
      </c>
      <c r="AA239" s="41">
        <f t="shared" si="47"/>
        <v>0</v>
      </c>
      <c r="AB239" s="31">
        <f t="shared" si="48"/>
        <v>0</v>
      </c>
    </row>
    <row r="240" spans="3:28" x14ac:dyDescent="0.7">
      <c r="C240" s="63" t="str">
        <f t="shared" si="51"/>
        <v/>
      </c>
      <c r="D240" s="16"/>
      <c r="E240" s="3"/>
      <c r="F240" s="57"/>
      <c r="G240" s="15" t="str">
        <f t="shared" si="52"/>
        <v/>
      </c>
      <c r="H240" s="65" t="str">
        <f t="shared" si="53"/>
        <v/>
      </c>
      <c r="I240" s="65" t="str">
        <f t="shared" si="54"/>
        <v/>
      </c>
      <c r="O240" s="32" t="str">
        <f t="shared" si="42"/>
        <v/>
      </c>
      <c r="P240" s="21"/>
      <c r="Q240" s="21"/>
      <c r="R240" s="21"/>
      <c r="S240" s="36">
        <f t="shared" si="55"/>
        <v>0</v>
      </c>
      <c r="T240" s="34">
        <f t="shared" si="49"/>
        <v>0</v>
      </c>
      <c r="U240" s="32">
        <f t="shared" si="50"/>
        <v>0</v>
      </c>
      <c r="V240" s="43"/>
      <c r="W240" s="32">
        <f t="shared" si="43"/>
        <v>0</v>
      </c>
      <c r="X240" s="34">
        <f t="shared" si="44"/>
        <v>0</v>
      </c>
      <c r="Y240" s="30">
        <f t="shared" si="45"/>
        <v>0</v>
      </c>
      <c r="Z240" s="34">
        <f t="shared" si="46"/>
        <v>0</v>
      </c>
      <c r="AA240" s="41">
        <f t="shared" si="47"/>
        <v>0</v>
      </c>
      <c r="AB240" s="31">
        <f t="shared" si="48"/>
        <v>0</v>
      </c>
    </row>
    <row r="241" spans="3:28" x14ac:dyDescent="0.7">
      <c r="C241" s="63" t="str">
        <f t="shared" si="51"/>
        <v/>
      </c>
      <c r="D241" s="16"/>
      <c r="E241" s="3"/>
      <c r="F241" s="57"/>
      <c r="G241" s="15" t="str">
        <f t="shared" si="52"/>
        <v/>
      </c>
      <c r="H241" s="65" t="str">
        <f t="shared" si="53"/>
        <v/>
      </c>
      <c r="I241" s="65" t="str">
        <f t="shared" si="54"/>
        <v/>
      </c>
      <c r="O241" s="32" t="str">
        <f t="shared" si="42"/>
        <v/>
      </c>
      <c r="P241" s="21"/>
      <c r="Q241" s="21"/>
      <c r="R241" s="21"/>
      <c r="S241" s="36">
        <f t="shared" si="55"/>
        <v>0</v>
      </c>
      <c r="T241" s="34">
        <f t="shared" si="49"/>
        <v>0</v>
      </c>
      <c r="U241" s="32">
        <f t="shared" si="50"/>
        <v>0</v>
      </c>
      <c r="V241" s="43"/>
      <c r="W241" s="32">
        <f t="shared" si="43"/>
        <v>0</v>
      </c>
      <c r="X241" s="34">
        <f t="shared" si="44"/>
        <v>0</v>
      </c>
      <c r="Y241" s="30">
        <f t="shared" si="45"/>
        <v>0</v>
      </c>
      <c r="Z241" s="34">
        <f t="shared" si="46"/>
        <v>0</v>
      </c>
      <c r="AA241" s="41">
        <f t="shared" si="47"/>
        <v>0</v>
      </c>
      <c r="AB241" s="31">
        <f t="shared" si="48"/>
        <v>0</v>
      </c>
    </row>
    <row r="242" spans="3:28" x14ac:dyDescent="0.7">
      <c r="C242" s="63" t="str">
        <f t="shared" si="51"/>
        <v/>
      </c>
      <c r="D242" s="16"/>
      <c r="E242" s="3"/>
      <c r="F242" s="57"/>
      <c r="G242" s="15" t="str">
        <f t="shared" si="52"/>
        <v/>
      </c>
      <c r="H242" s="65" t="str">
        <f t="shared" si="53"/>
        <v/>
      </c>
      <c r="I242" s="65" t="str">
        <f t="shared" si="54"/>
        <v/>
      </c>
      <c r="O242" s="32" t="str">
        <f t="shared" si="42"/>
        <v/>
      </c>
      <c r="P242" s="21"/>
      <c r="Q242" s="21"/>
      <c r="R242" s="21"/>
      <c r="S242" s="36">
        <f t="shared" si="55"/>
        <v>0</v>
      </c>
      <c r="T242" s="34">
        <f t="shared" si="49"/>
        <v>0</v>
      </c>
      <c r="U242" s="32">
        <f t="shared" si="50"/>
        <v>0</v>
      </c>
      <c r="V242" s="43"/>
      <c r="W242" s="32">
        <f t="shared" si="43"/>
        <v>0</v>
      </c>
      <c r="X242" s="34">
        <f t="shared" si="44"/>
        <v>0</v>
      </c>
      <c r="Y242" s="30">
        <f t="shared" si="45"/>
        <v>0</v>
      </c>
      <c r="Z242" s="34">
        <f t="shared" si="46"/>
        <v>0</v>
      </c>
      <c r="AA242" s="41">
        <f t="shared" si="47"/>
        <v>0</v>
      </c>
      <c r="AB242" s="31">
        <f t="shared" si="48"/>
        <v>0</v>
      </c>
    </row>
    <row r="243" spans="3:28" x14ac:dyDescent="0.7">
      <c r="C243" s="63" t="str">
        <f t="shared" si="51"/>
        <v/>
      </c>
      <c r="D243" s="16"/>
      <c r="E243" s="3"/>
      <c r="F243" s="57"/>
      <c r="G243" s="15" t="str">
        <f t="shared" si="52"/>
        <v/>
      </c>
      <c r="H243" s="65" t="str">
        <f t="shared" si="53"/>
        <v/>
      </c>
      <c r="I243" s="65" t="str">
        <f t="shared" si="54"/>
        <v/>
      </c>
      <c r="O243" s="32" t="str">
        <f t="shared" si="42"/>
        <v/>
      </c>
      <c r="P243" s="21"/>
      <c r="Q243" s="21"/>
      <c r="R243" s="21"/>
      <c r="S243" s="36">
        <f t="shared" si="55"/>
        <v>0</v>
      </c>
      <c r="T243" s="34">
        <f t="shared" si="49"/>
        <v>0</v>
      </c>
      <c r="U243" s="32">
        <f t="shared" si="50"/>
        <v>0</v>
      </c>
      <c r="V243" s="43"/>
      <c r="W243" s="32">
        <f t="shared" si="43"/>
        <v>0</v>
      </c>
      <c r="X243" s="34">
        <f t="shared" si="44"/>
        <v>0</v>
      </c>
      <c r="Y243" s="30">
        <f t="shared" si="45"/>
        <v>0</v>
      </c>
      <c r="Z243" s="34">
        <f t="shared" si="46"/>
        <v>0</v>
      </c>
      <c r="AA243" s="41">
        <f t="shared" si="47"/>
        <v>0</v>
      </c>
      <c r="AB243" s="31">
        <f t="shared" si="48"/>
        <v>0</v>
      </c>
    </row>
    <row r="244" spans="3:28" x14ac:dyDescent="0.7">
      <c r="C244" s="63" t="str">
        <f t="shared" si="51"/>
        <v/>
      </c>
      <c r="D244" s="16"/>
      <c r="E244" s="3"/>
      <c r="F244" s="57"/>
      <c r="G244" s="15" t="str">
        <f t="shared" si="52"/>
        <v/>
      </c>
      <c r="H244" s="65" t="str">
        <f t="shared" si="53"/>
        <v/>
      </c>
      <c r="I244" s="65" t="str">
        <f t="shared" si="54"/>
        <v/>
      </c>
      <c r="O244" s="32" t="str">
        <f t="shared" si="42"/>
        <v/>
      </c>
      <c r="P244" s="21"/>
      <c r="Q244" s="21"/>
      <c r="R244" s="21"/>
      <c r="S244" s="36">
        <f t="shared" si="55"/>
        <v>0</v>
      </c>
      <c r="T244" s="34">
        <f t="shared" si="49"/>
        <v>0</v>
      </c>
      <c r="U244" s="32">
        <f t="shared" si="50"/>
        <v>0</v>
      </c>
      <c r="V244" s="43"/>
      <c r="W244" s="32">
        <f t="shared" si="43"/>
        <v>0</v>
      </c>
      <c r="X244" s="34">
        <f t="shared" si="44"/>
        <v>0</v>
      </c>
      <c r="Y244" s="30">
        <f t="shared" si="45"/>
        <v>0</v>
      </c>
      <c r="Z244" s="34">
        <f t="shared" si="46"/>
        <v>0</v>
      </c>
      <c r="AA244" s="41">
        <f t="shared" si="47"/>
        <v>0</v>
      </c>
      <c r="AB244" s="31">
        <f t="shared" si="48"/>
        <v>0</v>
      </c>
    </row>
    <row r="245" spans="3:28" x14ac:dyDescent="0.7">
      <c r="C245" s="63" t="str">
        <f t="shared" si="51"/>
        <v/>
      </c>
      <c r="D245" s="16"/>
      <c r="E245" s="3"/>
      <c r="F245" s="57"/>
      <c r="G245" s="15" t="str">
        <f t="shared" si="52"/>
        <v/>
      </c>
      <c r="H245" s="65" t="str">
        <f t="shared" si="53"/>
        <v/>
      </c>
      <c r="I245" s="65" t="str">
        <f t="shared" si="54"/>
        <v/>
      </c>
      <c r="O245" s="32" t="str">
        <f t="shared" si="42"/>
        <v/>
      </c>
      <c r="P245" s="21"/>
      <c r="Q245" s="21"/>
      <c r="R245" s="21"/>
      <c r="S245" s="36">
        <f t="shared" si="55"/>
        <v>0</v>
      </c>
      <c r="T245" s="34">
        <f t="shared" si="49"/>
        <v>0</v>
      </c>
      <c r="U245" s="32">
        <f t="shared" si="50"/>
        <v>0</v>
      </c>
      <c r="V245" s="43"/>
      <c r="W245" s="32">
        <f t="shared" si="43"/>
        <v>0</v>
      </c>
      <c r="X245" s="34">
        <f t="shared" si="44"/>
        <v>0</v>
      </c>
      <c r="Y245" s="30">
        <f t="shared" si="45"/>
        <v>0</v>
      </c>
      <c r="Z245" s="34">
        <f t="shared" si="46"/>
        <v>0</v>
      </c>
      <c r="AA245" s="41">
        <f t="shared" si="47"/>
        <v>0</v>
      </c>
      <c r="AB245" s="31">
        <f t="shared" si="48"/>
        <v>0</v>
      </c>
    </row>
    <row r="246" spans="3:28" x14ac:dyDescent="0.7">
      <c r="C246" s="63" t="str">
        <f t="shared" si="51"/>
        <v/>
      </c>
      <c r="D246" s="16"/>
      <c r="E246" s="3"/>
      <c r="F246" s="57"/>
      <c r="G246" s="15" t="str">
        <f t="shared" si="52"/>
        <v/>
      </c>
      <c r="H246" s="65" t="str">
        <f t="shared" si="53"/>
        <v/>
      </c>
      <c r="I246" s="65" t="str">
        <f t="shared" si="54"/>
        <v/>
      </c>
      <c r="O246" s="32" t="str">
        <f t="shared" si="42"/>
        <v/>
      </c>
      <c r="P246" s="21"/>
      <c r="Q246" s="21"/>
      <c r="R246" s="21"/>
      <c r="S246" s="36">
        <f t="shared" si="55"/>
        <v>0</v>
      </c>
      <c r="T246" s="34">
        <f t="shared" si="49"/>
        <v>0</v>
      </c>
      <c r="U246" s="32">
        <f t="shared" si="50"/>
        <v>0</v>
      </c>
      <c r="V246" s="43"/>
      <c r="W246" s="32">
        <f t="shared" si="43"/>
        <v>0</v>
      </c>
      <c r="X246" s="34">
        <f t="shared" si="44"/>
        <v>0</v>
      </c>
      <c r="Y246" s="30">
        <f t="shared" si="45"/>
        <v>0</v>
      </c>
      <c r="Z246" s="34">
        <f t="shared" si="46"/>
        <v>0</v>
      </c>
      <c r="AA246" s="41">
        <f t="shared" si="47"/>
        <v>0</v>
      </c>
      <c r="AB246" s="31">
        <f t="shared" si="48"/>
        <v>0</v>
      </c>
    </row>
    <row r="247" spans="3:28" x14ac:dyDescent="0.7">
      <c r="C247" s="63" t="str">
        <f t="shared" si="51"/>
        <v/>
      </c>
      <c r="D247" s="16"/>
      <c r="E247" s="3"/>
      <c r="F247" s="57"/>
      <c r="G247" s="15" t="str">
        <f t="shared" si="52"/>
        <v/>
      </c>
      <c r="H247" s="65" t="str">
        <f t="shared" si="53"/>
        <v/>
      </c>
      <c r="I247" s="65" t="str">
        <f t="shared" si="54"/>
        <v/>
      </c>
      <c r="O247" s="32" t="str">
        <f t="shared" si="42"/>
        <v/>
      </c>
      <c r="P247" s="21"/>
      <c r="Q247" s="21"/>
      <c r="R247" s="21"/>
      <c r="S247" s="36">
        <f t="shared" si="55"/>
        <v>0</v>
      </c>
      <c r="T247" s="34">
        <f t="shared" si="49"/>
        <v>0</v>
      </c>
      <c r="U247" s="32">
        <f t="shared" si="50"/>
        <v>0</v>
      </c>
      <c r="V247" s="43"/>
      <c r="W247" s="32">
        <f t="shared" si="43"/>
        <v>0</v>
      </c>
      <c r="X247" s="34">
        <f t="shared" si="44"/>
        <v>0</v>
      </c>
      <c r="Y247" s="30">
        <f t="shared" si="45"/>
        <v>0</v>
      </c>
      <c r="Z247" s="34">
        <f t="shared" si="46"/>
        <v>0</v>
      </c>
      <c r="AA247" s="41">
        <f t="shared" si="47"/>
        <v>0</v>
      </c>
      <c r="AB247" s="31">
        <f t="shared" si="48"/>
        <v>0</v>
      </c>
    </row>
    <row r="248" spans="3:28" x14ac:dyDescent="0.7">
      <c r="C248" s="63" t="str">
        <f t="shared" si="51"/>
        <v/>
      </c>
      <c r="D248" s="16"/>
      <c r="E248" s="3"/>
      <c r="F248" s="57"/>
      <c r="G248" s="15" t="str">
        <f t="shared" si="52"/>
        <v/>
      </c>
      <c r="H248" s="65" t="str">
        <f t="shared" si="53"/>
        <v/>
      </c>
      <c r="I248" s="65" t="str">
        <f t="shared" si="54"/>
        <v/>
      </c>
      <c r="O248" s="32" t="str">
        <f t="shared" si="42"/>
        <v/>
      </c>
      <c r="P248" s="21"/>
      <c r="Q248" s="21"/>
      <c r="R248" s="21"/>
      <c r="S248" s="36">
        <f t="shared" si="55"/>
        <v>0</v>
      </c>
      <c r="T248" s="34">
        <f t="shared" si="49"/>
        <v>0</v>
      </c>
      <c r="U248" s="32">
        <f t="shared" si="50"/>
        <v>0</v>
      </c>
      <c r="V248" s="43"/>
      <c r="W248" s="32">
        <f t="shared" si="43"/>
        <v>0</v>
      </c>
      <c r="X248" s="34">
        <f t="shared" si="44"/>
        <v>0</v>
      </c>
      <c r="Y248" s="30">
        <f t="shared" si="45"/>
        <v>0</v>
      </c>
      <c r="Z248" s="34">
        <f t="shared" si="46"/>
        <v>0</v>
      </c>
      <c r="AA248" s="41">
        <f t="shared" si="47"/>
        <v>0</v>
      </c>
      <c r="AB248" s="31">
        <f t="shared" si="48"/>
        <v>0</v>
      </c>
    </row>
    <row r="249" spans="3:28" x14ac:dyDescent="0.7">
      <c r="C249" s="63" t="str">
        <f t="shared" si="51"/>
        <v/>
      </c>
      <c r="D249" s="16"/>
      <c r="E249" s="3"/>
      <c r="F249" s="57"/>
      <c r="G249" s="15" t="str">
        <f t="shared" si="52"/>
        <v/>
      </c>
      <c r="H249" s="65" t="str">
        <f t="shared" si="53"/>
        <v/>
      </c>
      <c r="I249" s="65" t="str">
        <f t="shared" si="54"/>
        <v/>
      </c>
      <c r="O249" s="32" t="str">
        <f t="shared" si="42"/>
        <v/>
      </c>
      <c r="P249" s="47"/>
      <c r="Q249" s="48"/>
      <c r="R249" s="48"/>
      <c r="S249" s="36">
        <f t="shared" si="55"/>
        <v>0</v>
      </c>
      <c r="T249" s="34">
        <f t="shared" si="49"/>
        <v>0</v>
      </c>
      <c r="U249" s="32">
        <f t="shared" si="50"/>
        <v>0</v>
      </c>
      <c r="V249" s="43"/>
      <c r="W249" s="32">
        <f t="shared" si="43"/>
        <v>0</v>
      </c>
      <c r="X249" s="34">
        <f t="shared" si="44"/>
        <v>0</v>
      </c>
      <c r="Y249" s="30">
        <f t="shared" si="45"/>
        <v>0</v>
      </c>
      <c r="Z249" s="34">
        <f t="shared" si="46"/>
        <v>0</v>
      </c>
      <c r="AA249" s="41">
        <f t="shared" si="47"/>
        <v>0</v>
      </c>
      <c r="AB249" s="31">
        <f t="shared" si="48"/>
        <v>0</v>
      </c>
    </row>
    <row r="250" spans="3:28" x14ac:dyDescent="0.7">
      <c r="C250" s="63" t="str">
        <f t="shared" si="51"/>
        <v/>
      </c>
      <c r="D250" s="16"/>
      <c r="E250" s="3"/>
      <c r="F250" s="57"/>
      <c r="G250" s="15" t="str">
        <f t="shared" si="52"/>
        <v/>
      </c>
      <c r="H250" s="65" t="str">
        <f t="shared" si="53"/>
        <v/>
      </c>
      <c r="I250" s="65" t="str">
        <f t="shared" si="54"/>
        <v/>
      </c>
      <c r="O250" s="32" t="str">
        <f t="shared" si="42"/>
        <v/>
      </c>
      <c r="P250" s="50"/>
      <c r="Q250" s="48"/>
      <c r="R250" s="48"/>
      <c r="S250" s="36">
        <f t="shared" si="55"/>
        <v>0</v>
      </c>
      <c r="T250" s="34">
        <f t="shared" si="49"/>
        <v>0</v>
      </c>
      <c r="U250" s="32">
        <f t="shared" si="50"/>
        <v>0</v>
      </c>
      <c r="V250" s="43"/>
      <c r="W250" s="32">
        <f t="shared" si="43"/>
        <v>0</v>
      </c>
      <c r="X250" s="34">
        <f t="shared" si="44"/>
        <v>0</v>
      </c>
      <c r="Y250" s="30">
        <f t="shared" si="45"/>
        <v>0</v>
      </c>
      <c r="Z250" s="34">
        <f t="shared" si="46"/>
        <v>0</v>
      </c>
      <c r="AA250" s="41">
        <f t="shared" si="47"/>
        <v>0</v>
      </c>
      <c r="AB250" s="31">
        <f t="shared" si="48"/>
        <v>0</v>
      </c>
    </row>
    <row r="251" spans="3:28" x14ac:dyDescent="0.7">
      <c r="C251" s="63" t="str">
        <f t="shared" si="51"/>
        <v/>
      </c>
      <c r="D251" s="16"/>
      <c r="E251" s="3"/>
      <c r="F251" s="57"/>
      <c r="G251" s="15" t="str">
        <f t="shared" si="52"/>
        <v/>
      </c>
      <c r="H251" s="65" t="str">
        <f t="shared" si="53"/>
        <v/>
      </c>
      <c r="I251" s="65" t="str">
        <f t="shared" si="54"/>
        <v/>
      </c>
      <c r="O251" s="32" t="str">
        <f t="shared" si="42"/>
        <v/>
      </c>
      <c r="P251" s="50"/>
      <c r="Q251" s="48"/>
      <c r="R251" s="48"/>
      <c r="S251" s="36">
        <f t="shared" si="55"/>
        <v>0</v>
      </c>
      <c r="T251" s="34">
        <f t="shared" si="49"/>
        <v>0</v>
      </c>
      <c r="U251" s="32">
        <f t="shared" si="50"/>
        <v>0</v>
      </c>
      <c r="V251" s="43"/>
      <c r="W251" s="32">
        <f t="shared" si="43"/>
        <v>0</v>
      </c>
      <c r="X251" s="34">
        <f t="shared" si="44"/>
        <v>0</v>
      </c>
      <c r="Y251" s="30">
        <f t="shared" si="45"/>
        <v>0</v>
      </c>
      <c r="Z251" s="34">
        <f t="shared" si="46"/>
        <v>0</v>
      </c>
      <c r="AA251" s="41">
        <f t="shared" si="47"/>
        <v>0</v>
      </c>
      <c r="AB251" s="31">
        <f t="shared" si="48"/>
        <v>0</v>
      </c>
    </row>
    <row r="252" spans="3:28" x14ac:dyDescent="0.7">
      <c r="C252" s="63" t="str">
        <f t="shared" si="51"/>
        <v/>
      </c>
      <c r="D252" s="16"/>
      <c r="E252" s="3"/>
      <c r="F252" s="57"/>
      <c r="G252" s="15" t="str">
        <f t="shared" si="52"/>
        <v/>
      </c>
      <c r="H252" s="65" t="str">
        <f t="shared" si="53"/>
        <v/>
      </c>
      <c r="I252" s="65" t="str">
        <f t="shared" si="54"/>
        <v/>
      </c>
      <c r="O252" s="32" t="str">
        <f t="shared" si="42"/>
        <v/>
      </c>
      <c r="P252" s="51"/>
      <c r="Q252" s="48"/>
      <c r="R252" s="48"/>
      <c r="S252" s="36">
        <f t="shared" si="55"/>
        <v>0</v>
      </c>
      <c r="T252" s="34">
        <f t="shared" si="49"/>
        <v>0</v>
      </c>
      <c r="U252" s="32">
        <f t="shared" si="50"/>
        <v>0</v>
      </c>
      <c r="V252" s="43"/>
      <c r="W252" s="32">
        <f t="shared" si="43"/>
        <v>0</v>
      </c>
      <c r="X252" s="34">
        <f t="shared" si="44"/>
        <v>0</v>
      </c>
      <c r="Y252" s="30">
        <f t="shared" si="45"/>
        <v>0</v>
      </c>
      <c r="Z252" s="34">
        <f t="shared" si="46"/>
        <v>0</v>
      </c>
      <c r="AA252" s="41">
        <f t="shared" si="47"/>
        <v>0</v>
      </c>
      <c r="AB252" s="31">
        <f t="shared" si="48"/>
        <v>0</v>
      </c>
    </row>
    <row r="253" spans="3:28" x14ac:dyDescent="0.7">
      <c r="C253" s="63" t="str">
        <f t="shared" si="51"/>
        <v/>
      </c>
      <c r="D253" s="16"/>
      <c r="E253" s="3"/>
      <c r="F253" s="57"/>
      <c r="G253" s="15" t="str">
        <f t="shared" si="52"/>
        <v/>
      </c>
      <c r="H253" s="65" t="str">
        <f t="shared" si="53"/>
        <v/>
      </c>
      <c r="I253" s="65" t="str">
        <f t="shared" si="54"/>
        <v/>
      </c>
      <c r="O253" s="32" t="str">
        <f t="shared" si="42"/>
        <v/>
      </c>
      <c r="P253" s="51"/>
      <c r="Q253" s="48"/>
      <c r="R253" s="48"/>
      <c r="S253" s="36">
        <f t="shared" si="55"/>
        <v>0</v>
      </c>
      <c r="T253" s="34">
        <f t="shared" si="49"/>
        <v>0</v>
      </c>
      <c r="U253" s="32">
        <f t="shared" si="50"/>
        <v>0</v>
      </c>
      <c r="V253" s="43"/>
      <c r="W253" s="32">
        <f t="shared" si="43"/>
        <v>0</v>
      </c>
      <c r="X253" s="34">
        <f t="shared" si="44"/>
        <v>0</v>
      </c>
      <c r="Y253" s="30">
        <f t="shared" si="45"/>
        <v>0</v>
      </c>
      <c r="Z253" s="34">
        <f t="shared" si="46"/>
        <v>0</v>
      </c>
      <c r="AA253" s="41">
        <f t="shared" si="47"/>
        <v>0</v>
      </c>
      <c r="AB253" s="31">
        <f t="shared" si="48"/>
        <v>0</v>
      </c>
    </row>
    <row r="254" spans="3:28" x14ac:dyDescent="0.7">
      <c r="C254" s="63" t="str">
        <f t="shared" si="51"/>
        <v/>
      </c>
      <c r="D254" s="16"/>
      <c r="E254" s="3"/>
      <c r="F254" s="57"/>
      <c r="G254" s="15" t="str">
        <f t="shared" si="52"/>
        <v/>
      </c>
      <c r="H254" s="65" t="str">
        <f t="shared" si="53"/>
        <v/>
      </c>
      <c r="I254" s="65" t="str">
        <f t="shared" si="54"/>
        <v/>
      </c>
      <c r="O254" s="32" t="str">
        <f t="shared" si="42"/>
        <v/>
      </c>
      <c r="P254" s="51"/>
      <c r="Q254" s="48"/>
      <c r="R254" s="48"/>
      <c r="S254" s="36">
        <f t="shared" si="55"/>
        <v>0</v>
      </c>
      <c r="T254" s="34">
        <f t="shared" si="49"/>
        <v>0</v>
      </c>
      <c r="U254" s="32">
        <f t="shared" si="50"/>
        <v>0</v>
      </c>
      <c r="V254" s="43"/>
      <c r="W254" s="32">
        <f t="shared" si="43"/>
        <v>0</v>
      </c>
      <c r="X254" s="34">
        <f t="shared" si="44"/>
        <v>0</v>
      </c>
      <c r="Y254" s="30">
        <f t="shared" si="45"/>
        <v>0</v>
      </c>
      <c r="Z254" s="34">
        <f t="shared" si="46"/>
        <v>0</v>
      </c>
      <c r="AA254" s="41">
        <f t="shared" si="47"/>
        <v>0</v>
      </c>
      <c r="AB254" s="31">
        <f t="shared" si="48"/>
        <v>0</v>
      </c>
    </row>
    <row r="255" spans="3:28" x14ac:dyDescent="0.7">
      <c r="C255" s="63" t="str">
        <f t="shared" si="51"/>
        <v/>
      </c>
      <c r="D255" s="16"/>
      <c r="E255" s="3"/>
      <c r="F255" s="57"/>
      <c r="G255" s="15" t="str">
        <f t="shared" si="52"/>
        <v/>
      </c>
      <c r="H255" s="65" t="str">
        <f t="shared" si="53"/>
        <v/>
      </c>
      <c r="I255" s="65" t="str">
        <f t="shared" si="54"/>
        <v/>
      </c>
      <c r="O255" s="32" t="str">
        <f t="shared" si="42"/>
        <v/>
      </c>
      <c r="P255" s="50"/>
      <c r="Q255" s="48"/>
      <c r="R255" s="48"/>
      <c r="S255" s="36">
        <f t="shared" si="55"/>
        <v>0</v>
      </c>
      <c r="T255" s="34">
        <f t="shared" si="49"/>
        <v>0</v>
      </c>
      <c r="U255" s="32">
        <f t="shared" si="50"/>
        <v>0</v>
      </c>
      <c r="V255" s="43"/>
      <c r="W255" s="32">
        <f t="shared" si="43"/>
        <v>0</v>
      </c>
      <c r="X255" s="34">
        <f t="shared" si="44"/>
        <v>0</v>
      </c>
      <c r="Y255" s="30">
        <f t="shared" si="45"/>
        <v>0</v>
      </c>
      <c r="Z255" s="34">
        <f t="shared" si="46"/>
        <v>0</v>
      </c>
      <c r="AA255" s="41">
        <f t="shared" si="47"/>
        <v>0</v>
      </c>
      <c r="AB255" s="31">
        <f t="shared" si="48"/>
        <v>0</v>
      </c>
    </row>
    <row r="256" spans="3:28" x14ac:dyDescent="0.7">
      <c r="C256" s="63" t="str">
        <f t="shared" si="51"/>
        <v/>
      </c>
      <c r="D256" s="16"/>
      <c r="E256" s="3"/>
      <c r="F256" s="57"/>
      <c r="G256" s="15" t="str">
        <f t="shared" si="52"/>
        <v/>
      </c>
      <c r="H256" s="65" t="str">
        <f t="shared" si="53"/>
        <v/>
      </c>
      <c r="I256" s="65" t="str">
        <f t="shared" si="54"/>
        <v/>
      </c>
      <c r="O256" s="32" t="str">
        <f t="shared" si="42"/>
        <v/>
      </c>
      <c r="P256" s="50"/>
      <c r="Q256" s="48"/>
      <c r="R256" s="48"/>
      <c r="S256" s="36">
        <f t="shared" si="55"/>
        <v>0</v>
      </c>
      <c r="T256" s="34">
        <f t="shared" si="49"/>
        <v>0</v>
      </c>
      <c r="U256" s="32">
        <f t="shared" si="50"/>
        <v>0</v>
      </c>
      <c r="V256" s="43"/>
      <c r="W256" s="32">
        <f t="shared" si="43"/>
        <v>0</v>
      </c>
      <c r="X256" s="34">
        <f t="shared" si="44"/>
        <v>0</v>
      </c>
      <c r="Y256" s="30">
        <f t="shared" si="45"/>
        <v>0</v>
      </c>
      <c r="Z256" s="34">
        <f t="shared" si="46"/>
        <v>0</v>
      </c>
      <c r="AA256" s="41">
        <f t="shared" si="47"/>
        <v>0</v>
      </c>
      <c r="AB256" s="31">
        <f t="shared" si="48"/>
        <v>0</v>
      </c>
    </row>
    <row r="257" spans="3:28" x14ac:dyDescent="0.7">
      <c r="C257" s="63" t="str">
        <f t="shared" si="51"/>
        <v/>
      </c>
      <c r="D257" s="16"/>
      <c r="E257" s="3"/>
      <c r="F257" s="57"/>
      <c r="G257" s="15" t="str">
        <f t="shared" si="52"/>
        <v/>
      </c>
      <c r="H257" s="65" t="str">
        <f t="shared" si="53"/>
        <v/>
      </c>
      <c r="I257" s="65" t="str">
        <f t="shared" si="54"/>
        <v/>
      </c>
      <c r="O257" s="32" t="str">
        <f t="shared" si="42"/>
        <v/>
      </c>
      <c r="P257" s="53"/>
      <c r="Q257" s="48"/>
      <c r="R257" s="48"/>
      <c r="S257" s="36">
        <f t="shared" si="55"/>
        <v>0</v>
      </c>
      <c r="T257" s="34">
        <f t="shared" si="49"/>
        <v>0</v>
      </c>
      <c r="U257" s="32">
        <f t="shared" si="50"/>
        <v>0</v>
      </c>
      <c r="V257" s="43"/>
      <c r="W257" s="32">
        <f t="shared" si="43"/>
        <v>0</v>
      </c>
      <c r="X257" s="34">
        <f t="shared" si="44"/>
        <v>0</v>
      </c>
      <c r="Y257" s="30">
        <f t="shared" si="45"/>
        <v>0</v>
      </c>
      <c r="Z257" s="34">
        <f t="shared" si="46"/>
        <v>0</v>
      </c>
      <c r="AA257" s="41">
        <f t="shared" si="47"/>
        <v>0</v>
      </c>
      <c r="AB257" s="31">
        <f t="shared" si="48"/>
        <v>0</v>
      </c>
    </row>
    <row r="258" spans="3:28" x14ac:dyDescent="0.7">
      <c r="C258" s="63" t="str">
        <f t="shared" si="51"/>
        <v/>
      </c>
      <c r="D258" s="16"/>
      <c r="E258" s="3"/>
      <c r="F258" s="57"/>
      <c r="G258" s="15" t="str">
        <f t="shared" si="52"/>
        <v/>
      </c>
      <c r="H258" s="65" t="str">
        <f t="shared" si="53"/>
        <v/>
      </c>
      <c r="I258" s="65" t="str">
        <f t="shared" si="54"/>
        <v/>
      </c>
      <c r="O258" s="32" t="str">
        <f t="shared" si="42"/>
        <v/>
      </c>
      <c r="P258" s="50"/>
      <c r="Q258" s="48"/>
      <c r="R258" s="48"/>
      <c r="S258" s="36">
        <f t="shared" si="55"/>
        <v>0</v>
      </c>
      <c r="T258" s="34">
        <f t="shared" si="49"/>
        <v>0</v>
      </c>
      <c r="U258" s="32">
        <f t="shared" si="50"/>
        <v>0</v>
      </c>
      <c r="V258" s="43"/>
      <c r="W258" s="32">
        <f t="shared" si="43"/>
        <v>0</v>
      </c>
      <c r="X258" s="34">
        <f t="shared" si="44"/>
        <v>0</v>
      </c>
      <c r="Y258" s="30">
        <f t="shared" si="45"/>
        <v>0</v>
      </c>
      <c r="Z258" s="34">
        <f t="shared" si="46"/>
        <v>0</v>
      </c>
      <c r="AA258" s="41">
        <f t="shared" si="47"/>
        <v>0</v>
      </c>
      <c r="AB258" s="31">
        <f t="shared" si="48"/>
        <v>0</v>
      </c>
    </row>
    <row r="259" spans="3:28" x14ac:dyDescent="0.7">
      <c r="C259" s="63" t="str">
        <f t="shared" si="51"/>
        <v/>
      </c>
      <c r="D259" s="16"/>
      <c r="E259" s="3"/>
      <c r="F259" s="57"/>
      <c r="G259" s="15" t="str">
        <f t="shared" si="52"/>
        <v/>
      </c>
      <c r="H259" s="65" t="str">
        <f t="shared" si="53"/>
        <v/>
      </c>
      <c r="I259" s="65" t="str">
        <f t="shared" si="54"/>
        <v/>
      </c>
      <c r="O259" s="32" t="str">
        <f t="shared" si="42"/>
        <v/>
      </c>
      <c r="P259" s="49"/>
      <c r="Q259" s="48"/>
      <c r="R259" s="48"/>
      <c r="S259" s="36">
        <f t="shared" si="55"/>
        <v>0</v>
      </c>
      <c r="T259" s="34">
        <f t="shared" si="49"/>
        <v>0</v>
      </c>
      <c r="U259" s="32">
        <f t="shared" si="50"/>
        <v>0</v>
      </c>
      <c r="V259" s="43"/>
      <c r="W259" s="32">
        <f t="shared" si="43"/>
        <v>0</v>
      </c>
      <c r="X259" s="34">
        <f t="shared" si="44"/>
        <v>0</v>
      </c>
      <c r="Y259" s="30">
        <f t="shared" si="45"/>
        <v>0</v>
      </c>
      <c r="Z259" s="34">
        <f t="shared" si="46"/>
        <v>0</v>
      </c>
      <c r="AA259" s="41">
        <f t="shared" si="47"/>
        <v>0</v>
      </c>
      <c r="AB259" s="31">
        <f t="shared" si="48"/>
        <v>0</v>
      </c>
    </row>
    <row r="260" spans="3:28" x14ac:dyDescent="0.7">
      <c r="C260" s="63" t="str">
        <f t="shared" si="51"/>
        <v/>
      </c>
      <c r="D260" s="16"/>
      <c r="E260" s="3"/>
      <c r="F260" s="57"/>
      <c r="G260" s="15" t="str">
        <f t="shared" si="52"/>
        <v/>
      </c>
      <c r="H260" s="65" t="str">
        <f t="shared" si="53"/>
        <v/>
      </c>
      <c r="I260" s="65" t="str">
        <f t="shared" si="54"/>
        <v/>
      </c>
      <c r="O260" s="32" t="str">
        <f t="shared" si="42"/>
        <v/>
      </c>
      <c r="P260" s="50"/>
      <c r="Q260" s="48"/>
      <c r="R260" s="48"/>
      <c r="S260" s="36">
        <f t="shared" si="55"/>
        <v>0</v>
      </c>
      <c r="T260" s="34">
        <f t="shared" si="49"/>
        <v>0</v>
      </c>
      <c r="U260" s="32">
        <f t="shared" si="50"/>
        <v>0</v>
      </c>
      <c r="V260" s="43"/>
      <c r="W260" s="32">
        <f t="shared" si="43"/>
        <v>0</v>
      </c>
      <c r="X260" s="34">
        <f t="shared" si="44"/>
        <v>0</v>
      </c>
      <c r="Y260" s="30">
        <f t="shared" si="45"/>
        <v>0</v>
      </c>
      <c r="Z260" s="34">
        <f t="shared" si="46"/>
        <v>0</v>
      </c>
      <c r="AA260" s="41">
        <f t="shared" si="47"/>
        <v>0</v>
      </c>
      <c r="AB260" s="31">
        <f t="shared" si="48"/>
        <v>0</v>
      </c>
    </row>
    <row r="261" spans="3:28" x14ac:dyDescent="0.7">
      <c r="C261" s="63" t="str">
        <f t="shared" si="51"/>
        <v/>
      </c>
      <c r="D261" s="16"/>
      <c r="E261" s="3"/>
      <c r="F261" s="57"/>
      <c r="G261" s="15" t="str">
        <f t="shared" si="52"/>
        <v/>
      </c>
      <c r="H261" s="65" t="str">
        <f t="shared" si="53"/>
        <v/>
      </c>
      <c r="I261" s="65" t="str">
        <f t="shared" si="54"/>
        <v/>
      </c>
      <c r="O261" s="32" t="str">
        <f t="shared" si="42"/>
        <v/>
      </c>
      <c r="P261" s="50"/>
      <c r="Q261" s="48"/>
      <c r="R261" s="48"/>
      <c r="S261" s="36">
        <f t="shared" si="55"/>
        <v>0</v>
      </c>
      <c r="T261" s="34">
        <f t="shared" si="49"/>
        <v>0</v>
      </c>
      <c r="U261" s="32">
        <f t="shared" si="50"/>
        <v>0</v>
      </c>
      <c r="V261" s="43"/>
      <c r="W261" s="32">
        <f t="shared" si="43"/>
        <v>0</v>
      </c>
      <c r="X261" s="34">
        <f t="shared" si="44"/>
        <v>0</v>
      </c>
      <c r="Y261" s="30">
        <f t="shared" si="45"/>
        <v>0</v>
      </c>
      <c r="Z261" s="34">
        <f t="shared" si="46"/>
        <v>0</v>
      </c>
      <c r="AA261" s="41">
        <f t="shared" si="47"/>
        <v>0</v>
      </c>
      <c r="AB261" s="31">
        <f t="shared" si="48"/>
        <v>0</v>
      </c>
    </row>
    <row r="262" spans="3:28" x14ac:dyDescent="0.7">
      <c r="C262" s="63" t="str">
        <f t="shared" si="51"/>
        <v/>
      </c>
      <c r="D262" s="16"/>
      <c r="E262" s="3"/>
      <c r="F262" s="57"/>
      <c r="G262" s="15" t="str">
        <f t="shared" si="52"/>
        <v/>
      </c>
      <c r="H262" s="65" t="str">
        <f t="shared" si="53"/>
        <v/>
      </c>
      <c r="I262" s="65" t="str">
        <f t="shared" si="54"/>
        <v/>
      </c>
      <c r="O262" s="32" t="str">
        <f t="shared" si="42"/>
        <v/>
      </c>
      <c r="P262" s="50"/>
      <c r="Q262" s="48"/>
      <c r="R262" s="48"/>
      <c r="S262" s="36">
        <f t="shared" si="55"/>
        <v>0</v>
      </c>
      <c r="T262" s="34">
        <f t="shared" si="49"/>
        <v>0</v>
      </c>
      <c r="U262" s="32">
        <f t="shared" si="50"/>
        <v>0</v>
      </c>
      <c r="V262" s="43"/>
      <c r="W262" s="32">
        <f t="shared" si="43"/>
        <v>0</v>
      </c>
      <c r="X262" s="34">
        <f t="shared" si="44"/>
        <v>0</v>
      </c>
      <c r="Y262" s="30">
        <f t="shared" si="45"/>
        <v>0</v>
      </c>
      <c r="Z262" s="34">
        <f t="shared" si="46"/>
        <v>0</v>
      </c>
      <c r="AA262" s="41">
        <f t="shared" si="47"/>
        <v>0</v>
      </c>
      <c r="AB262" s="31">
        <f t="shared" si="48"/>
        <v>0</v>
      </c>
    </row>
    <row r="263" spans="3:28" x14ac:dyDescent="0.7">
      <c r="C263" s="63" t="str">
        <f t="shared" si="51"/>
        <v/>
      </c>
      <c r="D263" s="16"/>
      <c r="E263" s="3"/>
      <c r="F263" s="57"/>
      <c r="G263" s="15" t="str">
        <f t="shared" si="52"/>
        <v/>
      </c>
      <c r="H263" s="65" t="str">
        <f t="shared" si="53"/>
        <v/>
      </c>
      <c r="I263" s="65" t="str">
        <f t="shared" si="54"/>
        <v/>
      </c>
      <c r="O263" s="32" t="str">
        <f t="shared" si="42"/>
        <v/>
      </c>
      <c r="P263" s="47"/>
      <c r="Q263" s="48"/>
      <c r="R263" s="48"/>
      <c r="S263" s="36">
        <f t="shared" si="55"/>
        <v>0</v>
      </c>
      <c r="T263" s="34">
        <f t="shared" si="49"/>
        <v>0</v>
      </c>
      <c r="U263" s="32">
        <f t="shared" si="50"/>
        <v>0</v>
      </c>
      <c r="V263" s="43"/>
      <c r="W263" s="32">
        <f t="shared" si="43"/>
        <v>0</v>
      </c>
      <c r="X263" s="34">
        <f t="shared" si="44"/>
        <v>0</v>
      </c>
      <c r="Y263" s="30">
        <f t="shared" si="45"/>
        <v>0</v>
      </c>
      <c r="Z263" s="34">
        <f t="shared" si="46"/>
        <v>0</v>
      </c>
      <c r="AA263" s="41">
        <f t="shared" si="47"/>
        <v>0</v>
      </c>
      <c r="AB263" s="31">
        <f t="shared" si="48"/>
        <v>0</v>
      </c>
    </row>
    <row r="264" spans="3:28" x14ac:dyDescent="0.7">
      <c r="C264" s="63" t="str">
        <f t="shared" si="51"/>
        <v/>
      </c>
      <c r="D264" s="16"/>
      <c r="E264" s="3"/>
      <c r="F264" s="57"/>
      <c r="G264" s="15" t="str">
        <f t="shared" si="52"/>
        <v/>
      </c>
      <c r="H264" s="65" t="str">
        <f t="shared" si="53"/>
        <v/>
      </c>
      <c r="I264" s="65" t="str">
        <f t="shared" si="54"/>
        <v/>
      </c>
      <c r="O264" s="32" t="str">
        <f t="shared" ref="O264:O327" si="56">IF(P264="","",ROW()-ROW($O$6))</f>
        <v/>
      </c>
      <c r="P264" s="49"/>
      <c r="Q264" s="48"/>
      <c r="R264" s="48"/>
      <c r="S264" s="36">
        <f t="shared" si="55"/>
        <v>0</v>
      </c>
      <c r="T264" s="34">
        <f t="shared" si="49"/>
        <v>0</v>
      </c>
      <c r="U264" s="32">
        <f t="shared" si="50"/>
        <v>0</v>
      </c>
      <c r="V264" s="43"/>
      <c r="W264" s="32">
        <f t="shared" ref="W264:W327" si="57">U264-V264</f>
        <v>0</v>
      </c>
      <c r="X264" s="34">
        <f t="shared" ref="X264:X327" si="58">W264/5440</f>
        <v>0</v>
      </c>
      <c r="Y264" s="30">
        <f t="shared" ref="Y264:Y327" si="59">TRUNC(X264)</f>
        <v>0</v>
      </c>
      <c r="Z264" s="34">
        <f t="shared" ref="Z264:Z327" si="60">(X264-Y264)*20</f>
        <v>0</v>
      </c>
      <c r="AA264" s="41">
        <f t="shared" ref="AA264:AA327" si="61">TRUNC(Z264)</f>
        <v>0</v>
      </c>
      <c r="AB264" s="31">
        <f t="shared" ref="AB264:AB327" si="62">(Z264-AA264)*272</f>
        <v>0</v>
      </c>
    </row>
    <row r="265" spans="3:28" x14ac:dyDescent="0.7">
      <c r="C265" s="63" t="str">
        <f t="shared" si="51"/>
        <v/>
      </c>
      <c r="D265" s="16"/>
      <c r="E265" s="3"/>
      <c r="F265" s="57"/>
      <c r="G265" s="15" t="str">
        <f t="shared" si="52"/>
        <v/>
      </c>
      <c r="H265" s="65" t="str">
        <f t="shared" si="53"/>
        <v/>
      </c>
      <c r="I265" s="65" t="str">
        <f t="shared" si="54"/>
        <v/>
      </c>
      <c r="O265" s="32" t="str">
        <f t="shared" si="56"/>
        <v/>
      </c>
      <c r="P265" s="47"/>
      <c r="Q265" s="48"/>
      <c r="R265" s="48"/>
      <c r="S265" s="36">
        <f t="shared" si="55"/>
        <v>0</v>
      </c>
      <c r="T265" s="34">
        <f t="shared" ref="T265:T328" si="63">(S265*R265)/100</f>
        <v>0</v>
      </c>
      <c r="U265" s="32">
        <f t="shared" ref="U265:U328" si="64">R265-T265</f>
        <v>0</v>
      </c>
      <c r="V265" s="43"/>
      <c r="W265" s="32">
        <f t="shared" si="57"/>
        <v>0</v>
      </c>
      <c r="X265" s="34">
        <f t="shared" si="58"/>
        <v>0</v>
      </c>
      <c r="Y265" s="30">
        <f t="shared" si="59"/>
        <v>0</v>
      </c>
      <c r="Z265" s="34">
        <f t="shared" si="60"/>
        <v>0</v>
      </c>
      <c r="AA265" s="41">
        <f t="shared" si="61"/>
        <v>0</v>
      </c>
      <c r="AB265" s="31">
        <f t="shared" si="62"/>
        <v>0</v>
      </c>
    </row>
    <row r="266" spans="3:28" x14ac:dyDescent="0.7">
      <c r="C266" s="63" t="str">
        <f t="shared" ref="C266:C329" si="65">IF(D266="","",ROW()-ROW($C$8))</f>
        <v/>
      </c>
      <c r="D266" s="16"/>
      <c r="E266" s="3"/>
      <c r="F266" s="57"/>
      <c r="G266" s="15" t="str">
        <f t="shared" ref="G266:G329" si="66">_xlfn.TEXTJOIN("-",1,E266:F266)</f>
        <v/>
      </c>
      <c r="H266" s="65" t="str">
        <f t="shared" ref="H266:H329" si="67">_xlfn.TEXTJOIN("Khasra_",1,C266:D266)</f>
        <v/>
      </c>
      <c r="I266" s="65" t="str">
        <f t="shared" ref="I266:I329" si="68">_xlfn.TEXTJOIN("=",1,H266,G266)</f>
        <v/>
      </c>
      <c r="O266" s="32" t="str">
        <f t="shared" si="56"/>
        <v/>
      </c>
      <c r="P266" s="51"/>
      <c r="Q266" s="48"/>
      <c r="R266" s="48"/>
      <c r="S266" s="36">
        <f t="shared" si="55"/>
        <v>0</v>
      </c>
      <c r="T266" s="34">
        <f t="shared" si="63"/>
        <v>0</v>
      </c>
      <c r="U266" s="32">
        <f t="shared" si="64"/>
        <v>0</v>
      </c>
      <c r="V266" s="43"/>
      <c r="W266" s="32">
        <f t="shared" si="57"/>
        <v>0</v>
      </c>
      <c r="X266" s="34">
        <f t="shared" si="58"/>
        <v>0</v>
      </c>
      <c r="Y266" s="30">
        <f t="shared" si="59"/>
        <v>0</v>
      </c>
      <c r="Z266" s="34">
        <f t="shared" si="60"/>
        <v>0</v>
      </c>
      <c r="AA266" s="41">
        <f t="shared" si="61"/>
        <v>0</v>
      </c>
      <c r="AB266" s="31">
        <f t="shared" si="62"/>
        <v>0</v>
      </c>
    </row>
    <row r="267" spans="3:28" x14ac:dyDescent="0.7">
      <c r="C267" s="63" t="str">
        <f t="shared" si="65"/>
        <v/>
      </c>
      <c r="D267" s="16"/>
      <c r="E267" s="3"/>
      <c r="F267" s="57"/>
      <c r="G267" s="15" t="str">
        <f t="shared" si="66"/>
        <v/>
      </c>
      <c r="H267" s="65" t="str">
        <f t="shared" si="67"/>
        <v/>
      </c>
      <c r="I267" s="65" t="str">
        <f t="shared" si="68"/>
        <v/>
      </c>
      <c r="O267" s="32" t="str">
        <f t="shared" si="56"/>
        <v/>
      </c>
      <c r="P267" s="50"/>
      <c r="Q267" s="48"/>
      <c r="R267" s="48"/>
      <c r="S267" s="36">
        <f t="shared" ref="S267:S330" si="69">S266</f>
        <v>0</v>
      </c>
      <c r="T267" s="34">
        <f t="shared" si="63"/>
        <v>0</v>
      </c>
      <c r="U267" s="32">
        <f t="shared" si="64"/>
        <v>0</v>
      </c>
      <c r="V267" s="43"/>
      <c r="W267" s="32">
        <f t="shared" si="57"/>
        <v>0</v>
      </c>
      <c r="X267" s="34">
        <f t="shared" si="58"/>
        <v>0</v>
      </c>
      <c r="Y267" s="30">
        <f t="shared" si="59"/>
        <v>0</v>
      </c>
      <c r="Z267" s="34">
        <f t="shared" si="60"/>
        <v>0</v>
      </c>
      <c r="AA267" s="41">
        <f t="shared" si="61"/>
        <v>0</v>
      </c>
      <c r="AB267" s="31">
        <f t="shared" si="62"/>
        <v>0</v>
      </c>
    </row>
    <row r="268" spans="3:28" x14ac:dyDescent="0.7">
      <c r="C268" s="63" t="str">
        <f t="shared" si="65"/>
        <v/>
      </c>
      <c r="D268" s="16"/>
      <c r="E268" s="3"/>
      <c r="F268" s="57"/>
      <c r="G268" s="15" t="str">
        <f t="shared" si="66"/>
        <v/>
      </c>
      <c r="H268" s="65" t="str">
        <f t="shared" si="67"/>
        <v/>
      </c>
      <c r="I268" s="65" t="str">
        <f t="shared" si="68"/>
        <v/>
      </c>
      <c r="O268" s="32" t="str">
        <f t="shared" si="56"/>
        <v/>
      </c>
      <c r="Q268" s="48"/>
      <c r="R268" s="48"/>
      <c r="S268" s="36">
        <f t="shared" si="69"/>
        <v>0</v>
      </c>
      <c r="T268" s="34">
        <f t="shared" si="63"/>
        <v>0</v>
      </c>
      <c r="U268" s="32">
        <f t="shared" si="64"/>
        <v>0</v>
      </c>
      <c r="V268" s="43"/>
      <c r="W268" s="32">
        <f t="shared" si="57"/>
        <v>0</v>
      </c>
      <c r="X268" s="34">
        <f t="shared" si="58"/>
        <v>0</v>
      </c>
      <c r="Y268" s="30">
        <f t="shared" si="59"/>
        <v>0</v>
      </c>
      <c r="Z268" s="34">
        <f t="shared" si="60"/>
        <v>0</v>
      </c>
      <c r="AA268" s="41">
        <f t="shared" si="61"/>
        <v>0</v>
      </c>
      <c r="AB268" s="31">
        <f t="shared" si="62"/>
        <v>0</v>
      </c>
    </row>
    <row r="269" spans="3:28" x14ac:dyDescent="0.7">
      <c r="C269" s="63" t="str">
        <f t="shared" si="65"/>
        <v/>
      </c>
      <c r="D269" s="16"/>
      <c r="E269" s="3"/>
      <c r="F269" s="57"/>
      <c r="G269" s="15" t="str">
        <f t="shared" si="66"/>
        <v/>
      </c>
      <c r="H269" s="65" t="str">
        <f t="shared" si="67"/>
        <v/>
      </c>
      <c r="I269" s="65" t="str">
        <f t="shared" si="68"/>
        <v/>
      </c>
      <c r="O269" s="32" t="str">
        <f t="shared" si="56"/>
        <v/>
      </c>
      <c r="P269" s="50"/>
      <c r="Q269" s="48"/>
      <c r="R269" s="48"/>
      <c r="S269" s="36">
        <f t="shared" si="69"/>
        <v>0</v>
      </c>
      <c r="T269" s="34">
        <f t="shared" si="63"/>
        <v>0</v>
      </c>
      <c r="U269" s="32">
        <f t="shared" si="64"/>
        <v>0</v>
      </c>
      <c r="V269" s="43"/>
      <c r="W269" s="32">
        <f t="shared" si="57"/>
        <v>0</v>
      </c>
      <c r="X269" s="34">
        <f t="shared" si="58"/>
        <v>0</v>
      </c>
      <c r="Y269" s="30">
        <f t="shared" si="59"/>
        <v>0</v>
      </c>
      <c r="Z269" s="34">
        <f t="shared" si="60"/>
        <v>0</v>
      </c>
      <c r="AA269" s="41">
        <f t="shared" si="61"/>
        <v>0</v>
      </c>
      <c r="AB269" s="31">
        <f t="shared" si="62"/>
        <v>0</v>
      </c>
    </row>
    <row r="270" spans="3:28" x14ac:dyDescent="0.7">
      <c r="C270" s="63" t="str">
        <f t="shared" si="65"/>
        <v/>
      </c>
      <c r="D270" s="16"/>
      <c r="E270" s="3"/>
      <c r="F270" s="57"/>
      <c r="G270" s="15" t="str">
        <f t="shared" si="66"/>
        <v/>
      </c>
      <c r="H270" s="65" t="str">
        <f t="shared" si="67"/>
        <v/>
      </c>
      <c r="I270" s="65" t="str">
        <f t="shared" si="68"/>
        <v/>
      </c>
      <c r="O270" s="32" t="str">
        <f t="shared" si="56"/>
        <v/>
      </c>
      <c r="P270" s="50"/>
      <c r="Q270" s="48"/>
      <c r="R270" s="48"/>
      <c r="S270" s="36">
        <f t="shared" si="69"/>
        <v>0</v>
      </c>
      <c r="T270" s="34">
        <f t="shared" si="63"/>
        <v>0</v>
      </c>
      <c r="U270" s="32">
        <f t="shared" si="64"/>
        <v>0</v>
      </c>
      <c r="V270" s="43"/>
      <c r="W270" s="32">
        <f t="shared" si="57"/>
        <v>0</v>
      </c>
      <c r="X270" s="34">
        <f t="shared" si="58"/>
        <v>0</v>
      </c>
      <c r="Y270" s="30">
        <f t="shared" si="59"/>
        <v>0</v>
      </c>
      <c r="Z270" s="34">
        <f t="shared" si="60"/>
        <v>0</v>
      </c>
      <c r="AA270" s="41">
        <f t="shared" si="61"/>
        <v>0</v>
      </c>
      <c r="AB270" s="31">
        <f t="shared" si="62"/>
        <v>0</v>
      </c>
    </row>
    <row r="271" spans="3:28" x14ac:dyDescent="0.7">
      <c r="C271" s="63" t="str">
        <f t="shared" si="65"/>
        <v/>
      </c>
      <c r="D271" s="16"/>
      <c r="E271" s="3"/>
      <c r="F271" s="57"/>
      <c r="G271" s="15" t="str">
        <f t="shared" si="66"/>
        <v/>
      </c>
      <c r="H271" s="65" t="str">
        <f t="shared" si="67"/>
        <v/>
      </c>
      <c r="I271" s="65" t="str">
        <f t="shared" si="68"/>
        <v/>
      </c>
      <c r="O271" s="32" t="str">
        <f t="shared" si="56"/>
        <v/>
      </c>
      <c r="P271" s="55"/>
      <c r="Q271" s="48"/>
      <c r="R271" s="48"/>
      <c r="S271" s="36">
        <f t="shared" si="69"/>
        <v>0</v>
      </c>
      <c r="T271" s="34">
        <f t="shared" si="63"/>
        <v>0</v>
      </c>
      <c r="U271" s="32">
        <f t="shared" si="64"/>
        <v>0</v>
      </c>
      <c r="V271" s="43"/>
      <c r="W271" s="32">
        <f t="shared" si="57"/>
        <v>0</v>
      </c>
      <c r="X271" s="34">
        <f t="shared" si="58"/>
        <v>0</v>
      </c>
      <c r="Y271" s="30">
        <f t="shared" si="59"/>
        <v>0</v>
      </c>
      <c r="Z271" s="34">
        <f t="shared" si="60"/>
        <v>0</v>
      </c>
      <c r="AA271" s="41">
        <f t="shared" si="61"/>
        <v>0</v>
      </c>
      <c r="AB271" s="31">
        <f t="shared" si="62"/>
        <v>0</v>
      </c>
    </row>
    <row r="272" spans="3:28" x14ac:dyDescent="0.7">
      <c r="C272" s="63" t="str">
        <f t="shared" si="65"/>
        <v/>
      </c>
      <c r="D272" s="16"/>
      <c r="E272" s="3"/>
      <c r="F272" s="57"/>
      <c r="G272" s="15" t="str">
        <f t="shared" si="66"/>
        <v/>
      </c>
      <c r="H272" s="65" t="str">
        <f t="shared" si="67"/>
        <v/>
      </c>
      <c r="I272" s="65" t="str">
        <f t="shared" si="68"/>
        <v/>
      </c>
      <c r="O272" s="32" t="str">
        <f t="shared" si="56"/>
        <v/>
      </c>
      <c r="P272" s="51"/>
      <c r="Q272" s="48"/>
      <c r="R272" s="48"/>
      <c r="S272" s="36">
        <f t="shared" si="69"/>
        <v>0</v>
      </c>
      <c r="T272" s="34">
        <f t="shared" si="63"/>
        <v>0</v>
      </c>
      <c r="U272" s="32">
        <f t="shared" si="64"/>
        <v>0</v>
      </c>
      <c r="V272" s="43"/>
      <c r="W272" s="32">
        <f t="shared" si="57"/>
        <v>0</v>
      </c>
      <c r="X272" s="34">
        <f t="shared" si="58"/>
        <v>0</v>
      </c>
      <c r="Y272" s="30">
        <f t="shared" si="59"/>
        <v>0</v>
      </c>
      <c r="Z272" s="34">
        <f t="shared" si="60"/>
        <v>0</v>
      </c>
      <c r="AA272" s="41">
        <f t="shared" si="61"/>
        <v>0</v>
      </c>
      <c r="AB272" s="31">
        <f t="shared" si="62"/>
        <v>0</v>
      </c>
    </row>
    <row r="273" spans="3:28" x14ac:dyDescent="0.7">
      <c r="C273" s="63" t="str">
        <f t="shared" si="65"/>
        <v/>
      </c>
      <c r="D273" s="16"/>
      <c r="E273" s="3"/>
      <c r="F273" s="57"/>
      <c r="G273" s="15" t="str">
        <f t="shared" si="66"/>
        <v/>
      </c>
      <c r="H273" s="65" t="str">
        <f t="shared" si="67"/>
        <v/>
      </c>
      <c r="I273" s="65" t="str">
        <f t="shared" si="68"/>
        <v/>
      </c>
      <c r="O273" s="32" t="str">
        <f t="shared" si="56"/>
        <v/>
      </c>
      <c r="P273" s="47"/>
      <c r="Q273" s="48"/>
      <c r="R273" s="48"/>
      <c r="S273" s="36">
        <f t="shared" si="69"/>
        <v>0</v>
      </c>
      <c r="T273" s="34">
        <f t="shared" si="63"/>
        <v>0</v>
      </c>
      <c r="U273" s="32">
        <f t="shared" si="64"/>
        <v>0</v>
      </c>
      <c r="V273" s="43"/>
      <c r="W273" s="32">
        <f t="shared" si="57"/>
        <v>0</v>
      </c>
      <c r="X273" s="34">
        <f t="shared" si="58"/>
        <v>0</v>
      </c>
      <c r="Y273" s="30">
        <f t="shared" si="59"/>
        <v>0</v>
      </c>
      <c r="Z273" s="34">
        <f t="shared" si="60"/>
        <v>0</v>
      </c>
      <c r="AA273" s="41">
        <f t="shared" si="61"/>
        <v>0</v>
      </c>
      <c r="AB273" s="31">
        <f t="shared" si="62"/>
        <v>0</v>
      </c>
    </row>
    <row r="274" spans="3:28" x14ac:dyDescent="0.7">
      <c r="C274" s="63" t="str">
        <f t="shared" si="65"/>
        <v/>
      </c>
      <c r="D274" s="16"/>
      <c r="E274" s="3"/>
      <c r="F274" s="57"/>
      <c r="G274" s="15" t="str">
        <f t="shared" si="66"/>
        <v/>
      </c>
      <c r="H274" s="65" t="str">
        <f t="shared" si="67"/>
        <v/>
      </c>
      <c r="I274" s="65" t="str">
        <f t="shared" si="68"/>
        <v/>
      </c>
      <c r="O274" s="32" t="str">
        <f t="shared" si="56"/>
        <v/>
      </c>
      <c r="P274" s="47"/>
      <c r="Q274" s="48"/>
      <c r="R274" s="48"/>
      <c r="S274" s="36">
        <f t="shared" si="69"/>
        <v>0</v>
      </c>
      <c r="T274" s="34">
        <f t="shared" si="63"/>
        <v>0</v>
      </c>
      <c r="U274" s="32">
        <f t="shared" si="64"/>
        <v>0</v>
      </c>
      <c r="V274" s="43"/>
      <c r="W274" s="32">
        <f t="shared" si="57"/>
        <v>0</v>
      </c>
      <c r="X274" s="34">
        <f t="shared" si="58"/>
        <v>0</v>
      </c>
      <c r="Y274" s="30">
        <f t="shared" si="59"/>
        <v>0</v>
      </c>
      <c r="Z274" s="34">
        <f t="shared" si="60"/>
        <v>0</v>
      </c>
      <c r="AA274" s="41">
        <f t="shared" si="61"/>
        <v>0</v>
      </c>
      <c r="AB274" s="31">
        <f t="shared" si="62"/>
        <v>0</v>
      </c>
    </row>
    <row r="275" spans="3:28" x14ac:dyDescent="0.7">
      <c r="C275" s="63" t="str">
        <f t="shared" si="65"/>
        <v/>
      </c>
      <c r="D275" s="16"/>
      <c r="E275" s="3"/>
      <c r="F275" s="57"/>
      <c r="G275" s="15" t="str">
        <f t="shared" si="66"/>
        <v/>
      </c>
      <c r="H275" s="65" t="str">
        <f t="shared" si="67"/>
        <v/>
      </c>
      <c r="I275" s="65" t="str">
        <f t="shared" si="68"/>
        <v/>
      </c>
      <c r="O275" s="32" t="str">
        <f t="shared" si="56"/>
        <v/>
      </c>
      <c r="P275" s="51"/>
      <c r="Q275" s="48"/>
      <c r="R275" s="48"/>
      <c r="S275" s="36">
        <f t="shared" si="69"/>
        <v>0</v>
      </c>
      <c r="T275" s="34">
        <f t="shared" si="63"/>
        <v>0</v>
      </c>
      <c r="U275" s="32">
        <f t="shared" si="64"/>
        <v>0</v>
      </c>
      <c r="V275" s="43"/>
      <c r="W275" s="32">
        <f t="shared" si="57"/>
        <v>0</v>
      </c>
      <c r="X275" s="34">
        <f t="shared" si="58"/>
        <v>0</v>
      </c>
      <c r="Y275" s="30">
        <f t="shared" si="59"/>
        <v>0</v>
      </c>
      <c r="Z275" s="34">
        <f t="shared" si="60"/>
        <v>0</v>
      </c>
      <c r="AA275" s="41">
        <f t="shared" si="61"/>
        <v>0</v>
      </c>
      <c r="AB275" s="31">
        <f t="shared" si="62"/>
        <v>0</v>
      </c>
    </row>
    <row r="276" spans="3:28" x14ac:dyDescent="0.7">
      <c r="C276" s="63" t="str">
        <f t="shared" si="65"/>
        <v/>
      </c>
      <c r="D276" s="16"/>
      <c r="E276" s="3"/>
      <c r="F276" s="57"/>
      <c r="G276" s="15" t="str">
        <f t="shared" si="66"/>
        <v/>
      </c>
      <c r="H276" s="65" t="str">
        <f t="shared" si="67"/>
        <v/>
      </c>
      <c r="I276" s="65" t="str">
        <f t="shared" si="68"/>
        <v/>
      </c>
      <c r="O276" s="32" t="str">
        <f t="shared" si="56"/>
        <v/>
      </c>
      <c r="P276" s="47"/>
      <c r="Q276" s="48"/>
      <c r="R276" s="48"/>
      <c r="S276" s="36">
        <f t="shared" si="69"/>
        <v>0</v>
      </c>
      <c r="T276" s="34">
        <f t="shared" si="63"/>
        <v>0</v>
      </c>
      <c r="U276" s="32">
        <f t="shared" si="64"/>
        <v>0</v>
      </c>
      <c r="V276" s="43"/>
      <c r="W276" s="32">
        <f t="shared" si="57"/>
        <v>0</v>
      </c>
      <c r="X276" s="34">
        <f t="shared" si="58"/>
        <v>0</v>
      </c>
      <c r="Y276" s="30">
        <f t="shared" si="59"/>
        <v>0</v>
      </c>
      <c r="Z276" s="34">
        <f t="shared" si="60"/>
        <v>0</v>
      </c>
      <c r="AA276" s="41">
        <f t="shared" si="61"/>
        <v>0</v>
      </c>
      <c r="AB276" s="31">
        <f t="shared" si="62"/>
        <v>0</v>
      </c>
    </row>
    <row r="277" spans="3:28" x14ac:dyDescent="0.7">
      <c r="C277" s="63" t="str">
        <f t="shared" si="65"/>
        <v/>
      </c>
      <c r="D277" s="16"/>
      <c r="E277" s="3"/>
      <c r="F277" s="57"/>
      <c r="G277" s="15" t="str">
        <f t="shared" si="66"/>
        <v/>
      </c>
      <c r="H277" s="65" t="str">
        <f t="shared" si="67"/>
        <v/>
      </c>
      <c r="I277" s="65" t="str">
        <f t="shared" si="68"/>
        <v/>
      </c>
      <c r="O277" s="32" t="str">
        <f t="shared" si="56"/>
        <v/>
      </c>
      <c r="P277" s="47"/>
      <c r="Q277" s="48"/>
      <c r="R277" s="48"/>
      <c r="S277" s="36">
        <f t="shared" si="69"/>
        <v>0</v>
      </c>
      <c r="T277" s="34">
        <f t="shared" si="63"/>
        <v>0</v>
      </c>
      <c r="U277" s="32">
        <f t="shared" si="64"/>
        <v>0</v>
      </c>
      <c r="V277" s="43"/>
      <c r="W277" s="32">
        <f t="shared" si="57"/>
        <v>0</v>
      </c>
      <c r="X277" s="34">
        <f t="shared" si="58"/>
        <v>0</v>
      </c>
      <c r="Y277" s="30">
        <f t="shared" si="59"/>
        <v>0</v>
      </c>
      <c r="Z277" s="34">
        <f t="shared" si="60"/>
        <v>0</v>
      </c>
      <c r="AA277" s="41">
        <f t="shared" si="61"/>
        <v>0</v>
      </c>
      <c r="AB277" s="31">
        <f t="shared" si="62"/>
        <v>0</v>
      </c>
    </row>
    <row r="278" spans="3:28" x14ac:dyDescent="0.7">
      <c r="C278" s="63" t="str">
        <f t="shared" si="65"/>
        <v/>
      </c>
      <c r="D278" s="16"/>
      <c r="E278" s="3"/>
      <c r="F278" s="57"/>
      <c r="G278" s="15" t="str">
        <f t="shared" si="66"/>
        <v/>
      </c>
      <c r="H278" s="65" t="str">
        <f t="shared" si="67"/>
        <v/>
      </c>
      <c r="I278" s="65" t="str">
        <f t="shared" si="68"/>
        <v/>
      </c>
      <c r="O278" s="32" t="str">
        <f t="shared" si="56"/>
        <v/>
      </c>
      <c r="P278" s="50"/>
      <c r="Q278" s="48"/>
      <c r="R278" s="48"/>
      <c r="S278" s="36">
        <f t="shared" si="69"/>
        <v>0</v>
      </c>
      <c r="T278" s="34">
        <f t="shared" si="63"/>
        <v>0</v>
      </c>
      <c r="U278" s="32">
        <f t="shared" si="64"/>
        <v>0</v>
      </c>
      <c r="V278" s="43"/>
      <c r="W278" s="32">
        <f t="shared" si="57"/>
        <v>0</v>
      </c>
      <c r="X278" s="34">
        <f t="shared" si="58"/>
        <v>0</v>
      </c>
      <c r="Y278" s="30">
        <f t="shared" si="59"/>
        <v>0</v>
      </c>
      <c r="Z278" s="34">
        <f t="shared" si="60"/>
        <v>0</v>
      </c>
      <c r="AA278" s="41">
        <f t="shared" si="61"/>
        <v>0</v>
      </c>
      <c r="AB278" s="31">
        <f t="shared" si="62"/>
        <v>0</v>
      </c>
    </row>
    <row r="279" spans="3:28" x14ac:dyDescent="0.7">
      <c r="C279" s="63" t="str">
        <f t="shared" si="65"/>
        <v/>
      </c>
      <c r="D279" s="16"/>
      <c r="E279" s="3"/>
      <c r="F279" s="57"/>
      <c r="G279" s="15" t="str">
        <f t="shared" si="66"/>
        <v/>
      </c>
      <c r="H279" s="65" t="str">
        <f t="shared" si="67"/>
        <v/>
      </c>
      <c r="I279" s="65" t="str">
        <f t="shared" si="68"/>
        <v/>
      </c>
      <c r="O279" s="32" t="str">
        <f t="shared" si="56"/>
        <v/>
      </c>
      <c r="P279" s="50"/>
      <c r="Q279" s="48"/>
      <c r="R279" s="48"/>
      <c r="S279" s="36">
        <f t="shared" si="69"/>
        <v>0</v>
      </c>
      <c r="T279" s="34">
        <f t="shared" si="63"/>
        <v>0</v>
      </c>
      <c r="U279" s="32">
        <f t="shared" si="64"/>
        <v>0</v>
      </c>
      <c r="V279" s="43"/>
      <c r="W279" s="32">
        <f t="shared" si="57"/>
        <v>0</v>
      </c>
      <c r="X279" s="34">
        <f t="shared" si="58"/>
        <v>0</v>
      </c>
      <c r="Y279" s="30">
        <f t="shared" si="59"/>
        <v>0</v>
      </c>
      <c r="Z279" s="34">
        <f t="shared" si="60"/>
        <v>0</v>
      </c>
      <c r="AA279" s="41">
        <f t="shared" si="61"/>
        <v>0</v>
      </c>
      <c r="AB279" s="31">
        <f t="shared" si="62"/>
        <v>0</v>
      </c>
    </row>
    <row r="280" spans="3:28" x14ac:dyDescent="0.7">
      <c r="C280" s="63" t="str">
        <f t="shared" si="65"/>
        <v/>
      </c>
      <c r="D280" s="16"/>
      <c r="E280" s="3"/>
      <c r="F280" s="57"/>
      <c r="G280" s="15" t="str">
        <f t="shared" si="66"/>
        <v/>
      </c>
      <c r="H280" s="65" t="str">
        <f t="shared" si="67"/>
        <v/>
      </c>
      <c r="I280" s="65" t="str">
        <f t="shared" si="68"/>
        <v/>
      </c>
      <c r="O280" s="32" t="str">
        <f t="shared" si="56"/>
        <v/>
      </c>
      <c r="P280" s="50"/>
      <c r="Q280" s="48"/>
      <c r="R280" s="48"/>
      <c r="S280" s="36">
        <f t="shared" si="69"/>
        <v>0</v>
      </c>
      <c r="T280" s="34">
        <f t="shared" si="63"/>
        <v>0</v>
      </c>
      <c r="U280" s="32">
        <f t="shared" si="64"/>
        <v>0</v>
      </c>
      <c r="V280" s="43"/>
      <c r="W280" s="32">
        <f t="shared" si="57"/>
        <v>0</v>
      </c>
      <c r="X280" s="34">
        <f t="shared" si="58"/>
        <v>0</v>
      </c>
      <c r="Y280" s="30">
        <f t="shared" si="59"/>
        <v>0</v>
      </c>
      <c r="Z280" s="34">
        <f t="shared" si="60"/>
        <v>0</v>
      </c>
      <c r="AA280" s="41">
        <f t="shared" si="61"/>
        <v>0</v>
      </c>
      <c r="AB280" s="31">
        <f t="shared" si="62"/>
        <v>0</v>
      </c>
    </row>
    <row r="281" spans="3:28" x14ac:dyDescent="0.7">
      <c r="C281" s="63" t="str">
        <f t="shared" si="65"/>
        <v/>
      </c>
      <c r="D281" s="16"/>
      <c r="E281" s="3"/>
      <c r="F281" s="57"/>
      <c r="G281" s="15" t="str">
        <f t="shared" si="66"/>
        <v/>
      </c>
      <c r="H281" s="65" t="str">
        <f t="shared" si="67"/>
        <v/>
      </c>
      <c r="I281" s="65" t="str">
        <f t="shared" si="68"/>
        <v/>
      </c>
      <c r="O281" s="32" t="str">
        <f t="shared" si="56"/>
        <v/>
      </c>
      <c r="P281" s="52"/>
      <c r="Q281" s="48"/>
      <c r="R281" s="48"/>
      <c r="S281" s="36">
        <f t="shared" si="69"/>
        <v>0</v>
      </c>
      <c r="T281" s="34">
        <f t="shared" si="63"/>
        <v>0</v>
      </c>
      <c r="U281" s="32">
        <f t="shared" si="64"/>
        <v>0</v>
      </c>
      <c r="V281" s="43"/>
      <c r="W281" s="32">
        <f t="shared" si="57"/>
        <v>0</v>
      </c>
      <c r="X281" s="34">
        <f t="shared" si="58"/>
        <v>0</v>
      </c>
      <c r="Y281" s="30">
        <f t="shared" si="59"/>
        <v>0</v>
      </c>
      <c r="Z281" s="34">
        <f t="shared" si="60"/>
        <v>0</v>
      </c>
      <c r="AA281" s="41">
        <f t="shared" si="61"/>
        <v>0</v>
      </c>
      <c r="AB281" s="31">
        <f t="shared" si="62"/>
        <v>0</v>
      </c>
    </row>
    <row r="282" spans="3:28" x14ac:dyDescent="0.7">
      <c r="C282" s="63" t="str">
        <f t="shared" si="65"/>
        <v/>
      </c>
      <c r="D282" s="16"/>
      <c r="E282" s="3"/>
      <c r="F282" s="57"/>
      <c r="G282" s="15" t="str">
        <f t="shared" si="66"/>
        <v/>
      </c>
      <c r="H282" s="65" t="str">
        <f t="shared" si="67"/>
        <v/>
      </c>
      <c r="I282" s="65" t="str">
        <f t="shared" si="68"/>
        <v/>
      </c>
      <c r="O282" s="32" t="str">
        <f t="shared" si="56"/>
        <v/>
      </c>
      <c r="P282" s="52"/>
      <c r="Q282" s="48"/>
      <c r="R282" s="48"/>
      <c r="S282" s="36">
        <f t="shared" si="69"/>
        <v>0</v>
      </c>
      <c r="T282" s="34">
        <f t="shared" si="63"/>
        <v>0</v>
      </c>
      <c r="U282" s="32">
        <f t="shared" si="64"/>
        <v>0</v>
      </c>
      <c r="V282" s="43"/>
      <c r="W282" s="32">
        <f t="shared" si="57"/>
        <v>0</v>
      </c>
      <c r="X282" s="34">
        <f t="shared" si="58"/>
        <v>0</v>
      </c>
      <c r="Y282" s="30">
        <f t="shared" si="59"/>
        <v>0</v>
      </c>
      <c r="Z282" s="34">
        <f t="shared" si="60"/>
        <v>0</v>
      </c>
      <c r="AA282" s="41">
        <f t="shared" si="61"/>
        <v>0</v>
      </c>
      <c r="AB282" s="31">
        <f t="shared" si="62"/>
        <v>0</v>
      </c>
    </row>
    <row r="283" spans="3:28" x14ac:dyDescent="0.7">
      <c r="C283" s="63" t="str">
        <f t="shared" si="65"/>
        <v/>
      </c>
      <c r="D283" s="16"/>
      <c r="E283" s="3"/>
      <c r="F283" s="57"/>
      <c r="G283" s="15" t="str">
        <f t="shared" si="66"/>
        <v/>
      </c>
      <c r="H283" s="65" t="str">
        <f t="shared" si="67"/>
        <v/>
      </c>
      <c r="I283" s="65" t="str">
        <f t="shared" si="68"/>
        <v/>
      </c>
      <c r="O283" s="32" t="str">
        <f t="shared" si="56"/>
        <v/>
      </c>
      <c r="P283" s="51"/>
      <c r="Q283" s="48"/>
      <c r="R283" s="48"/>
      <c r="S283" s="36">
        <f t="shared" si="69"/>
        <v>0</v>
      </c>
      <c r="T283" s="34">
        <f t="shared" si="63"/>
        <v>0</v>
      </c>
      <c r="U283" s="32">
        <f t="shared" si="64"/>
        <v>0</v>
      </c>
      <c r="V283" s="43"/>
      <c r="W283" s="32">
        <f t="shared" si="57"/>
        <v>0</v>
      </c>
      <c r="X283" s="34">
        <f t="shared" si="58"/>
        <v>0</v>
      </c>
      <c r="Y283" s="30">
        <f t="shared" si="59"/>
        <v>0</v>
      </c>
      <c r="Z283" s="34">
        <f t="shared" si="60"/>
        <v>0</v>
      </c>
      <c r="AA283" s="41">
        <f t="shared" si="61"/>
        <v>0</v>
      </c>
      <c r="AB283" s="31">
        <f t="shared" si="62"/>
        <v>0</v>
      </c>
    </row>
    <row r="284" spans="3:28" x14ac:dyDescent="0.7">
      <c r="C284" s="63" t="str">
        <f t="shared" si="65"/>
        <v/>
      </c>
      <c r="D284" s="16"/>
      <c r="E284" s="3"/>
      <c r="F284" s="57"/>
      <c r="G284" s="15" t="str">
        <f t="shared" si="66"/>
        <v/>
      </c>
      <c r="H284" s="65" t="str">
        <f t="shared" si="67"/>
        <v/>
      </c>
      <c r="I284" s="65" t="str">
        <f t="shared" si="68"/>
        <v/>
      </c>
      <c r="O284" s="32" t="str">
        <f t="shared" si="56"/>
        <v/>
      </c>
      <c r="Q284" s="48"/>
      <c r="R284" s="48"/>
      <c r="S284" s="36">
        <f t="shared" si="69"/>
        <v>0</v>
      </c>
      <c r="T284" s="34">
        <f t="shared" si="63"/>
        <v>0</v>
      </c>
      <c r="U284" s="32">
        <f t="shared" si="64"/>
        <v>0</v>
      </c>
      <c r="V284" s="43"/>
      <c r="W284" s="32">
        <f t="shared" si="57"/>
        <v>0</v>
      </c>
      <c r="X284" s="34">
        <f t="shared" si="58"/>
        <v>0</v>
      </c>
      <c r="Y284" s="30">
        <f t="shared" si="59"/>
        <v>0</v>
      </c>
      <c r="Z284" s="34">
        <f t="shared" si="60"/>
        <v>0</v>
      </c>
      <c r="AA284" s="41">
        <f t="shared" si="61"/>
        <v>0</v>
      </c>
      <c r="AB284" s="31">
        <f t="shared" si="62"/>
        <v>0</v>
      </c>
    </row>
    <row r="285" spans="3:28" x14ac:dyDescent="0.7">
      <c r="C285" s="63" t="str">
        <f t="shared" si="65"/>
        <v/>
      </c>
      <c r="D285" s="16"/>
      <c r="E285" s="3"/>
      <c r="F285" s="57"/>
      <c r="G285" s="15" t="str">
        <f t="shared" si="66"/>
        <v/>
      </c>
      <c r="H285" s="65" t="str">
        <f t="shared" si="67"/>
        <v/>
      </c>
      <c r="I285" s="65" t="str">
        <f t="shared" si="68"/>
        <v/>
      </c>
      <c r="O285" s="32" t="str">
        <f t="shared" si="56"/>
        <v/>
      </c>
      <c r="Q285" s="48"/>
      <c r="R285" s="48"/>
      <c r="S285" s="36">
        <f t="shared" si="69"/>
        <v>0</v>
      </c>
      <c r="T285" s="34">
        <f t="shared" si="63"/>
        <v>0</v>
      </c>
      <c r="U285" s="32">
        <f t="shared" si="64"/>
        <v>0</v>
      </c>
      <c r="V285" s="43"/>
      <c r="W285" s="32">
        <f t="shared" si="57"/>
        <v>0</v>
      </c>
      <c r="X285" s="34">
        <f t="shared" si="58"/>
        <v>0</v>
      </c>
      <c r="Y285" s="30">
        <f t="shared" si="59"/>
        <v>0</v>
      </c>
      <c r="Z285" s="34">
        <f t="shared" si="60"/>
        <v>0</v>
      </c>
      <c r="AA285" s="41">
        <f t="shared" si="61"/>
        <v>0</v>
      </c>
      <c r="AB285" s="31">
        <f t="shared" si="62"/>
        <v>0</v>
      </c>
    </row>
    <row r="286" spans="3:28" x14ac:dyDescent="0.7">
      <c r="C286" s="63" t="str">
        <f t="shared" si="65"/>
        <v/>
      </c>
      <c r="D286" s="16"/>
      <c r="E286" s="3"/>
      <c r="F286" s="57"/>
      <c r="G286" s="15" t="str">
        <f t="shared" si="66"/>
        <v/>
      </c>
      <c r="H286" s="65" t="str">
        <f t="shared" si="67"/>
        <v/>
      </c>
      <c r="I286" s="65" t="str">
        <f t="shared" si="68"/>
        <v/>
      </c>
      <c r="O286" s="32" t="str">
        <f t="shared" si="56"/>
        <v/>
      </c>
      <c r="Q286" s="48"/>
      <c r="R286" s="48"/>
      <c r="S286" s="36">
        <f t="shared" si="69"/>
        <v>0</v>
      </c>
      <c r="T286" s="34">
        <f t="shared" si="63"/>
        <v>0</v>
      </c>
      <c r="U286" s="32">
        <f t="shared" si="64"/>
        <v>0</v>
      </c>
      <c r="V286" s="43"/>
      <c r="W286" s="32">
        <f t="shared" si="57"/>
        <v>0</v>
      </c>
      <c r="X286" s="34">
        <f t="shared" si="58"/>
        <v>0</v>
      </c>
      <c r="Y286" s="30">
        <f t="shared" si="59"/>
        <v>0</v>
      </c>
      <c r="Z286" s="34">
        <f t="shared" si="60"/>
        <v>0</v>
      </c>
      <c r="AA286" s="41">
        <f t="shared" si="61"/>
        <v>0</v>
      </c>
      <c r="AB286" s="31">
        <f t="shared" si="62"/>
        <v>0</v>
      </c>
    </row>
    <row r="287" spans="3:28" x14ac:dyDescent="0.7">
      <c r="C287" s="63" t="str">
        <f t="shared" si="65"/>
        <v/>
      </c>
      <c r="D287" s="16"/>
      <c r="E287" s="3"/>
      <c r="F287" s="57"/>
      <c r="G287" s="15" t="str">
        <f t="shared" si="66"/>
        <v/>
      </c>
      <c r="H287" s="65" t="str">
        <f t="shared" si="67"/>
        <v/>
      </c>
      <c r="I287" s="65" t="str">
        <f t="shared" si="68"/>
        <v/>
      </c>
      <c r="O287" s="32" t="str">
        <f t="shared" si="56"/>
        <v/>
      </c>
      <c r="Q287" s="48"/>
      <c r="R287" s="48"/>
      <c r="S287" s="36">
        <f t="shared" si="69"/>
        <v>0</v>
      </c>
      <c r="T287" s="34">
        <f t="shared" si="63"/>
        <v>0</v>
      </c>
      <c r="U287" s="32">
        <f t="shared" si="64"/>
        <v>0</v>
      </c>
      <c r="V287" s="43"/>
      <c r="W287" s="32">
        <f t="shared" si="57"/>
        <v>0</v>
      </c>
      <c r="X287" s="34">
        <f t="shared" si="58"/>
        <v>0</v>
      </c>
      <c r="Y287" s="30">
        <f t="shared" si="59"/>
        <v>0</v>
      </c>
      <c r="Z287" s="34">
        <f t="shared" si="60"/>
        <v>0</v>
      </c>
      <c r="AA287" s="41">
        <f t="shared" si="61"/>
        <v>0</v>
      </c>
      <c r="AB287" s="31">
        <f t="shared" si="62"/>
        <v>0</v>
      </c>
    </row>
    <row r="288" spans="3:28" x14ac:dyDescent="0.7">
      <c r="C288" s="63" t="str">
        <f t="shared" si="65"/>
        <v/>
      </c>
      <c r="D288" s="16"/>
      <c r="E288" s="3"/>
      <c r="F288" s="57"/>
      <c r="G288" s="15" t="str">
        <f t="shared" si="66"/>
        <v/>
      </c>
      <c r="H288" s="65" t="str">
        <f t="shared" si="67"/>
        <v/>
      </c>
      <c r="I288" s="65" t="str">
        <f t="shared" si="68"/>
        <v/>
      </c>
      <c r="O288" s="32" t="str">
        <f t="shared" si="56"/>
        <v/>
      </c>
      <c r="P288" s="51"/>
      <c r="Q288" s="48"/>
      <c r="R288" s="48"/>
      <c r="S288" s="36">
        <f t="shared" si="69"/>
        <v>0</v>
      </c>
      <c r="T288" s="34">
        <f t="shared" si="63"/>
        <v>0</v>
      </c>
      <c r="U288" s="32">
        <f t="shared" si="64"/>
        <v>0</v>
      </c>
      <c r="V288" s="43"/>
      <c r="W288" s="32">
        <f t="shared" si="57"/>
        <v>0</v>
      </c>
      <c r="X288" s="34">
        <f t="shared" si="58"/>
        <v>0</v>
      </c>
      <c r="Y288" s="30">
        <f t="shared" si="59"/>
        <v>0</v>
      </c>
      <c r="Z288" s="34">
        <f t="shared" si="60"/>
        <v>0</v>
      </c>
      <c r="AA288" s="41">
        <f t="shared" si="61"/>
        <v>0</v>
      </c>
      <c r="AB288" s="31">
        <f t="shared" si="62"/>
        <v>0</v>
      </c>
    </row>
    <row r="289" spans="3:28" x14ac:dyDescent="0.7">
      <c r="C289" s="63" t="str">
        <f t="shared" si="65"/>
        <v/>
      </c>
      <c r="D289" s="16"/>
      <c r="E289" s="3"/>
      <c r="F289" s="57"/>
      <c r="G289" s="15" t="str">
        <f t="shared" si="66"/>
        <v/>
      </c>
      <c r="H289" s="65" t="str">
        <f t="shared" si="67"/>
        <v/>
      </c>
      <c r="I289" s="65" t="str">
        <f t="shared" si="68"/>
        <v/>
      </c>
      <c r="O289" s="32" t="str">
        <f t="shared" si="56"/>
        <v/>
      </c>
      <c r="P289" s="50"/>
      <c r="Q289" s="48"/>
      <c r="R289" s="48"/>
      <c r="S289" s="36">
        <f t="shared" si="69"/>
        <v>0</v>
      </c>
      <c r="T289" s="34">
        <f t="shared" si="63"/>
        <v>0</v>
      </c>
      <c r="U289" s="32">
        <f t="shared" si="64"/>
        <v>0</v>
      </c>
      <c r="V289" s="43"/>
      <c r="W289" s="32">
        <f t="shared" si="57"/>
        <v>0</v>
      </c>
      <c r="X289" s="34">
        <f t="shared" si="58"/>
        <v>0</v>
      </c>
      <c r="Y289" s="30">
        <f t="shared" si="59"/>
        <v>0</v>
      </c>
      <c r="Z289" s="34">
        <f t="shared" si="60"/>
        <v>0</v>
      </c>
      <c r="AA289" s="41">
        <f t="shared" si="61"/>
        <v>0</v>
      </c>
      <c r="AB289" s="31">
        <f t="shared" si="62"/>
        <v>0</v>
      </c>
    </row>
    <row r="290" spans="3:28" x14ac:dyDescent="0.7">
      <c r="C290" s="63" t="str">
        <f t="shared" si="65"/>
        <v/>
      </c>
      <c r="D290" s="16"/>
      <c r="E290" s="3"/>
      <c r="F290" s="57"/>
      <c r="G290" s="15" t="str">
        <f t="shared" si="66"/>
        <v/>
      </c>
      <c r="H290" s="65" t="str">
        <f t="shared" si="67"/>
        <v/>
      </c>
      <c r="I290" s="65" t="str">
        <f t="shared" si="68"/>
        <v/>
      </c>
      <c r="O290" s="32" t="str">
        <f t="shared" si="56"/>
        <v/>
      </c>
      <c r="P290" s="50"/>
      <c r="Q290" s="48"/>
      <c r="R290" s="48"/>
      <c r="S290" s="36">
        <f t="shared" si="69"/>
        <v>0</v>
      </c>
      <c r="T290" s="34">
        <f t="shared" si="63"/>
        <v>0</v>
      </c>
      <c r="U290" s="32">
        <f t="shared" si="64"/>
        <v>0</v>
      </c>
      <c r="V290" s="43"/>
      <c r="W290" s="32">
        <f t="shared" si="57"/>
        <v>0</v>
      </c>
      <c r="X290" s="34">
        <f t="shared" si="58"/>
        <v>0</v>
      </c>
      <c r="Y290" s="30">
        <f t="shared" si="59"/>
        <v>0</v>
      </c>
      <c r="Z290" s="34">
        <f t="shared" si="60"/>
        <v>0</v>
      </c>
      <c r="AA290" s="41">
        <f t="shared" si="61"/>
        <v>0</v>
      </c>
      <c r="AB290" s="31">
        <f t="shared" si="62"/>
        <v>0</v>
      </c>
    </row>
    <row r="291" spans="3:28" x14ac:dyDescent="0.7">
      <c r="C291" s="63" t="str">
        <f t="shared" si="65"/>
        <v/>
      </c>
      <c r="D291" s="16"/>
      <c r="E291" s="3"/>
      <c r="F291" s="57"/>
      <c r="G291" s="15" t="str">
        <f t="shared" si="66"/>
        <v/>
      </c>
      <c r="H291" s="65" t="str">
        <f t="shared" si="67"/>
        <v/>
      </c>
      <c r="I291" s="65" t="str">
        <f t="shared" si="68"/>
        <v/>
      </c>
      <c r="O291" s="32" t="str">
        <f t="shared" si="56"/>
        <v/>
      </c>
      <c r="P291" s="53"/>
      <c r="Q291" s="48"/>
      <c r="R291" s="48"/>
      <c r="S291" s="36">
        <f t="shared" si="69"/>
        <v>0</v>
      </c>
      <c r="T291" s="34">
        <f t="shared" si="63"/>
        <v>0</v>
      </c>
      <c r="U291" s="32">
        <f t="shared" si="64"/>
        <v>0</v>
      </c>
      <c r="V291" s="43"/>
      <c r="W291" s="32">
        <f t="shared" si="57"/>
        <v>0</v>
      </c>
      <c r="X291" s="34">
        <f t="shared" si="58"/>
        <v>0</v>
      </c>
      <c r="Y291" s="30">
        <f t="shared" si="59"/>
        <v>0</v>
      </c>
      <c r="Z291" s="34">
        <f t="shared" si="60"/>
        <v>0</v>
      </c>
      <c r="AA291" s="41">
        <f t="shared" si="61"/>
        <v>0</v>
      </c>
      <c r="AB291" s="31">
        <f t="shared" si="62"/>
        <v>0</v>
      </c>
    </row>
    <row r="292" spans="3:28" x14ac:dyDescent="0.7">
      <c r="C292" s="63" t="str">
        <f t="shared" si="65"/>
        <v/>
      </c>
      <c r="D292" s="16"/>
      <c r="E292" s="3"/>
      <c r="F292" s="57"/>
      <c r="G292" s="15" t="str">
        <f t="shared" si="66"/>
        <v/>
      </c>
      <c r="H292" s="65" t="str">
        <f t="shared" si="67"/>
        <v/>
      </c>
      <c r="I292" s="65" t="str">
        <f t="shared" si="68"/>
        <v/>
      </c>
      <c r="O292" s="32" t="str">
        <f t="shared" si="56"/>
        <v/>
      </c>
      <c r="P292" s="21"/>
      <c r="Q292" s="21"/>
      <c r="R292" s="21"/>
      <c r="S292" s="36">
        <f t="shared" si="69"/>
        <v>0</v>
      </c>
      <c r="T292" s="34">
        <f t="shared" si="63"/>
        <v>0</v>
      </c>
      <c r="U292" s="32">
        <f t="shared" si="64"/>
        <v>0</v>
      </c>
      <c r="V292" s="43"/>
      <c r="W292" s="32">
        <f t="shared" si="57"/>
        <v>0</v>
      </c>
      <c r="X292" s="34">
        <f t="shared" si="58"/>
        <v>0</v>
      </c>
      <c r="Y292" s="30">
        <f t="shared" si="59"/>
        <v>0</v>
      </c>
      <c r="Z292" s="34">
        <f t="shared" si="60"/>
        <v>0</v>
      </c>
      <c r="AA292" s="41">
        <f t="shared" si="61"/>
        <v>0</v>
      </c>
      <c r="AB292" s="31">
        <f t="shared" si="62"/>
        <v>0</v>
      </c>
    </row>
    <row r="293" spans="3:28" x14ac:dyDescent="0.7">
      <c r="C293" s="63" t="str">
        <f t="shared" si="65"/>
        <v/>
      </c>
      <c r="D293" s="16"/>
      <c r="E293" s="3"/>
      <c r="F293" s="57"/>
      <c r="G293" s="15" t="str">
        <f t="shared" si="66"/>
        <v/>
      </c>
      <c r="H293" s="65" t="str">
        <f t="shared" si="67"/>
        <v/>
      </c>
      <c r="I293" s="65" t="str">
        <f t="shared" si="68"/>
        <v/>
      </c>
      <c r="O293" s="32" t="str">
        <f t="shared" si="56"/>
        <v/>
      </c>
      <c r="P293" s="21"/>
      <c r="Q293" s="21"/>
      <c r="R293" s="21"/>
      <c r="S293" s="36">
        <f t="shared" si="69"/>
        <v>0</v>
      </c>
      <c r="T293" s="34">
        <f t="shared" si="63"/>
        <v>0</v>
      </c>
      <c r="U293" s="32">
        <f t="shared" si="64"/>
        <v>0</v>
      </c>
      <c r="V293" s="43"/>
      <c r="W293" s="32">
        <f t="shared" si="57"/>
        <v>0</v>
      </c>
      <c r="X293" s="34">
        <f t="shared" si="58"/>
        <v>0</v>
      </c>
      <c r="Y293" s="30">
        <f t="shared" si="59"/>
        <v>0</v>
      </c>
      <c r="Z293" s="34">
        <f t="shared" si="60"/>
        <v>0</v>
      </c>
      <c r="AA293" s="41">
        <f t="shared" si="61"/>
        <v>0</v>
      </c>
      <c r="AB293" s="31">
        <f t="shared" si="62"/>
        <v>0</v>
      </c>
    </row>
    <row r="294" spans="3:28" x14ac:dyDescent="0.7">
      <c r="C294" s="63" t="str">
        <f t="shared" si="65"/>
        <v/>
      </c>
      <c r="D294" s="16"/>
      <c r="E294" s="3"/>
      <c r="F294" s="57"/>
      <c r="G294" s="15" t="str">
        <f t="shared" si="66"/>
        <v/>
      </c>
      <c r="H294" s="65" t="str">
        <f t="shared" si="67"/>
        <v/>
      </c>
      <c r="I294" s="65" t="str">
        <f t="shared" si="68"/>
        <v/>
      </c>
      <c r="O294" s="32" t="str">
        <f t="shared" si="56"/>
        <v/>
      </c>
      <c r="P294" s="21"/>
      <c r="Q294" s="21"/>
      <c r="R294" s="21"/>
      <c r="S294" s="36">
        <f t="shared" si="69"/>
        <v>0</v>
      </c>
      <c r="T294" s="34">
        <f t="shared" si="63"/>
        <v>0</v>
      </c>
      <c r="U294" s="32">
        <f t="shared" si="64"/>
        <v>0</v>
      </c>
      <c r="V294" s="43"/>
      <c r="W294" s="32">
        <f t="shared" si="57"/>
        <v>0</v>
      </c>
      <c r="X294" s="34">
        <f t="shared" si="58"/>
        <v>0</v>
      </c>
      <c r="Y294" s="30">
        <f t="shared" si="59"/>
        <v>0</v>
      </c>
      <c r="Z294" s="34">
        <f t="shared" si="60"/>
        <v>0</v>
      </c>
      <c r="AA294" s="41">
        <f t="shared" si="61"/>
        <v>0</v>
      </c>
      <c r="AB294" s="31">
        <f t="shared" si="62"/>
        <v>0</v>
      </c>
    </row>
    <row r="295" spans="3:28" x14ac:dyDescent="0.7">
      <c r="C295" s="63" t="str">
        <f t="shared" si="65"/>
        <v/>
      </c>
      <c r="D295" s="16"/>
      <c r="E295" s="3"/>
      <c r="F295" s="57"/>
      <c r="G295" s="15" t="str">
        <f t="shared" si="66"/>
        <v/>
      </c>
      <c r="H295" s="65" t="str">
        <f t="shared" si="67"/>
        <v/>
      </c>
      <c r="I295" s="65" t="str">
        <f t="shared" si="68"/>
        <v/>
      </c>
      <c r="O295" s="32" t="str">
        <f t="shared" si="56"/>
        <v/>
      </c>
      <c r="P295" s="21"/>
      <c r="Q295" s="21"/>
      <c r="R295" s="21"/>
      <c r="S295" s="36">
        <f t="shared" si="69"/>
        <v>0</v>
      </c>
      <c r="T295" s="34">
        <f t="shared" si="63"/>
        <v>0</v>
      </c>
      <c r="U295" s="32">
        <f t="shared" si="64"/>
        <v>0</v>
      </c>
      <c r="V295" s="43"/>
      <c r="W295" s="32">
        <f t="shared" si="57"/>
        <v>0</v>
      </c>
      <c r="X295" s="34">
        <f t="shared" si="58"/>
        <v>0</v>
      </c>
      <c r="Y295" s="30">
        <f t="shared" si="59"/>
        <v>0</v>
      </c>
      <c r="Z295" s="34">
        <f t="shared" si="60"/>
        <v>0</v>
      </c>
      <c r="AA295" s="41">
        <f t="shared" si="61"/>
        <v>0</v>
      </c>
      <c r="AB295" s="31">
        <f t="shared" si="62"/>
        <v>0</v>
      </c>
    </row>
    <row r="296" spans="3:28" x14ac:dyDescent="0.7">
      <c r="C296" s="63" t="str">
        <f t="shared" si="65"/>
        <v/>
      </c>
      <c r="D296" s="16"/>
      <c r="E296" s="3"/>
      <c r="F296" s="57"/>
      <c r="G296" s="15" t="str">
        <f t="shared" si="66"/>
        <v/>
      </c>
      <c r="H296" s="65" t="str">
        <f t="shared" si="67"/>
        <v/>
      </c>
      <c r="I296" s="65" t="str">
        <f t="shared" si="68"/>
        <v/>
      </c>
      <c r="O296" s="32" t="str">
        <f t="shared" si="56"/>
        <v/>
      </c>
      <c r="P296" s="21"/>
      <c r="Q296" s="21"/>
      <c r="R296" s="21"/>
      <c r="S296" s="36">
        <f t="shared" si="69"/>
        <v>0</v>
      </c>
      <c r="T296" s="34">
        <f t="shared" si="63"/>
        <v>0</v>
      </c>
      <c r="U296" s="32">
        <f t="shared" si="64"/>
        <v>0</v>
      </c>
      <c r="V296" s="43"/>
      <c r="W296" s="32">
        <f t="shared" si="57"/>
        <v>0</v>
      </c>
      <c r="X296" s="34">
        <f t="shared" si="58"/>
        <v>0</v>
      </c>
      <c r="Y296" s="30">
        <f t="shared" si="59"/>
        <v>0</v>
      </c>
      <c r="Z296" s="34">
        <f t="shared" si="60"/>
        <v>0</v>
      </c>
      <c r="AA296" s="41">
        <f t="shared" si="61"/>
        <v>0</v>
      </c>
      <c r="AB296" s="31">
        <f t="shared" si="62"/>
        <v>0</v>
      </c>
    </row>
    <row r="297" spans="3:28" x14ac:dyDescent="0.7">
      <c r="C297" s="63" t="str">
        <f t="shared" si="65"/>
        <v/>
      </c>
      <c r="D297" s="16"/>
      <c r="E297" s="3"/>
      <c r="F297" s="57"/>
      <c r="G297" s="15" t="str">
        <f t="shared" si="66"/>
        <v/>
      </c>
      <c r="H297" s="65" t="str">
        <f t="shared" si="67"/>
        <v/>
      </c>
      <c r="I297" s="65" t="str">
        <f t="shared" si="68"/>
        <v/>
      </c>
      <c r="O297" s="32" t="str">
        <f t="shared" si="56"/>
        <v/>
      </c>
      <c r="P297" s="21"/>
      <c r="Q297" s="21"/>
      <c r="R297" s="21"/>
      <c r="S297" s="36">
        <f t="shared" si="69"/>
        <v>0</v>
      </c>
      <c r="T297" s="34">
        <f t="shared" si="63"/>
        <v>0</v>
      </c>
      <c r="U297" s="32">
        <f t="shared" si="64"/>
        <v>0</v>
      </c>
      <c r="V297" s="43"/>
      <c r="W297" s="32">
        <f t="shared" si="57"/>
        <v>0</v>
      </c>
      <c r="X297" s="34">
        <f t="shared" si="58"/>
        <v>0</v>
      </c>
      <c r="Y297" s="30">
        <f t="shared" si="59"/>
        <v>0</v>
      </c>
      <c r="Z297" s="34">
        <f t="shared" si="60"/>
        <v>0</v>
      </c>
      <c r="AA297" s="41">
        <f t="shared" si="61"/>
        <v>0</v>
      </c>
      <c r="AB297" s="31">
        <f t="shared" si="62"/>
        <v>0</v>
      </c>
    </row>
    <row r="298" spans="3:28" x14ac:dyDescent="0.7">
      <c r="C298" s="63" t="str">
        <f t="shared" si="65"/>
        <v/>
      </c>
      <c r="D298" s="16"/>
      <c r="E298" s="3"/>
      <c r="F298" s="57"/>
      <c r="G298" s="15" t="str">
        <f t="shared" si="66"/>
        <v/>
      </c>
      <c r="H298" s="65" t="str">
        <f t="shared" si="67"/>
        <v/>
      </c>
      <c r="I298" s="65" t="str">
        <f t="shared" si="68"/>
        <v/>
      </c>
      <c r="O298" s="32" t="str">
        <f t="shared" si="56"/>
        <v/>
      </c>
      <c r="P298" s="21"/>
      <c r="Q298" s="21"/>
      <c r="R298" s="21"/>
      <c r="S298" s="36">
        <f t="shared" si="69"/>
        <v>0</v>
      </c>
      <c r="T298" s="34">
        <f t="shared" si="63"/>
        <v>0</v>
      </c>
      <c r="U298" s="32">
        <f t="shared" si="64"/>
        <v>0</v>
      </c>
      <c r="V298" s="43"/>
      <c r="W298" s="32">
        <f t="shared" si="57"/>
        <v>0</v>
      </c>
      <c r="X298" s="34">
        <f t="shared" si="58"/>
        <v>0</v>
      </c>
      <c r="Y298" s="30">
        <f t="shared" si="59"/>
        <v>0</v>
      </c>
      <c r="Z298" s="34">
        <f t="shared" si="60"/>
        <v>0</v>
      </c>
      <c r="AA298" s="41">
        <f t="shared" si="61"/>
        <v>0</v>
      </c>
      <c r="AB298" s="31">
        <f t="shared" si="62"/>
        <v>0</v>
      </c>
    </row>
    <row r="299" spans="3:28" x14ac:dyDescent="0.7">
      <c r="C299" s="63" t="str">
        <f t="shared" si="65"/>
        <v/>
      </c>
      <c r="D299" s="16"/>
      <c r="E299" s="3"/>
      <c r="F299" s="57"/>
      <c r="G299" s="15" t="str">
        <f t="shared" si="66"/>
        <v/>
      </c>
      <c r="H299" s="65" t="str">
        <f t="shared" si="67"/>
        <v/>
      </c>
      <c r="I299" s="65" t="str">
        <f t="shared" si="68"/>
        <v/>
      </c>
      <c r="O299" s="32" t="str">
        <f t="shared" si="56"/>
        <v/>
      </c>
      <c r="P299" s="21"/>
      <c r="Q299" s="21"/>
      <c r="R299" s="21"/>
      <c r="S299" s="36">
        <f t="shared" si="69"/>
        <v>0</v>
      </c>
      <c r="T299" s="34">
        <f t="shared" si="63"/>
        <v>0</v>
      </c>
      <c r="U299" s="32">
        <f t="shared" si="64"/>
        <v>0</v>
      </c>
      <c r="V299" s="43"/>
      <c r="W299" s="32">
        <f t="shared" si="57"/>
        <v>0</v>
      </c>
      <c r="X299" s="34">
        <f t="shared" si="58"/>
        <v>0</v>
      </c>
      <c r="Y299" s="30">
        <f t="shared" si="59"/>
        <v>0</v>
      </c>
      <c r="Z299" s="34">
        <f t="shared" si="60"/>
        <v>0</v>
      </c>
      <c r="AA299" s="41">
        <f t="shared" si="61"/>
        <v>0</v>
      </c>
      <c r="AB299" s="31">
        <f t="shared" si="62"/>
        <v>0</v>
      </c>
    </row>
    <row r="300" spans="3:28" x14ac:dyDescent="0.7">
      <c r="C300" s="63" t="str">
        <f t="shared" si="65"/>
        <v/>
      </c>
      <c r="D300" s="16"/>
      <c r="E300" s="3"/>
      <c r="F300" s="57"/>
      <c r="G300" s="15" t="str">
        <f t="shared" si="66"/>
        <v/>
      </c>
      <c r="H300" s="65" t="str">
        <f t="shared" si="67"/>
        <v/>
      </c>
      <c r="I300" s="65" t="str">
        <f t="shared" si="68"/>
        <v/>
      </c>
      <c r="O300" s="32" t="str">
        <f t="shared" si="56"/>
        <v/>
      </c>
      <c r="P300" s="21"/>
      <c r="Q300" s="21"/>
      <c r="R300" s="21"/>
      <c r="S300" s="36">
        <f t="shared" si="69"/>
        <v>0</v>
      </c>
      <c r="T300" s="34">
        <f t="shared" si="63"/>
        <v>0</v>
      </c>
      <c r="U300" s="32">
        <f t="shared" si="64"/>
        <v>0</v>
      </c>
      <c r="V300" s="43"/>
      <c r="W300" s="32">
        <f t="shared" si="57"/>
        <v>0</v>
      </c>
      <c r="X300" s="34">
        <f t="shared" si="58"/>
        <v>0</v>
      </c>
      <c r="Y300" s="30">
        <f t="shared" si="59"/>
        <v>0</v>
      </c>
      <c r="Z300" s="34">
        <f t="shared" si="60"/>
        <v>0</v>
      </c>
      <c r="AA300" s="41">
        <f t="shared" si="61"/>
        <v>0</v>
      </c>
      <c r="AB300" s="31">
        <f t="shared" si="62"/>
        <v>0</v>
      </c>
    </row>
    <row r="301" spans="3:28" x14ac:dyDescent="0.7">
      <c r="C301" s="63" t="str">
        <f t="shared" si="65"/>
        <v/>
      </c>
      <c r="D301" s="16"/>
      <c r="E301" s="3"/>
      <c r="F301" s="57"/>
      <c r="G301" s="15" t="str">
        <f t="shared" si="66"/>
        <v/>
      </c>
      <c r="H301" s="65" t="str">
        <f t="shared" si="67"/>
        <v/>
      </c>
      <c r="I301" s="65" t="str">
        <f t="shared" si="68"/>
        <v/>
      </c>
      <c r="O301" s="32" t="str">
        <f t="shared" si="56"/>
        <v/>
      </c>
      <c r="P301" s="21"/>
      <c r="Q301" s="21"/>
      <c r="R301" s="21"/>
      <c r="S301" s="36">
        <f t="shared" si="69"/>
        <v>0</v>
      </c>
      <c r="T301" s="34">
        <f t="shared" si="63"/>
        <v>0</v>
      </c>
      <c r="U301" s="32">
        <f t="shared" si="64"/>
        <v>0</v>
      </c>
      <c r="V301" s="43"/>
      <c r="W301" s="32">
        <f t="shared" si="57"/>
        <v>0</v>
      </c>
      <c r="X301" s="34">
        <f t="shared" si="58"/>
        <v>0</v>
      </c>
      <c r="Y301" s="30">
        <f t="shared" si="59"/>
        <v>0</v>
      </c>
      <c r="Z301" s="34">
        <f t="shared" si="60"/>
        <v>0</v>
      </c>
      <c r="AA301" s="41">
        <f t="shared" si="61"/>
        <v>0</v>
      </c>
      <c r="AB301" s="31">
        <f t="shared" si="62"/>
        <v>0</v>
      </c>
    </row>
    <row r="302" spans="3:28" x14ac:dyDescent="0.7">
      <c r="C302" s="63" t="str">
        <f t="shared" si="65"/>
        <v/>
      </c>
      <c r="D302" s="16"/>
      <c r="E302" s="3"/>
      <c r="F302" s="57"/>
      <c r="G302" s="15" t="str">
        <f t="shared" si="66"/>
        <v/>
      </c>
      <c r="H302" s="65" t="str">
        <f t="shared" si="67"/>
        <v/>
      </c>
      <c r="I302" s="65" t="str">
        <f t="shared" si="68"/>
        <v/>
      </c>
      <c r="O302" s="32" t="str">
        <f t="shared" si="56"/>
        <v/>
      </c>
      <c r="P302" s="21"/>
      <c r="Q302" s="21"/>
      <c r="R302" s="21"/>
      <c r="S302" s="36">
        <f t="shared" si="69"/>
        <v>0</v>
      </c>
      <c r="T302" s="34">
        <f t="shared" si="63"/>
        <v>0</v>
      </c>
      <c r="U302" s="32">
        <f t="shared" si="64"/>
        <v>0</v>
      </c>
      <c r="V302" s="43"/>
      <c r="W302" s="32">
        <f t="shared" si="57"/>
        <v>0</v>
      </c>
      <c r="X302" s="34">
        <f t="shared" si="58"/>
        <v>0</v>
      </c>
      <c r="Y302" s="30">
        <f t="shared" si="59"/>
        <v>0</v>
      </c>
      <c r="Z302" s="34">
        <f t="shared" si="60"/>
        <v>0</v>
      </c>
      <c r="AA302" s="41">
        <f t="shared" si="61"/>
        <v>0</v>
      </c>
      <c r="AB302" s="31">
        <f t="shared" si="62"/>
        <v>0</v>
      </c>
    </row>
    <row r="303" spans="3:28" x14ac:dyDescent="0.7">
      <c r="C303" s="63" t="str">
        <f t="shared" si="65"/>
        <v/>
      </c>
      <c r="D303" s="16"/>
      <c r="E303" s="3"/>
      <c r="F303" s="57"/>
      <c r="G303" s="15" t="str">
        <f t="shared" si="66"/>
        <v/>
      </c>
      <c r="H303" s="65" t="str">
        <f t="shared" si="67"/>
        <v/>
      </c>
      <c r="I303" s="65" t="str">
        <f t="shared" si="68"/>
        <v/>
      </c>
      <c r="O303" s="32" t="str">
        <f t="shared" si="56"/>
        <v/>
      </c>
      <c r="P303" s="21"/>
      <c r="Q303" s="21"/>
      <c r="R303" s="21"/>
      <c r="S303" s="36">
        <f t="shared" si="69"/>
        <v>0</v>
      </c>
      <c r="T303" s="34">
        <f t="shared" si="63"/>
        <v>0</v>
      </c>
      <c r="U303" s="32">
        <f t="shared" si="64"/>
        <v>0</v>
      </c>
      <c r="V303" s="43"/>
      <c r="W303" s="32">
        <f t="shared" si="57"/>
        <v>0</v>
      </c>
      <c r="X303" s="34">
        <f t="shared" si="58"/>
        <v>0</v>
      </c>
      <c r="Y303" s="30">
        <f t="shared" si="59"/>
        <v>0</v>
      </c>
      <c r="Z303" s="34">
        <f t="shared" si="60"/>
        <v>0</v>
      </c>
      <c r="AA303" s="41">
        <f t="shared" si="61"/>
        <v>0</v>
      </c>
      <c r="AB303" s="31">
        <f t="shared" si="62"/>
        <v>0</v>
      </c>
    </row>
    <row r="304" spans="3:28" x14ac:dyDescent="0.7">
      <c r="C304" s="63" t="str">
        <f t="shared" si="65"/>
        <v/>
      </c>
      <c r="D304" s="16"/>
      <c r="E304" s="3"/>
      <c r="F304" s="57"/>
      <c r="G304" s="15" t="str">
        <f t="shared" si="66"/>
        <v/>
      </c>
      <c r="H304" s="65" t="str">
        <f t="shared" si="67"/>
        <v/>
      </c>
      <c r="I304" s="65" t="str">
        <f t="shared" si="68"/>
        <v/>
      </c>
      <c r="O304" s="32" t="str">
        <f t="shared" si="56"/>
        <v/>
      </c>
      <c r="P304" s="21"/>
      <c r="Q304" s="21"/>
      <c r="R304" s="21"/>
      <c r="S304" s="36">
        <f t="shared" si="69"/>
        <v>0</v>
      </c>
      <c r="T304" s="34">
        <f t="shared" si="63"/>
        <v>0</v>
      </c>
      <c r="U304" s="32">
        <f t="shared" si="64"/>
        <v>0</v>
      </c>
      <c r="V304" s="43"/>
      <c r="W304" s="32">
        <f t="shared" si="57"/>
        <v>0</v>
      </c>
      <c r="X304" s="34">
        <f t="shared" si="58"/>
        <v>0</v>
      </c>
      <c r="Y304" s="30">
        <f t="shared" si="59"/>
        <v>0</v>
      </c>
      <c r="Z304" s="34">
        <f t="shared" si="60"/>
        <v>0</v>
      </c>
      <c r="AA304" s="41">
        <f t="shared" si="61"/>
        <v>0</v>
      </c>
      <c r="AB304" s="31">
        <f t="shared" si="62"/>
        <v>0</v>
      </c>
    </row>
    <row r="305" spans="3:28" x14ac:dyDescent="0.7">
      <c r="C305" s="63" t="str">
        <f t="shared" si="65"/>
        <v/>
      </c>
      <c r="D305" s="16"/>
      <c r="E305" s="3"/>
      <c r="F305" s="57"/>
      <c r="G305" s="15" t="str">
        <f t="shared" si="66"/>
        <v/>
      </c>
      <c r="H305" s="65" t="str">
        <f t="shared" si="67"/>
        <v/>
      </c>
      <c r="I305" s="65" t="str">
        <f t="shared" si="68"/>
        <v/>
      </c>
      <c r="O305" s="32" t="str">
        <f t="shared" si="56"/>
        <v/>
      </c>
      <c r="P305" s="21"/>
      <c r="Q305" s="21"/>
      <c r="R305" s="21"/>
      <c r="S305" s="36">
        <f t="shared" si="69"/>
        <v>0</v>
      </c>
      <c r="T305" s="34">
        <f t="shared" si="63"/>
        <v>0</v>
      </c>
      <c r="U305" s="32">
        <f t="shared" si="64"/>
        <v>0</v>
      </c>
      <c r="V305" s="43"/>
      <c r="W305" s="32">
        <f t="shared" si="57"/>
        <v>0</v>
      </c>
      <c r="X305" s="34">
        <f t="shared" si="58"/>
        <v>0</v>
      </c>
      <c r="Y305" s="30">
        <f t="shared" si="59"/>
        <v>0</v>
      </c>
      <c r="Z305" s="34">
        <f t="shared" si="60"/>
        <v>0</v>
      </c>
      <c r="AA305" s="41">
        <f t="shared" si="61"/>
        <v>0</v>
      </c>
      <c r="AB305" s="31">
        <f t="shared" si="62"/>
        <v>0</v>
      </c>
    </row>
    <row r="306" spans="3:28" x14ac:dyDescent="0.7">
      <c r="C306" s="63" t="str">
        <f t="shared" si="65"/>
        <v/>
      </c>
      <c r="D306" s="16"/>
      <c r="E306" s="3"/>
      <c r="F306" s="57"/>
      <c r="G306" s="15" t="str">
        <f t="shared" si="66"/>
        <v/>
      </c>
      <c r="H306" s="65" t="str">
        <f t="shared" si="67"/>
        <v/>
      </c>
      <c r="I306" s="65" t="str">
        <f t="shared" si="68"/>
        <v/>
      </c>
      <c r="O306" s="32" t="str">
        <f t="shared" si="56"/>
        <v/>
      </c>
      <c r="P306" s="21"/>
      <c r="Q306" s="21"/>
      <c r="R306" s="21"/>
      <c r="S306" s="36">
        <f t="shared" si="69"/>
        <v>0</v>
      </c>
      <c r="T306" s="34">
        <f t="shared" si="63"/>
        <v>0</v>
      </c>
      <c r="U306" s="32">
        <f t="shared" si="64"/>
        <v>0</v>
      </c>
      <c r="V306" s="43"/>
      <c r="W306" s="32">
        <f t="shared" si="57"/>
        <v>0</v>
      </c>
      <c r="X306" s="34">
        <f t="shared" si="58"/>
        <v>0</v>
      </c>
      <c r="Y306" s="30">
        <f t="shared" si="59"/>
        <v>0</v>
      </c>
      <c r="Z306" s="34">
        <f t="shared" si="60"/>
        <v>0</v>
      </c>
      <c r="AA306" s="41">
        <f t="shared" si="61"/>
        <v>0</v>
      </c>
      <c r="AB306" s="31">
        <f t="shared" si="62"/>
        <v>0</v>
      </c>
    </row>
    <row r="307" spans="3:28" x14ac:dyDescent="0.7">
      <c r="C307" s="63" t="str">
        <f t="shared" si="65"/>
        <v/>
      </c>
      <c r="D307" s="16"/>
      <c r="E307" s="3"/>
      <c r="F307" s="57"/>
      <c r="G307" s="15" t="str">
        <f t="shared" si="66"/>
        <v/>
      </c>
      <c r="H307" s="65" t="str">
        <f t="shared" si="67"/>
        <v/>
      </c>
      <c r="I307" s="65" t="str">
        <f t="shared" si="68"/>
        <v/>
      </c>
      <c r="O307" s="32" t="str">
        <f t="shared" si="56"/>
        <v/>
      </c>
      <c r="P307" s="21"/>
      <c r="Q307" s="21"/>
      <c r="R307" s="21"/>
      <c r="S307" s="36">
        <f t="shared" si="69"/>
        <v>0</v>
      </c>
      <c r="T307" s="34">
        <f t="shared" si="63"/>
        <v>0</v>
      </c>
      <c r="U307" s="32">
        <f t="shared" si="64"/>
        <v>0</v>
      </c>
      <c r="V307" s="43"/>
      <c r="W307" s="32">
        <f t="shared" si="57"/>
        <v>0</v>
      </c>
      <c r="X307" s="34">
        <f t="shared" si="58"/>
        <v>0</v>
      </c>
      <c r="Y307" s="30">
        <f t="shared" si="59"/>
        <v>0</v>
      </c>
      <c r="Z307" s="34">
        <f t="shared" si="60"/>
        <v>0</v>
      </c>
      <c r="AA307" s="41">
        <f t="shared" si="61"/>
        <v>0</v>
      </c>
      <c r="AB307" s="31">
        <f t="shared" si="62"/>
        <v>0</v>
      </c>
    </row>
    <row r="308" spans="3:28" x14ac:dyDescent="0.7">
      <c r="C308" s="63" t="str">
        <f t="shared" si="65"/>
        <v/>
      </c>
      <c r="D308" s="16"/>
      <c r="E308" s="3"/>
      <c r="F308" s="57"/>
      <c r="G308" s="15" t="str">
        <f t="shared" si="66"/>
        <v/>
      </c>
      <c r="H308" s="65" t="str">
        <f t="shared" si="67"/>
        <v/>
      </c>
      <c r="I308" s="65" t="str">
        <f t="shared" si="68"/>
        <v/>
      </c>
      <c r="O308" s="32" t="str">
        <f t="shared" si="56"/>
        <v/>
      </c>
      <c r="P308" s="21"/>
      <c r="Q308" s="21"/>
      <c r="R308" s="21"/>
      <c r="S308" s="36">
        <f t="shared" si="69"/>
        <v>0</v>
      </c>
      <c r="T308" s="34">
        <f t="shared" si="63"/>
        <v>0</v>
      </c>
      <c r="U308" s="32">
        <f t="shared" si="64"/>
        <v>0</v>
      </c>
      <c r="V308" s="43"/>
      <c r="W308" s="32">
        <f t="shared" si="57"/>
        <v>0</v>
      </c>
      <c r="X308" s="34">
        <f t="shared" si="58"/>
        <v>0</v>
      </c>
      <c r="Y308" s="30">
        <f t="shared" si="59"/>
        <v>0</v>
      </c>
      <c r="Z308" s="34">
        <f t="shared" si="60"/>
        <v>0</v>
      </c>
      <c r="AA308" s="41">
        <f t="shared" si="61"/>
        <v>0</v>
      </c>
      <c r="AB308" s="31">
        <f t="shared" si="62"/>
        <v>0</v>
      </c>
    </row>
    <row r="309" spans="3:28" x14ac:dyDescent="0.7">
      <c r="C309" s="63" t="str">
        <f t="shared" si="65"/>
        <v/>
      </c>
      <c r="D309" s="16"/>
      <c r="E309" s="3"/>
      <c r="F309" s="57"/>
      <c r="G309" s="15" t="str">
        <f t="shared" si="66"/>
        <v/>
      </c>
      <c r="H309" s="65" t="str">
        <f t="shared" si="67"/>
        <v/>
      </c>
      <c r="I309" s="65" t="str">
        <f t="shared" si="68"/>
        <v/>
      </c>
      <c r="O309" s="32" t="str">
        <f t="shared" si="56"/>
        <v/>
      </c>
      <c r="P309" s="21"/>
      <c r="Q309" s="21"/>
      <c r="R309" s="21"/>
      <c r="S309" s="36">
        <f t="shared" si="69"/>
        <v>0</v>
      </c>
      <c r="T309" s="34">
        <f t="shared" si="63"/>
        <v>0</v>
      </c>
      <c r="U309" s="32">
        <f t="shared" si="64"/>
        <v>0</v>
      </c>
      <c r="V309" s="43"/>
      <c r="W309" s="32">
        <f t="shared" si="57"/>
        <v>0</v>
      </c>
      <c r="X309" s="34">
        <f t="shared" si="58"/>
        <v>0</v>
      </c>
      <c r="Y309" s="30">
        <f t="shared" si="59"/>
        <v>0</v>
      </c>
      <c r="Z309" s="34">
        <f t="shared" si="60"/>
        <v>0</v>
      </c>
      <c r="AA309" s="41">
        <f t="shared" si="61"/>
        <v>0</v>
      </c>
      <c r="AB309" s="31">
        <f t="shared" si="62"/>
        <v>0</v>
      </c>
    </row>
    <row r="310" spans="3:28" x14ac:dyDescent="0.7">
      <c r="C310" s="63" t="str">
        <f t="shared" si="65"/>
        <v/>
      </c>
      <c r="D310" s="16"/>
      <c r="E310" s="3"/>
      <c r="F310" s="57"/>
      <c r="G310" s="15" t="str">
        <f t="shared" si="66"/>
        <v/>
      </c>
      <c r="H310" s="65" t="str">
        <f t="shared" si="67"/>
        <v/>
      </c>
      <c r="I310" s="65" t="str">
        <f t="shared" si="68"/>
        <v/>
      </c>
      <c r="O310" s="32" t="str">
        <f t="shared" si="56"/>
        <v/>
      </c>
      <c r="P310" s="21"/>
      <c r="Q310" s="21"/>
      <c r="R310" s="21"/>
      <c r="S310" s="36">
        <f t="shared" si="69"/>
        <v>0</v>
      </c>
      <c r="T310" s="34">
        <f t="shared" si="63"/>
        <v>0</v>
      </c>
      <c r="U310" s="32">
        <f t="shared" si="64"/>
        <v>0</v>
      </c>
      <c r="V310" s="43"/>
      <c r="W310" s="32">
        <f t="shared" si="57"/>
        <v>0</v>
      </c>
      <c r="X310" s="34">
        <f t="shared" si="58"/>
        <v>0</v>
      </c>
      <c r="Y310" s="30">
        <f t="shared" si="59"/>
        <v>0</v>
      </c>
      <c r="Z310" s="34">
        <f t="shared" si="60"/>
        <v>0</v>
      </c>
      <c r="AA310" s="41">
        <f t="shared" si="61"/>
        <v>0</v>
      </c>
      <c r="AB310" s="31">
        <f t="shared" si="62"/>
        <v>0</v>
      </c>
    </row>
    <row r="311" spans="3:28" x14ac:dyDescent="0.7">
      <c r="C311" s="63" t="str">
        <f t="shared" si="65"/>
        <v/>
      </c>
      <c r="D311" s="16"/>
      <c r="E311" s="3"/>
      <c r="F311" s="57"/>
      <c r="G311" s="15" t="str">
        <f t="shared" si="66"/>
        <v/>
      </c>
      <c r="H311" s="65" t="str">
        <f t="shared" si="67"/>
        <v/>
      </c>
      <c r="I311" s="65" t="str">
        <f t="shared" si="68"/>
        <v/>
      </c>
      <c r="O311" s="32" t="str">
        <f t="shared" si="56"/>
        <v/>
      </c>
      <c r="P311" s="21"/>
      <c r="Q311" s="21"/>
      <c r="R311" s="21"/>
      <c r="S311" s="36">
        <f t="shared" si="69"/>
        <v>0</v>
      </c>
      <c r="T311" s="34">
        <f t="shared" si="63"/>
        <v>0</v>
      </c>
      <c r="U311" s="32">
        <f t="shared" si="64"/>
        <v>0</v>
      </c>
      <c r="V311" s="43"/>
      <c r="W311" s="32">
        <f t="shared" si="57"/>
        <v>0</v>
      </c>
      <c r="X311" s="34">
        <f t="shared" si="58"/>
        <v>0</v>
      </c>
      <c r="Y311" s="30">
        <f t="shared" si="59"/>
        <v>0</v>
      </c>
      <c r="Z311" s="34">
        <f t="shared" si="60"/>
        <v>0</v>
      </c>
      <c r="AA311" s="41">
        <f t="shared" si="61"/>
        <v>0</v>
      </c>
      <c r="AB311" s="31">
        <f t="shared" si="62"/>
        <v>0</v>
      </c>
    </row>
    <row r="312" spans="3:28" x14ac:dyDescent="0.7">
      <c r="C312" s="63" t="str">
        <f t="shared" si="65"/>
        <v/>
      </c>
      <c r="D312" s="16"/>
      <c r="E312" s="3"/>
      <c r="F312" s="57"/>
      <c r="G312" s="15" t="str">
        <f t="shared" si="66"/>
        <v/>
      </c>
      <c r="H312" s="65" t="str">
        <f t="shared" si="67"/>
        <v/>
      </c>
      <c r="I312" s="65" t="str">
        <f t="shared" si="68"/>
        <v/>
      </c>
      <c r="O312" s="32" t="str">
        <f t="shared" si="56"/>
        <v/>
      </c>
      <c r="P312" s="21"/>
      <c r="Q312" s="21"/>
      <c r="R312" s="21"/>
      <c r="S312" s="36">
        <f t="shared" si="69"/>
        <v>0</v>
      </c>
      <c r="T312" s="34">
        <f t="shared" si="63"/>
        <v>0</v>
      </c>
      <c r="U312" s="32">
        <f t="shared" si="64"/>
        <v>0</v>
      </c>
      <c r="V312" s="43"/>
      <c r="W312" s="32">
        <f t="shared" si="57"/>
        <v>0</v>
      </c>
      <c r="X312" s="34">
        <f t="shared" si="58"/>
        <v>0</v>
      </c>
      <c r="Y312" s="30">
        <f t="shared" si="59"/>
        <v>0</v>
      </c>
      <c r="Z312" s="34">
        <f t="shared" si="60"/>
        <v>0</v>
      </c>
      <c r="AA312" s="41">
        <f t="shared" si="61"/>
        <v>0</v>
      </c>
      <c r="AB312" s="31">
        <f t="shared" si="62"/>
        <v>0</v>
      </c>
    </row>
    <row r="313" spans="3:28" x14ac:dyDescent="0.7">
      <c r="C313" s="63" t="str">
        <f t="shared" si="65"/>
        <v/>
      </c>
      <c r="D313" s="16"/>
      <c r="E313" s="3"/>
      <c r="F313" s="57"/>
      <c r="G313" s="15" t="str">
        <f t="shared" si="66"/>
        <v/>
      </c>
      <c r="H313" s="65" t="str">
        <f t="shared" si="67"/>
        <v/>
      </c>
      <c r="I313" s="65" t="str">
        <f t="shared" si="68"/>
        <v/>
      </c>
      <c r="O313" s="32" t="str">
        <f t="shared" si="56"/>
        <v/>
      </c>
      <c r="P313" s="21"/>
      <c r="Q313" s="21"/>
      <c r="R313" s="21"/>
      <c r="S313" s="36">
        <f t="shared" si="69"/>
        <v>0</v>
      </c>
      <c r="T313" s="34">
        <f t="shared" si="63"/>
        <v>0</v>
      </c>
      <c r="U313" s="32">
        <f t="shared" si="64"/>
        <v>0</v>
      </c>
      <c r="V313" s="43"/>
      <c r="W313" s="32">
        <f t="shared" si="57"/>
        <v>0</v>
      </c>
      <c r="X313" s="34">
        <f t="shared" si="58"/>
        <v>0</v>
      </c>
      <c r="Y313" s="30">
        <f t="shared" si="59"/>
        <v>0</v>
      </c>
      <c r="Z313" s="34">
        <f t="shared" si="60"/>
        <v>0</v>
      </c>
      <c r="AA313" s="41">
        <f t="shared" si="61"/>
        <v>0</v>
      </c>
      <c r="AB313" s="31">
        <f t="shared" si="62"/>
        <v>0</v>
      </c>
    </row>
    <row r="314" spans="3:28" x14ac:dyDescent="0.7">
      <c r="C314" s="63" t="str">
        <f t="shared" si="65"/>
        <v/>
      </c>
      <c r="D314" s="16"/>
      <c r="E314" s="3"/>
      <c r="F314" s="57"/>
      <c r="G314" s="15" t="str">
        <f t="shared" si="66"/>
        <v/>
      </c>
      <c r="H314" s="65" t="str">
        <f t="shared" si="67"/>
        <v/>
      </c>
      <c r="I314" s="65" t="str">
        <f t="shared" si="68"/>
        <v/>
      </c>
      <c r="O314" s="32" t="str">
        <f t="shared" si="56"/>
        <v/>
      </c>
      <c r="P314" s="21"/>
      <c r="Q314" s="21"/>
      <c r="R314" s="21"/>
      <c r="S314" s="36">
        <f t="shared" si="69"/>
        <v>0</v>
      </c>
      <c r="T314" s="34">
        <f t="shared" si="63"/>
        <v>0</v>
      </c>
      <c r="U314" s="32">
        <f t="shared" si="64"/>
        <v>0</v>
      </c>
      <c r="V314" s="43"/>
      <c r="W314" s="32">
        <f t="shared" si="57"/>
        <v>0</v>
      </c>
      <c r="X314" s="34">
        <f t="shared" si="58"/>
        <v>0</v>
      </c>
      <c r="Y314" s="30">
        <f t="shared" si="59"/>
        <v>0</v>
      </c>
      <c r="Z314" s="34">
        <f t="shared" si="60"/>
        <v>0</v>
      </c>
      <c r="AA314" s="41">
        <f t="shared" si="61"/>
        <v>0</v>
      </c>
      <c r="AB314" s="31">
        <f t="shared" si="62"/>
        <v>0</v>
      </c>
    </row>
    <row r="315" spans="3:28" x14ac:dyDescent="0.7">
      <c r="C315" s="63" t="str">
        <f t="shared" si="65"/>
        <v/>
      </c>
      <c r="D315" s="16"/>
      <c r="E315" s="3"/>
      <c r="F315" s="57"/>
      <c r="G315" s="15" t="str">
        <f t="shared" si="66"/>
        <v/>
      </c>
      <c r="H315" s="65" t="str">
        <f t="shared" si="67"/>
        <v/>
      </c>
      <c r="I315" s="65" t="str">
        <f t="shared" si="68"/>
        <v/>
      </c>
      <c r="O315" s="32" t="str">
        <f t="shared" si="56"/>
        <v/>
      </c>
      <c r="P315" s="21"/>
      <c r="Q315" s="21"/>
      <c r="R315" s="21"/>
      <c r="S315" s="36">
        <f t="shared" si="69"/>
        <v>0</v>
      </c>
      <c r="T315" s="34">
        <f t="shared" si="63"/>
        <v>0</v>
      </c>
      <c r="U315" s="32">
        <f t="shared" si="64"/>
        <v>0</v>
      </c>
      <c r="V315" s="43"/>
      <c r="W315" s="32">
        <f t="shared" si="57"/>
        <v>0</v>
      </c>
      <c r="X315" s="34">
        <f t="shared" si="58"/>
        <v>0</v>
      </c>
      <c r="Y315" s="30">
        <f t="shared" si="59"/>
        <v>0</v>
      </c>
      <c r="Z315" s="34">
        <f t="shared" si="60"/>
        <v>0</v>
      </c>
      <c r="AA315" s="41">
        <f t="shared" si="61"/>
        <v>0</v>
      </c>
      <c r="AB315" s="31">
        <f t="shared" si="62"/>
        <v>0</v>
      </c>
    </row>
    <row r="316" spans="3:28" x14ac:dyDescent="0.7">
      <c r="C316" s="63" t="str">
        <f t="shared" si="65"/>
        <v/>
      </c>
      <c r="D316" s="16"/>
      <c r="E316" s="3"/>
      <c r="F316" s="57"/>
      <c r="G316" s="15" t="str">
        <f t="shared" si="66"/>
        <v/>
      </c>
      <c r="H316" s="65" t="str">
        <f t="shared" si="67"/>
        <v/>
      </c>
      <c r="I316" s="65" t="str">
        <f t="shared" si="68"/>
        <v/>
      </c>
      <c r="O316" s="32" t="str">
        <f t="shared" si="56"/>
        <v/>
      </c>
      <c r="P316" s="21"/>
      <c r="Q316" s="21"/>
      <c r="R316" s="21"/>
      <c r="S316" s="36">
        <f t="shared" si="69"/>
        <v>0</v>
      </c>
      <c r="T316" s="34">
        <f t="shared" si="63"/>
        <v>0</v>
      </c>
      <c r="U316" s="32">
        <f t="shared" si="64"/>
        <v>0</v>
      </c>
      <c r="V316" s="43"/>
      <c r="W316" s="32">
        <f t="shared" si="57"/>
        <v>0</v>
      </c>
      <c r="X316" s="34">
        <f t="shared" si="58"/>
        <v>0</v>
      </c>
      <c r="Y316" s="30">
        <f t="shared" si="59"/>
        <v>0</v>
      </c>
      <c r="Z316" s="34">
        <f t="shared" si="60"/>
        <v>0</v>
      </c>
      <c r="AA316" s="41">
        <f t="shared" si="61"/>
        <v>0</v>
      </c>
      <c r="AB316" s="31">
        <f t="shared" si="62"/>
        <v>0</v>
      </c>
    </row>
    <row r="317" spans="3:28" x14ac:dyDescent="0.7">
      <c r="C317" s="63" t="str">
        <f t="shared" si="65"/>
        <v/>
      </c>
      <c r="D317" s="16"/>
      <c r="E317" s="3"/>
      <c r="F317" s="57"/>
      <c r="G317" s="15" t="str">
        <f t="shared" si="66"/>
        <v/>
      </c>
      <c r="H317" s="65" t="str">
        <f t="shared" si="67"/>
        <v/>
      </c>
      <c r="I317" s="65" t="str">
        <f t="shared" si="68"/>
        <v/>
      </c>
      <c r="O317" s="32" t="str">
        <f t="shared" si="56"/>
        <v/>
      </c>
      <c r="P317" s="21"/>
      <c r="Q317" s="21"/>
      <c r="R317" s="21"/>
      <c r="S317" s="36">
        <f t="shared" si="69"/>
        <v>0</v>
      </c>
      <c r="T317" s="34">
        <f t="shared" si="63"/>
        <v>0</v>
      </c>
      <c r="U317" s="32">
        <f t="shared" si="64"/>
        <v>0</v>
      </c>
      <c r="V317" s="43"/>
      <c r="W317" s="32">
        <f t="shared" si="57"/>
        <v>0</v>
      </c>
      <c r="X317" s="34">
        <f t="shared" si="58"/>
        <v>0</v>
      </c>
      <c r="Y317" s="30">
        <f t="shared" si="59"/>
        <v>0</v>
      </c>
      <c r="Z317" s="34">
        <f t="shared" si="60"/>
        <v>0</v>
      </c>
      <c r="AA317" s="41">
        <f t="shared" si="61"/>
        <v>0</v>
      </c>
      <c r="AB317" s="31">
        <f t="shared" si="62"/>
        <v>0</v>
      </c>
    </row>
    <row r="318" spans="3:28" x14ac:dyDescent="0.7">
      <c r="C318" s="63" t="str">
        <f t="shared" si="65"/>
        <v/>
      </c>
      <c r="D318" s="16"/>
      <c r="E318" s="3"/>
      <c r="F318" s="57"/>
      <c r="G318" s="15" t="str">
        <f t="shared" si="66"/>
        <v/>
      </c>
      <c r="H318" s="65" t="str">
        <f t="shared" si="67"/>
        <v/>
      </c>
      <c r="I318" s="65" t="str">
        <f t="shared" si="68"/>
        <v/>
      </c>
      <c r="O318" s="32" t="str">
        <f t="shared" si="56"/>
        <v/>
      </c>
      <c r="P318" s="21"/>
      <c r="Q318" s="21"/>
      <c r="R318" s="21"/>
      <c r="S318" s="36">
        <f t="shared" si="69"/>
        <v>0</v>
      </c>
      <c r="T318" s="34">
        <f t="shared" si="63"/>
        <v>0</v>
      </c>
      <c r="U318" s="32">
        <f t="shared" si="64"/>
        <v>0</v>
      </c>
      <c r="V318" s="43"/>
      <c r="W318" s="32">
        <f t="shared" si="57"/>
        <v>0</v>
      </c>
      <c r="X318" s="34">
        <f t="shared" si="58"/>
        <v>0</v>
      </c>
      <c r="Y318" s="30">
        <f t="shared" si="59"/>
        <v>0</v>
      </c>
      <c r="Z318" s="34">
        <f t="shared" si="60"/>
        <v>0</v>
      </c>
      <c r="AA318" s="41">
        <f t="shared" si="61"/>
        <v>0</v>
      </c>
      <c r="AB318" s="31">
        <f t="shared" si="62"/>
        <v>0</v>
      </c>
    </row>
    <row r="319" spans="3:28" x14ac:dyDescent="0.7">
      <c r="C319" s="63" t="str">
        <f t="shared" si="65"/>
        <v/>
      </c>
      <c r="D319" s="16"/>
      <c r="E319" s="3"/>
      <c r="F319" s="57"/>
      <c r="G319" s="15" t="str">
        <f t="shared" si="66"/>
        <v/>
      </c>
      <c r="H319" s="65" t="str">
        <f t="shared" si="67"/>
        <v/>
      </c>
      <c r="I319" s="65" t="str">
        <f t="shared" si="68"/>
        <v/>
      </c>
      <c r="O319" s="32" t="str">
        <f t="shared" si="56"/>
        <v/>
      </c>
      <c r="P319" s="21"/>
      <c r="Q319" s="21"/>
      <c r="R319" s="21"/>
      <c r="S319" s="36">
        <f t="shared" si="69"/>
        <v>0</v>
      </c>
      <c r="T319" s="34">
        <f t="shared" si="63"/>
        <v>0</v>
      </c>
      <c r="U319" s="32">
        <f t="shared" si="64"/>
        <v>0</v>
      </c>
      <c r="V319" s="43"/>
      <c r="W319" s="32">
        <f t="shared" si="57"/>
        <v>0</v>
      </c>
      <c r="X319" s="34">
        <f t="shared" si="58"/>
        <v>0</v>
      </c>
      <c r="Y319" s="30">
        <f t="shared" si="59"/>
        <v>0</v>
      </c>
      <c r="Z319" s="34">
        <f t="shared" si="60"/>
        <v>0</v>
      </c>
      <c r="AA319" s="41">
        <f t="shared" si="61"/>
        <v>0</v>
      </c>
      <c r="AB319" s="31">
        <f t="shared" si="62"/>
        <v>0</v>
      </c>
    </row>
    <row r="320" spans="3:28" x14ac:dyDescent="0.7">
      <c r="C320" s="63" t="str">
        <f t="shared" si="65"/>
        <v/>
      </c>
      <c r="D320" s="16"/>
      <c r="E320" s="3"/>
      <c r="F320" s="57"/>
      <c r="G320" s="15" t="str">
        <f t="shared" si="66"/>
        <v/>
      </c>
      <c r="H320" s="65" t="str">
        <f t="shared" si="67"/>
        <v/>
      </c>
      <c r="I320" s="65" t="str">
        <f t="shared" si="68"/>
        <v/>
      </c>
      <c r="O320" s="32" t="str">
        <f t="shared" si="56"/>
        <v/>
      </c>
      <c r="P320" s="21"/>
      <c r="Q320" s="21"/>
      <c r="R320" s="21"/>
      <c r="S320" s="36">
        <f t="shared" si="69"/>
        <v>0</v>
      </c>
      <c r="T320" s="34">
        <f t="shared" si="63"/>
        <v>0</v>
      </c>
      <c r="U320" s="32">
        <f t="shared" si="64"/>
        <v>0</v>
      </c>
      <c r="V320" s="43"/>
      <c r="W320" s="32">
        <f t="shared" si="57"/>
        <v>0</v>
      </c>
      <c r="X320" s="34">
        <f t="shared" si="58"/>
        <v>0</v>
      </c>
      <c r="Y320" s="30">
        <f t="shared" si="59"/>
        <v>0</v>
      </c>
      <c r="Z320" s="34">
        <f t="shared" si="60"/>
        <v>0</v>
      </c>
      <c r="AA320" s="41">
        <f t="shared" si="61"/>
        <v>0</v>
      </c>
      <c r="AB320" s="31">
        <f t="shared" si="62"/>
        <v>0</v>
      </c>
    </row>
    <row r="321" spans="3:28" x14ac:dyDescent="0.7">
      <c r="C321" s="63" t="str">
        <f t="shared" si="65"/>
        <v/>
      </c>
      <c r="D321" s="16"/>
      <c r="E321" s="3"/>
      <c r="F321" s="57"/>
      <c r="G321" s="15" t="str">
        <f t="shared" si="66"/>
        <v/>
      </c>
      <c r="H321" s="65" t="str">
        <f t="shared" si="67"/>
        <v/>
      </c>
      <c r="I321" s="65" t="str">
        <f t="shared" si="68"/>
        <v/>
      </c>
      <c r="O321" s="32" t="str">
        <f t="shared" si="56"/>
        <v/>
      </c>
      <c r="P321" s="21"/>
      <c r="Q321" s="21"/>
      <c r="R321" s="21"/>
      <c r="S321" s="36">
        <f t="shared" si="69"/>
        <v>0</v>
      </c>
      <c r="T321" s="34">
        <f t="shared" si="63"/>
        <v>0</v>
      </c>
      <c r="U321" s="32">
        <f t="shared" si="64"/>
        <v>0</v>
      </c>
      <c r="V321" s="43"/>
      <c r="W321" s="32">
        <f t="shared" si="57"/>
        <v>0</v>
      </c>
      <c r="X321" s="34">
        <f t="shared" si="58"/>
        <v>0</v>
      </c>
      <c r="Y321" s="30">
        <f t="shared" si="59"/>
        <v>0</v>
      </c>
      <c r="Z321" s="34">
        <f t="shared" si="60"/>
        <v>0</v>
      </c>
      <c r="AA321" s="41">
        <f t="shared" si="61"/>
        <v>0</v>
      </c>
      <c r="AB321" s="31">
        <f t="shared" si="62"/>
        <v>0</v>
      </c>
    </row>
    <row r="322" spans="3:28" x14ac:dyDescent="0.7">
      <c r="C322" s="63" t="str">
        <f t="shared" si="65"/>
        <v/>
      </c>
      <c r="D322" s="16"/>
      <c r="E322" s="3"/>
      <c r="F322" s="57"/>
      <c r="G322" s="15" t="str">
        <f t="shared" si="66"/>
        <v/>
      </c>
      <c r="H322" s="65" t="str">
        <f t="shared" si="67"/>
        <v/>
      </c>
      <c r="I322" s="65" t="str">
        <f t="shared" si="68"/>
        <v/>
      </c>
      <c r="O322" s="32" t="str">
        <f t="shared" si="56"/>
        <v/>
      </c>
      <c r="P322" s="21"/>
      <c r="Q322" s="21"/>
      <c r="R322" s="21"/>
      <c r="S322" s="36">
        <f t="shared" si="69"/>
        <v>0</v>
      </c>
      <c r="T322" s="34">
        <f t="shared" si="63"/>
        <v>0</v>
      </c>
      <c r="U322" s="32">
        <f t="shared" si="64"/>
        <v>0</v>
      </c>
      <c r="V322" s="43"/>
      <c r="W322" s="32">
        <f t="shared" si="57"/>
        <v>0</v>
      </c>
      <c r="X322" s="34">
        <f t="shared" si="58"/>
        <v>0</v>
      </c>
      <c r="Y322" s="30">
        <f t="shared" si="59"/>
        <v>0</v>
      </c>
      <c r="Z322" s="34">
        <f t="shared" si="60"/>
        <v>0</v>
      </c>
      <c r="AA322" s="41">
        <f t="shared" si="61"/>
        <v>0</v>
      </c>
      <c r="AB322" s="31">
        <f t="shared" si="62"/>
        <v>0</v>
      </c>
    </row>
    <row r="323" spans="3:28" x14ac:dyDescent="0.7">
      <c r="C323" s="63" t="str">
        <f t="shared" si="65"/>
        <v/>
      </c>
      <c r="D323" s="16"/>
      <c r="E323" s="3"/>
      <c r="F323" s="57"/>
      <c r="G323" s="15" t="str">
        <f t="shared" si="66"/>
        <v/>
      </c>
      <c r="H323" s="65" t="str">
        <f t="shared" si="67"/>
        <v/>
      </c>
      <c r="I323" s="65" t="str">
        <f t="shared" si="68"/>
        <v/>
      </c>
      <c r="O323" s="32" t="str">
        <f t="shared" si="56"/>
        <v/>
      </c>
      <c r="P323" s="21"/>
      <c r="Q323" s="21"/>
      <c r="R323" s="21"/>
      <c r="S323" s="36">
        <f t="shared" si="69"/>
        <v>0</v>
      </c>
      <c r="T323" s="34">
        <f t="shared" si="63"/>
        <v>0</v>
      </c>
      <c r="U323" s="32">
        <f t="shared" si="64"/>
        <v>0</v>
      </c>
      <c r="V323" s="43"/>
      <c r="W323" s="32">
        <f t="shared" si="57"/>
        <v>0</v>
      </c>
      <c r="X323" s="34">
        <f t="shared" si="58"/>
        <v>0</v>
      </c>
      <c r="Y323" s="30">
        <f t="shared" si="59"/>
        <v>0</v>
      </c>
      <c r="Z323" s="34">
        <f t="shared" si="60"/>
        <v>0</v>
      </c>
      <c r="AA323" s="41">
        <f t="shared" si="61"/>
        <v>0</v>
      </c>
      <c r="AB323" s="31">
        <f t="shared" si="62"/>
        <v>0</v>
      </c>
    </row>
    <row r="324" spans="3:28" x14ac:dyDescent="0.7">
      <c r="C324" s="63" t="str">
        <f t="shared" si="65"/>
        <v/>
      </c>
      <c r="D324" s="16"/>
      <c r="E324" s="3"/>
      <c r="F324" s="57"/>
      <c r="G324" s="15" t="str">
        <f t="shared" si="66"/>
        <v/>
      </c>
      <c r="H324" s="65" t="str">
        <f t="shared" si="67"/>
        <v/>
      </c>
      <c r="I324" s="65" t="str">
        <f t="shared" si="68"/>
        <v/>
      </c>
      <c r="O324" s="32" t="str">
        <f t="shared" si="56"/>
        <v/>
      </c>
      <c r="P324" s="21"/>
      <c r="Q324" s="21"/>
      <c r="R324" s="21"/>
      <c r="S324" s="36">
        <f t="shared" si="69"/>
        <v>0</v>
      </c>
      <c r="T324" s="34">
        <f t="shared" si="63"/>
        <v>0</v>
      </c>
      <c r="U324" s="32">
        <f t="shared" si="64"/>
        <v>0</v>
      </c>
      <c r="V324" s="43"/>
      <c r="W324" s="32">
        <f t="shared" si="57"/>
        <v>0</v>
      </c>
      <c r="X324" s="34">
        <f t="shared" si="58"/>
        <v>0</v>
      </c>
      <c r="Y324" s="30">
        <f t="shared" si="59"/>
        <v>0</v>
      </c>
      <c r="Z324" s="34">
        <f t="shared" si="60"/>
        <v>0</v>
      </c>
      <c r="AA324" s="41">
        <f t="shared" si="61"/>
        <v>0</v>
      </c>
      <c r="AB324" s="31">
        <f t="shared" si="62"/>
        <v>0</v>
      </c>
    </row>
    <row r="325" spans="3:28" x14ac:dyDescent="0.7">
      <c r="C325" s="63" t="str">
        <f t="shared" si="65"/>
        <v/>
      </c>
      <c r="D325" s="16"/>
      <c r="E325" s="3"/>
      <c r="F325" s="57"/>
      <c r="G325" s="15" t="str">
        <f t="shared" si="66"/>
        <v/>
      </c>
      <c r="H325" s="65" t="str">
        <f t="shared" si="67"/>
        <v/>
      </c>
      <c r="I325" s="65" t="str">
        <f t="shared" si="68"/>
        <v/>
      </c>
      <c r="O325" s="32" t="str">
        <f t="shared" si="56"/>
        <v/>
      </c>
      <c r="P325" s="21"/>
      <c r="Q325" s="21"/>
      <c r="R325" s="21"/>
      <c r="S325" s="36">
        <f t="shared" si="69"/>
        <v>0</v>
      </c>
      <c r="T325" s="34">
        <f t="shared" si="63"/>
        <v>0</v>
      </c>
      <c r="U325" s="32">
        <f t="shared" si="64"/>
        <v>0</v>
      </c>
      <c r="V325" s="43"/>
      <c r="W325" s="32">
        <f t="shared" si="57"/>
        <v>0</v>
      </c>
      <c r="X325" s="34">
        <f t="shared" si="58"/>
        <v>0</v>
      </c>
      <c r="Y325" s="30">
        <f t="shared" si="59"/>
        <v>0</v>
      </c>
      <c r="Z325" s="34">
        <f t="shared" si="60"/>
        <v>0</v>
      </c>
      <c r="AA325" s="41">
        <f t="shared" si="61"/>
        <v>0</v>
      </c>
      <c r="AB325" s="31">
        <f t="shared" si="62"/>
        <v>0</v>
      </c>
    </row>
    <row r="326" spans="3:28" x14ac:dyDescent="0.7">
      <c r="C326" s="63" t="str">
        <f t="shared" si="65"/>
        <v/>
      </c>
      <c r="D326" s="16"/>
      <c r="E326" s="3"/>
      <c r="F326" s="57"/>
      <c r="G326" s="15" t="str">
        <f t="shared" si="66"/>
        <v/>
      </c>
      <c r="H326" s="65" t="str">
        <f t="shared" si="67"/>
        <v/>
      </c>
      <c r="I326" s="65" t="str">
        <f t="shared" si="68"/>
        <v/>
      </c>
      <c r="O326" s="32" t="str">
        <f t="shared" si="56"/>
        <v/>
      </c>
      <c r="P326" s="21"/>
      <c r="Q326" s="21"/>
      <c r="R326" s="21"/>
      <c r="S326" s="36">
        <f t="shared" si="69"/>
        <v>0</v>
      </c>
      <c r="T326" s="34">
        <f t="shared" si="63"/>
        <v>0</v>
      </c>
      <c r="U326" s="32">
        <f t="shared" si="64"/>
        <v>0</v>
      </c>
      <c r="V326" s="43"/>
      <c r="W326" s="32">
        <f t="shared" si="57"/>
        <v>0</v>
      </c>
      <c r="X326" s="34">
        <f t="shared" si="58"/>
        <v>0</v>
      </c>
      <c r="Y326" s="30">
        <f t="shared" si="59"/>
        <v>0</v>
      </c>
      <c r="Z326" s="34">
        <f t="shared" si="60"/>
        <v>0</v>
      </c>
      <c r="AA326" s="41">
        <f t="shared" si="61"/>
        <v>0</v>
      </c>
      <c r="AB326" s="31">
        <f t="shared" si="62"/>
        <v>0</v>
      </c>
    </row>
    <row r="327" spans="3:28" x14ac:dyDescent="0.7">
      <c r="C327" s="63" t="str">
        <f t="shared" si="65"/>
        <v/>
      </c>
      <c r="D327" s="16"/>
      <c r="E327" s="3"/>
      <c r="F327" s="57"/>
      <c r="G327" s="15" t="str">
        <f t="shared" si="66"/>
        <v/>
      </c>
      <c r="H327" s="65" t="str">
        <f t="shared" si="67"/>
        <v/>
      </c>
      <c r="I327" s="65" t="str">
        <f t="shared" si="68"/>
        <v/>
      </c>
      <c r="O327" s="32" t="str">
        <f t="shared" si="56"/>
        <v/>
      </c>
      <c r="P327" s="21"/>
      <c r="Q327" s="21"/>
      <c r="R327" s="21"/>
      <c r="S327" s="36">
        <f t="shared" si="69"/>
        <v>0</v>
      </c>
      <c r="T327" s="34">
        <f t="shared" si="63"/>
        <v>0</v>
      </c>
      <c r="U327" s="32">
        <f t="shared" si="64"/>
        <v>0</v>
      </c>
      <c r="V327" s="43"/>
      <c r="W327" s="32">
        <f t="shared" si="57"/>
        <v>0</v>
      </c>
      <c r="X327" s="34">
        <f t="shared" si="58"/>
        <v>0</v>
      </c>
      <c r="Y327" s="30">
        <f t="shared" si="59"/>
        <v>0</v>
      </c>
      <c r="Z327" s="34">
        <f t="shared" si="60"/>
        <v>0</v>
      </c>
      <c r="AA327" s="41">
        <f t="shared" si="61"/>
        <v>0</v>
      </c>
      <c r="AB327" s="31">
        <f t="shared" si="62"/>
        <v>0</v>
      </c>
    </row>
    <row r="328" spans="3:28" x14ac:dyDescent="0.7">
      <c r="C328" s="63" t="str">
        <f t="shared" si="65"/>
        <v/>
      </c>
      <c r="D328" s="16"/>
      <c r="E328" s="3"/>
      <c r="F328" s="57"/>
      <c r="G328" s="15" t="str">
        <f t="shared" si="66"/>
        <v/>
      </c>
      <c r="H328" s="65" t="str">
        <f t="shared" si="67"/>
        <v/>
      </c>
      <c r="I328" s="65" t="str">
        <f t="shared" si="68"/>
        <v/>
      </c>
      <c r="O328" s="32" t="str">
        <f t="shared" ref="O328:O391" si="70">IF(P328="","",ROW()-ROW($O$6))</f>
        <v/>
      </c>
      <c r="P328" s="21"/>
      <c r="Q328" s="21"/>
      <c r="R328" s="21"/>
      <c r="S328" s="36">
        <f t="shared" si="69"/>
        <v>0</v>
      </c>
      <c r="T328" s="34">
        <f t="shared" si="63"/>
        <v>0</v>
      </c>
      <c r="U328" s="32">
        <f t="shared" si="64"/>
        <v>0</v>
      </c>
      <c r="V328" s="43"/>
      <c r="W328" s="32">
        <f t="shared" ref="W328:W391" si="71">U328-V328</f>
        <v>0</v>
      </c>
      <c r="X328" s="34">
        <f t="shared" ref="X328:X391" si="72">W328/5440</f>
        <v>0</v>
      </c>
      <c r="Y328" s="30">
        <f t="shared" ref="Y328:Y391" si="73">TRUNC(X328)</f>
        <v>0</v>
      </c>
      <c r="Z328" s="34">
        <f t="shared" ref="Z328:Z391" si="74">(X328-Y328)*20</f>
        <v>0</v>
      </c>
      <c r="AA328" s="41">
        <f t="shared" ref="AA328:AA391" si="75">TRUNC(Z328)</f>
        <v>0</v>
      </c>
      <c r="AB328" s="31">
        <f t="shared" ref="AB328:AB391" si="76">(Z328-AA328)*272</f>
        <v>0</v>
      </c>
    </row>
    <row r="329" spans="3:28" x14ac:dyDescent="0.7">
      <c r="C329" s="63" t="str">
        <f t="shared" si="65"/>
        <v/>
      </c>
      <c r="D329" s="16"/>
      <c r="E329" s="3"/>
      <c r="F329" s="57"/>
      <c r="G329" s="15" t="str">
        <f t="shared" si="66"/>
        <v/>
      </c>
      <c r="H329" s="65" t="str">
        <f t="shared" si="67"/>
        <v/>
      </c>
      <c r="I329" s="65" t="str">
        <f t="shared" si="68"/>
        <v/>
      </c>
      <c r="O329" s="32" t="str">
        <f t="shared" si="70"/>
        <v/>
      </c>
      <c r="P329" s="21"/>
      <c r="Q329" s="21"/>
      <c r="R329" s="21"/>
      <c r="S329" s="36">
        <f t="shared" si="69"/>
        <v>0</v>
      </c>
      <c r="T329" s="34">
        <f t="shared" ref="T329:T392" si="77">(S329*R329)/100</f>
        <v>0</v>
      </c>
      <c r="U329" s="32">
        <f t="shared" ref="U329:U392" si="78">R329-T329</f>
        <v>0</v>
      </c>
      <c r="V329" s="43"/>
      <c r="W329" s="32">
        <f t="shared" si="71"/>
        <v>0</v>
      </c>
      <c r="X329" s="34">
        <f t="shared" si="72"/>
        <v>0</v>
      </c>
      <c r="Y329" s="30">
        <f t="shared" si="73"/>
        <v>0</v>
      </c>
      <c r="Z329" s="34">
        <f t="shared" si="74"/>
        <v>0</v>
      </c>
      <c r="AA329" s="41">
        <f t="shared" si="75"/>
        <v>0</v>
      </c>
      <c r="AB329" s="31">
        <f t="shared" si="76"/>
        <v>0</v>
      </c>
    </row>
    <row r="330" spans="3:28" x14ac:dyDescent="0.7">
      <c r="C330" s="63" t="str">
        <f t="shared" ref="C330:C393" si="79">IF(D330="","",ROW()-ROW($C$8))</f>
        <v/>
      </c>
      <c r="D330" s="16"/>
      <c r="E330" s="3"/>
      <c r="F330" s="57"/>
      <c r="G330" s="15" t="str">
        <f t="shared" ref="G330:G393" si="80">_xlfn.TEXTJOIN("-",1,E330:F330)</f>
        <v/>
      </c>
      <c r="H330" s="65" t="str">
        <f t="shared" ref="H330:H393" si="81">_xlfn.TEXTJOIN("Khasra_",1,C330:D330)</f>
        <v/>
      </c>
      <c r="I330" s="65" t="str">
        <f t="shared" ref="I330:I393" si="82">_xlfn.TEXTJOIN("=",1,H330,G330)</f>
        <v/>
      </c>
      <c r="O330" s="32" t="str">
        <f t="shared" si="70"/>
        <v/>
      </c>
      <c r="P330" s="21"/>
      <c r="Q330" s="21"/>
      <c r="R330" s="21"/>
      <c r="S330" s="36">
        <f t="shared" si="69"/>
        <v>0</v>
      </c>
      <c r="T330" s="34">
        <f t="shared" si="77"/>
        <v>0</v>
      </c>
      <c r="U330" s="32">
        <f t="shared" si="78"/>
        <v>0</v>
      </c>
      <c r="V330" s="43"/>
      <c r="W330" s="32">
        <f t="shared" si="71"/>
        <v>0</v>
      </c>
      <c r="X330" s="34">
        <f t="shared" si="72"/>
        <v>0</v>
      </c>
      <c r="Y330" s="30">
        <f t="shared" si="73"/>
        <v>0</v>
      </c>
      <c r="Z330" s="34">
        <f t="shared" si="74"/>
        <v>0</v>
      </c>
      <c r="AA330" s="41">
        <f t="shared" si="75"/>
        <v>0</v>
      </c>
      <c r="AB330" s="31">
        <f t="shared" si="76"/>
        <v>0</v>
      </c>
    </row>
    <row r="331" spans="3:28" x14ac:dyDescent="0.7">
      <c r="C331" s="63" t="str">
        <f t="shared" si="79"/>
        <v/>
      </c>
      <c r="D331" s="16"/>
      <c r="E331" s="3"/>
      <c r="F331" s="57"/>
      <c r="G331" s="15" t="str">
        <f t="shared" si="80"/>
        <v/>
      </c>
      <c r="H331" s="65" t="str">
        <f t="shared" si="81"/>
        <v/>
      </c>
      <c r="I331" s="65" t="str">
        <f t="shared" si="82"/>
        <v/>
      </c>
      <c r="O331" s="32" t="str">
        <f t="shared" si="70"/>
        <v/>
      </c>
      <c r="P331" s="21"/>
      <c r="Q331" s="21"/>
      <c r="R331" s="21"/>
      <c r="S331" s="36">
        <f t="shared" ref="S331:S394" si="83">S330</f>
        <v>0</v>
      </c>
      <c r="T331" s="34">
        <f t="shared" si="77"/>
        <v>0</v>
      </c>
      <c r="U331" s="32">
        <f t="shared" si="78"/>
        <v>0</v>
      </c>
      <c r="V331" s="43"/>
      <c r="W331" s="32">
        <f t="shared" si="71"/>
        <v>0</v>
      </c>
      <c r="X331" s="34">
        <f t="shared" si="72"/>
        <v>0</v>
      </c>
      <c r="Y331" s="30">
        <f t="shared" si="73"/>
        <v>0</v>
      </c>
      <c r="Z331" s="34">
        <f t="shared" si="74"/>
        <v>0</v>
      </c>
      <c r="AA331" s="41">
        <f t="shared" si="75"/>
        <v>0</v>
      </c>
      <c r="AB331" s="31">
        <f t="shared" si="76"/>
        <v>0</v>
      </c>
    </row>
    <row r="332" spans="3:28" x14ac:dyDescent="0.7">
      <c r="C332" s="63" t="str">
        <f t="shared" si="79"/>
        <v/>
      </c>
      <c r="D332" s="16"/>
      <c r="E332" s="3"/>
      <c r="F332" s="57"/>
      <c r="G332" s="15" t="str">
        <f t="shared" si="80"/>
        <v/>
      </c>
      <c r="H332" s="65" t="str">
        <f t="shared" si="81"/>
        <v/>
      </c>
      <c r="I332" s="65" t="str">
        <f t="shared" si="82"/>
        <v/>
      </c>
      <c r="O332" s="32" t="str">
        <f t="shared" si="70"/>
        <v/>
      </c>
      <c r="P332" s="21"/>
      <c r="Q332" s="21"/>
      <c r="R332" s="21"/>
      <c r="S332" s="36">
        <f t="shared" si="83"/>
        <v>0</v>
      </c>
      <c r="T332" s="34">
        <f t="shared" si="77"/>
        <v>0</v>
      </c>
      <c r="U332" s="32">
        <f t="shared" si="78"/>
        <v>0</v>
      </c>
      <c r="V332" s="43"/>
      <c r="W332" s="32">
        <f t="shared" si="71"/>
        <v>0</v>
      </c>
      <c r="X332" s="34">
        <f t="shared" si="72"/>
        <v>0</v>
      </c>
      <c r="Y332" s="30">
        <f t="shared" si="73"/>
        <v>0</v>
      </c>
      <c r="Z332" s="34">
        <f t="shared" si="74"/>
        <v>0</v>
      </c>
      <c r="AA332" s="41">
        <f t="shared" si="75"/>
        <v>0</v>
      </c>
      <c r="AB332" s="31">
        <f t="shared" si="76"/>
        <v>0</v>
      </c>
    </row>
    <row r="333" spans="3:28" x14ac:dyDescent="0.7">
      <c r="C333" s="63" t="str">
        <f t="shared" si="79"/>
        <v/>
      </c>
      <c r="D333" s="16"/>
      <c r="E333" s="3"/>
      <c r="F333" s="57"/>
      <c r="G333" s="15" t="str">
        <f t="shared" si="80"/>
        <v/>
      </c>
      <c r="H333" s="65" t="str">
        <f t="shared" si="81"/>
        <v/>
      </c>
      <c r="I333" s="65" t="str">
        <f t="shared" si="82"/>
        <v/>
      </c>
      <c r="O333" s="32" t="str">
        <f t="shared" si="70"/>
        <v/>
      </c>
      <c r="P333" s="21"/>
      <c r="Q333" s="21"/>
      <c r="R333" s="21"/>
      <c r="S333" s="36">
        <f t="shared" si="83"/>
        <v>0</v>
      </c>
      <c r="T333" s="34">
        <f t="shared" si="77"/>
        <v>0</v>
      </c>
      <c r="U333" s="32">
        <f t="shared" si="78"/>
        <v>0</v>
      </c>
      <c r="V333" s="43"/>
      <c r="W333" s="32">
        <f t="shared" si="71"/>
        <v>0</v>
      </c>
      <c r="X333" s="34">
        <f t="shared" si="72"/>
        <v>0</v>
      </c>
      <c r="Y333" s="30">
        <f t="shared" si="73"/>
        <v>0</v>
      </c>
      <c r="Z333" s="34">
        <f t="shared" si="74"/>
        <v>0</v>
      </c>
      <c r="AA333" s="41">
        <f t="shared" si="75"/>
        <v>0</v>
      </c>
      <c r="AB333" s="31">
        <f t="shared" si="76"/>
        <v>0</v>
      </c>
    </row>
    <row r="334" spans="3:28" x14ac:dyDescent="0.7">
      <c r="C334" s="63" t="str">
        <f t="shared" si="79"/>
        <v/>
      </c>
      <c r="D334" s="16"/>
      <c r="E334" s="3"/>
      <c r="F334" s="57"/>
      <c r="G334" s="15" t="str">
        <f t="shared" si="80"/>
        <v/>
      </c>
      <c r="H334" s="65" t="str">
        <f t="shared" si="81"/>
        <v/>
      </c>
      <c r="I334" s="65" t="str">
        <f t="shared" si="82"/>
        <v/>
      </c>
      <c r="O334" s="32" t="str">
        <f t="shared" si="70"/>
        <v/>
      </c>
      <c r="P334" s="21"/>
      <c r="Q334" s="21"/>
      <c r="R334" s="21"/>
      <c r="S334" s="36">
        <f t="shared" si="83"/>
        <v>0</v>
      </c>
      <c r="T334" s="34">
        <f t="shared" si="77"/>
        <v>0</v>
      </c>
      <c r="U334" s="32">
        <f t="shared" si="78"/>
        <v>0</v>
      </c>
      <c r="V334" s="43"/>
      <c r="W334" s="32">
        <f t="shared" si="71"/>
        <v>0</v>
      </c>
      <c r="X334" s="34">
        <f t="shared" si="72"/>
        <v>0</v>
      </c>
      <c r="Y334" s="30">
        <f t="shared" si="73"/>
        <v>0</v>
      </c>
      <c r="Z334" s="34">
        <f t="shared" si="74"/>
        <v>0</v>
      </c>
      <c r="AA334" s="41">
        <f t="shared" si="75"/>
        <v>0</v>
      </c>
      <c r="AB334" s="31">
        <f t="shared" si="76"/>
        <v>0</v>
      </c>
    </row>
    <row r="335" spans="3:28" x14ac:dyDescent="0.7">
      <c r="C335" s="63" t="str">
        <f t="shared" si="79"/>
        <v/>
      </c>
      <c r="D335" s="16"/>
      <c r="E335" s="3"/>
      <c r="F335" s="57"/>
      <c r="G335" s="15" t="str">
        <f t="shared" si="80"/>
        <v/>
      </c>
      <c r="H335" s="65" t="str">
        <f t="shared" si="81"/>
        <v/>
      </c>
      <c r="I335" s="65" t="str">
        <f t="shared" si="82"/>
        <v/>
      </c>
      <c r="O335" s="32" t="str">
        <f t="shared" si="70"/>
        <v/>
      </c>
      <c r="P335" s="21"/>
      <c r="Q335" s="21"/>
      <c r="R335" s="21"/>
      <c r="S335" s="36">
        <f t="shared" si="83"/>
        <v>0</v>
      </c>
      <c r="T335" s="34">
        <f t="shared" si="77"/>
        <v>0</v>
      </c>
      <c r="U335" s="32">
        <f t="shared" si="78"/>
        <v>0</v>
      </c>
      <c r="V335" s="43"/>
      <c r="W335" s="32">
        <f t="shared" si="71"/>
        <v>0</v>
      </c>
      <c r="X335" s="34">
        <f t="shared" si="72"/>
        <v>0</v>
      </c>
      <c r="Y335" s="30">
        <f t="shared" si="73"/>
        <v>0</v>
      </c>
      <c r="Z335" s="34">
        <f t="shared" si="74"/>
        <v>0</v>
      </c>
      <c r="AA335" s="41">
        <f t="shared" si="75"/>
        <v>0</v>
      </c>
      <c r="AB335" s="31">
        <f t="shared" si="76"/>
        <v>0</v>
      </c>
    </row>
    <row r="336" spans="3:28" x14ac:dyDescent="0.7">
      <c r="C336" s="63" t="str">
        <f t="shared" si="79"/>
        <v/>
      </c>
      <c r="D336" s="16"/>
      <c r="E336" s="3"/>
      <c r="F336" s="57"/>
      <c r="G336" s="15" t="str">
        <f t="shared" si="80"/>
        <v/>
      </c>
      <c r="H336" s="65" t="str">
        <f t="shared" si="81"/>
        <v/>
      </c>
      <c r="I336" s="65" t="str">
        <f t="shared" si="82"/>
        <v/>
      </c>
      <c r="O336" s="32" t="str">
        <f t="shared" si="70"/>
        <v/>
      </c>
      <c r="P336" s="21"/>
      <c r="Q336" s="21"/>
      <c r="R336" s="21"/>
      <c r="S336" s="36">
        <f t="shared" si="83"/>
        <v>0</v>
      </c>
      <c r="T336" s="34">
        <f t="shared" si="77"/>
        <v>0</v>
      </c>
      <c r="U336" s="32">
        <f t="shared" si="78"/>
        <v>0</v>
      </c>
      <c r="V336" s="43"/>
      <c r="W336" s="32">
        <f t="shared" si="71"/>
        <v>0</v>
      </c>
      <c r="X336" s="34">
        <f t="shared" si="72"/>
        <v>0</v>
      </c>
      <c r="Y336" s="30">
        <f t="shared" si="73"/>
        <v>0</v>
      </c>
      <c r="Z336" s="34">
        <f t="shared" si="74"/>
        <v>0</v>
      </c>
      <c r="AA336" s="41">
        <f t="shared" si="75"/>
        <v>0</v>
      </c>
      <c r="AB336" s="31">
        <f t="shared" si="76"/>
        <v>0</v>
      </c>
    </row>
    <row r="337" spans="3:28" x14ac:dyDescent="0.7">
      <c r="C337" s="63" t="str">
        <f t="shared" si="79"/>
        <v/>
      </c>
      <c r="D337" s="16"/>
      <c r="E337" s="3"/>
      <c r="F337" s="57"/>
      <c r="G337" s="15" t="str">
        <f t="shared" si="80"/>
        <v/>
      </c>
      <c r="H337" s="65" t="str">
        <f t="shared" si="81"/>
        <v/>
      </c>
      <c r="I337" s="65" t="str">
        <f t="shared" si="82"/>
        <v/>
      </c>
      <c r="O337" s="32" t="str">
        <f t="shared" si="70"/>
        <v/>
      </c>
      <c r="P337" s="21"/>
      <c r="Q337" s="21"/>
      <c r="R337" s="21"/>
      <c r="S337" s="36">
        <f t="shared" si="83"/>
        <v>0</v>
      </c>
      <c r="T337" s="34">
        <f t="shared" si="77"/>
        <v>0</v>
      </c>
      <c r="U337" s="32">
        <f t="shared" si="78"/>
        <v>0</v>
      </c>
      <c r="V337" s="43"/>
      <c r="W337" s="32">
        <f t="shared" si="71"/>
        <v>0</v>
      </c>
      <c r="X337" s="34">
        <f t="shared" si="72"/>
        <v>0</v>
      </c>
      <c r="Y337" s="30">
        <f t="shared" si="73"/>
        <v>0</v>
      </c>
      <c r="Z337" s="34">
        <f t="shared" si="74"/>
        <v>0</v>
      </c>
      <c r="AA337" s="41">
        <f t="shared" si="75"/>
        <v>0</v>
      </c>
      <c r="AB337" s="31">
        <f t="shared" si="76"/>
        <v>0</v>
      </c>
    </row>
    <row r="338" spans="3:28" x14ac:dyDescent="0.7">
      <c r="C338" s="63" t="str">
        <f t="shared" si="79"/>
        <v/>
      </c>
      <c r="D338" s="16"/>
      <c r="E338" s="3"/>
      <c r="F338" s="57"/>
      <c r="G338" s="15" t="str">
        <f t="shared" si="80"/>
        <v/>
      </c>
      <c r="H338" s="65" t="str">
        <f t="shared" si="81"/>
        <v/>
      </c>
      <c r="I338" s="65" t="str">
        <f t="shared" si="82"/>
        <v/>
      </c>
      <c r="O338" s="32" t="str">
        <f t="shared" si="70"/>
        <v/>
      </c>
      <c r="P338" s="21"/>
      <c r="Q338" s="21"/>
      <c r="R338" s="21"/>
      <c r="S338" s="36">
        <f t="shared" si="83"/>
        <v>0</v>
      </c>
      <c r="T338" s="34">
        <f t="shared" si="77"/>
        <v>0</v>
      </c>
      <c r="U338" s="32">
        <f t="shared" si="78"/>
        <v>0</v>
      </c>
      <c r="V338" s="43"/>
      <c r="W338" s="32">
        <f t="shared" si="71"/>
        <v>0</v>
      </c>
      <c r="X338" s="34">
        <f t="shared" si="72"/>
        <v>0</v>
      </c>
      <c r="Y338" s="30">
        <f t="shared" si="73"/>
        <v>0</v>
      </c>
      <c r="Z338" s="34">
        <f t="shared" si="74"/>
        <v>0</v>
      </c>
      <c r="AA338" s="41">
        <f t="shared" si="75"/>
        <v>0</v>
      </c>
      <c r="AB338" s="31">
        <f t="shared" si="76"/>
        <v>0</v>
      </c>
    </row>
    <row r="339" spans="3:28" x14ac:dyDescent="0.7">
      <c r="C339" s="63" t="str">
        <f t="shared" si="79"/>
        <v/>
      </c>
      <c r="D339" s="16"/>
      <c r="E339" s="3"/>
      <c r="F339" s="57"/>
      <c r="G339" s="15" t="str">
        <f t="shared" si="80"/>
        <v/>
      </c>
      <c r="H339" s="65" t="str">
        <f t="shared" si="81"/>
        <v/>
      </c>
      <c r="I339" s="65" t="str">
        <f t="shared" si="82"/>
        <v/>
      </c>
      <c r="O339" s="32" t="str">
        <f t="shared" si="70"/>
        <v/>
      </c>
      <c r="P339" s="21"/>
      <c r="Q339" s="21"/>
      <c r="R339" s="21"/>
      <c r="S339" s="36">
        <f t="shared" si="83"/>
        <v>0</v>
      </c>
      <c r="T339" s="34">
        <f t="shared" si="77"/>
        <v>0</v>
      </c>
      <c r="U339" s="32">
        <f t="shared" si="78"/>
        <v>0</v>
      </c>
      <c r="V339" s="43"/>
      <c r="W339" s="32">
        <f t="shared" si="71"/>
        <v>0</v>
      </c>
      <c r="X339" s="34">
        <f t="shared" si="72"/>
        <v>0</v>
      </c>
      <c r="Y339" s="30">
        <f t="shared" si="73"/>
        <v>0</v>
      </c>
      <c r="Z339" s="34">
        <f t="shared" si="74"/>
        <v>0</v>
      </c>
      <c r="AA339" s="41">
        <f t="shared" si="75"/>
        <v>0</v>
      </c>
      <c r="AB339" s="31">
        <f t="shared" si="76"/>
        <v>0</v>
      </c>
    </row>
    <row r="340" spans="3:28" x14ac:dyDescent="0.7">
      <c r="C340" s="63" t="str">
        <f t="shared" si="79"/>
        <v/>
      </c>
      <c r="D340" s="16"/>
      <c r="E340" s="3"/>
      <c r="F340" s="57"/>
      <c r="G340" s="15" t="str">
        <f t="shared" si="80"/>
        <v/>
      </c>
      <c r="H340" s="65" t="str">
        <f t="shared" si="81"/>
        <v/>
      </c>
      <c r="I340" s="65" t="str">
        <f t="shared" si="82"/>
        <v/>
      </c>
      <c r="O340" s="32" t="str">
        <f t="shared" si="70"/>
        <v/>
      </c>
      <c r="P340" s="21"/>
      <c r="Q340" s="21"/>
      <c r="R340" s="21"/>
      <c r="S340" s="36">
        <f t="shared" si="83"/>
        <v>0</v>
      </c>
      <c r="T340" s="34">
        <f t="shared" si="77"/>
        <v>0</v>
      </c>
      <c r="U340" s="32">
        <f t="shared" si="78"/>
        <v>0</v>
      </c>
      <c r="V340" s="43"/>
      <c r="W340" s="32">
        <f t="shared" si="71"/>
        <v>0</v>
      </c>
      <c r="X340" s="34">
        <f t="shared" si="72"/>
        <v>0</v>
      </c>
      <c r="Y340" s="30">
        <f t="shared" si="73"/>
        <v>0</v>
      </c>
      <c r="Z340" s="34">
        <f t="shared" si="74"/>
        <v>0</v>
      </c>
      <c r="AA340" s="41">
        <f t="shared" si="75"/>
        <v>0</v>
      </c>
      <c r="AB340" s="31">
        <f t="shared" si="76"/>
        <v>0</v>
      </c>
    </row>
    <row r="341" spans="3:28" x14ac:dyDescent="0.7">
      <c r="C341" s="63" t="str">
        <f t="shared" si="79"/>
        <v/>
      </c>
      <c r="D341" s="16"/>
      <c r="E341" s="3"/>
      <c r="F341" s="57"/>
      <c r="G341" s="15" t="str">
        <f t="shared" si="80"/>
        <v/>
      </c>
      <c r="H341" s="65" t="str">
        <f t="shared" si="81"/>
        <v/>
      </c>
      <c r="I341" s="65" t="str">
        <f t="shared" si="82"/>
        <v/>
      </c>
      <c r="O341" s="32" t="str">
        <f t="shared" si="70"/>
        <v/>
      </c>
      <c r="P341" s="21"/>
      <c r="Q341" s="21"/>
      <c r="R341" s="21"/>
      <c r="S341" s="36">
        <f t="shared" si="83"/>
        <v>0</v>
      </c>
      <c r="T341" s="34">
        <f t="shared" si="77"/>
        <v>0</v>
      </c>
      <c r="U341" s="32">
        <f t="shared" si="78"/>
        <v>0</v>
      </c>
      <c r="V341" s="43"/>
      <c r="W341" s="32">
        <f t="shared" si="71"/>
        <v>0</v>
      </c>
      <c r="X341" s="34">
        <f t="shared" si="72"/>
        <v>0</v>
      </c>
      <c r="Y341" s="30">
        <f t="shared" si="73"/>
        <v>0</v>
      </c>
      <c r="Z341" s="34">
        <f t="shared" si="74"/>
        <v>0</v>
      </c>
      <c r="AA341" s="41">
        <f t="shared" si="75"/>
        <v>0</v>
      </c>
      <c r="AB341" s="31">
        <f t="shared" si="76"/>
        <v>0</v>
      </c>
    </row>
    <row r="342" spans="3:28" x14ac:dyDescent="0.7">
      <c r="C342" s="63" t="str">
        <f t="shared" si="79"/>
        <v/>
      </c>
      <c r="D342" s="16"/>
      <c r="E342" s="3"/>
      <c r="F342" s="57"/>
      <c r="G342" s="15" t="str">
        <f t="shared" si="80"/>
        <v/>
      </c>
      <c r="H342" s="65" t="str">
        <f t="shared" si="81"/>
        <v/>
      </c>
      <c r="I342" s="65" t="str">
        <f t="shared" si="82"/>
        <v/>
      </c>
      <c r="O342" s="32" t="str">
        <f t="shared" si="70"/>
        <v/>
      </c>
      <c r="P342" s="21"/>
      <c r="Q342" s="21"/>
      <c r="R342" s="21"/>
      <c r="S342" s="36">
        <f t="shared" si="83"/>
        <v>0</v>
      </c>
      <c r="T342" s="34">
        <f t="shared" si="77"/>
        <v>0</v>
      </c>
      <c r="U342" s="32">
        <f t="shared" si="78"/>
        <v>0</v>
      </c>
      <c r="V342" s="43"/>
      <c r="W342" s="32">
        <f t="shared" si="71"/>
        <v>0</v>
      </c>
      <c r="X342" s="34">
        <f t="shared" si="72"/>
        <v>0</v>
      </c>
      <c r="Y342" s="30">
        <f t="shared" si="73"/>
        <v>0</v>
      </c>
      <c r="Z342" s="34">
        <f t="shared" si="74"/>
        <v>0</v>
      </c>
      <c r="AA342" s="41">
        <f t="shared" si="75"/>
        <v>0</v>
      </c>
      <c r="AB342" s="31">
        <f t="shared" si="76"/>
        <v>0</v>
      </c>
    </row>
    <row r="343" spans="3:28" x14ac:dyDescent="0.7">
      <c r="C343" s="63" t="str">
        <f t="shared" si="79"/>
        <v/>
      </c>
      <c r="D343" s="16"/>
      <c r="E343" s="3"/>
      <c r="F343" s="57"/>
      <c r="G343" s="15" t="str">
        <f t="shared" si="80"/>
        <v/>
      </c>
      <c r="H343" s="65" t="str">
        <f t="shared" si="81"/>
        <v/>
      </c>
      <c r="I343" s="65" t="str">
        <f t="shared" si="82"/>
        <v/>
      </c>
      <c r="O343" s="32" t="str">
        <f t="shared" si="70"/>
        <v/>
      </c>
      <c r="P343" s="21"/>
      <c r="Q343" s="21"/>
      <c r="R343" s="21"/>
      <c r="S343" s="36">
        <f t="shared" si="83"/>
        <v>0</v>
      </c>
      <c r="T343" s="34">
        <f t="shared" si="77"/>
        <v>0</v>
      </c>
      <c r="U343" s="32">
        <f t="shared" si="78"/>
        <v>0</v>
      </c>
      <c r="V343" s="43"/>
      <c r="W343" s="32">
        <f t="shared" si="71"/>
        <v>0</v>
      </c>
      <c r="X343" s="34">
        <f t="shared" si="72"/>
        <v>0</v>
      </c>
      <c r="Y343" s="30">
        <f t="shared" si="73"/>
        <v>0</v>
      </c>
      <c r="Z343" s="34">
        <f t="shared" si="74"/>
        <v>0</v>
      </c>
      <c r="AA343" s="41">
        <f t="shared" si="75"/>
        <v>0</v>
      </c>
      <c r="AB343" s="31">
        <f t="shared" si="76"/>
        <v>0</v>
      </c>
    </row>
    <row r="344" spans="3:28" x14ac:dyDescent="0.7">
      <c r="C344" s="63" t="str">
        <f t="shared" si="79"/>
        <v/>
      </c>
      <c r="D344" s="16"/>
      <c r="E344" s="3"/>
      <c r="F344" s="57"/>
      <c r="G344" s="15" t="str">
        <f t="shared" si="80"/>
        <v/>
      </c>
      <c r="H344" s="65" t="str">
        <f t="shared" si="81"/>
        <v/>
      </c>
      <c r="I344" s="65" t="str">
        <f t="shared" si="82"/>
        <v/>
      </c>
      <c r="O344" s="32" t="str">
        <f t="shared" si="70"/>
        <v/>
      </c>
      <c r="P344" s="21"/>
      <c r="Q344" s="21"/>
      <c r="R344" s="21"/>
      <c r="S344" s="36">
        <f t="shared" si="83"/>
        <v>0</v>
      </c>
      <c r="T344" s="34">
        <f t="shared" si="77"/>
        <v>0</v>
      </c>
      <c r="U344" s="32">
        <f t="shared" si="78"/>
        <v>0</v>
      </c>
      <c r="V344" s="43"/>
      <c r="W344" s="32">
        <f t="shared" si="71"/>
        <v>0</v>
      </c>
      <c r="X344" s="34">
        <f t="shared" si="72"/>
        <v>0</v>
      </c>
      <c r="Y344" s="30">
        <f t="shared" si="73"/>
        <v>0</v>
      </c>
      <c r="Z344" s="34">
        <f t="shared" si="74"/>
        <v>0</v>
      </c>
      <c r="AA344" s="41">
        <f t="shared" si="75"/>
        <v>0</v>
      </c>
      <c r="AB344" s="31">
        <f t="shared" si="76"/>
        <v>0</v>
      </c>
    </row>
    <row r="345" spans="3:28" x14ac:dyDescent="0.7">
      <c r="C345" s="63" t="str">
        <f t="shared" si="79"/>
        <v/>
      </c>
      <c r="D345" s="16"/>
      <c r="E345" s="3"/>
      <c r="F345" s="57"/>
      <c r="G345" s="15" t="str">
        <f t="shared" si="80"/>
        <v/>
      </c>
      <c r="H345" s="65" t="str">
        <f t="shared" si="81"/>
        <v/>
      </c>
      <c r="I345" s="65" t="str">
        <f t="shared" si="82"/>
        <v/>
      </c>
      <c r="O345" s="32" t="str">
        <f t="shared" si="70"/>
        <v/>
      </c>
      <c r="P345" s="21"/>
      <c r="Q345" s="21"/>
      <c r="R345" s="21"/>
      <c r="S345" s="36">
        <f t="shared" si="83"/>
        <v>0</v>
      </c>
      <c r="T345" s="34">
        <f t="shared" si="77"/>
        <v>0</v>
      </c>
      <c r="U345" s="32">
        <f t="shared" si="78"/>
        <v>0</v>
      </c>
      <c r="V345" s="43"/>
      <c r="W345" s="32">
        <f t="shared" si="71"/>
        <v>0</v>
      </c>
      <c r="X345" s="34">
        <f t="shared" si="72"/>
        <v>0</v>
      </c>
      <c r="Y345" s="30">
        <f t="shared" si="73"/>
        <v>0</v>
      </c>
      <c r="Z345" s="34">
        <f t="shared" si="74"/>
        <v>0</v>
      </c>
      <c r="AA345" s="41">
        <f t="shared" si="75"/>
        <v>0</v>
      </c>
      <c r="AB345" s="31">
        <f t="shared" si="76"/>
        <v>0</v>
      </c>
    </row>
    <row r="346" spans="3:28" x14ac:dyDescent="0.7">
      <c r="C346" s="63" t="str">
        <f t="shared" si="79"/>
        <v/>
      </c>
      <c r="D346" s="16"/>
      <c r="E346" s="3"/>
      <c r="F346" s="57"/>
      <c r="G346" s="15" t="str">
        <f t="shared" si="80"/>
        <v/>
      </c>
      <c r="H346" s="65" t="str">
        <f t="shared" si="81"/>
        <v/>
      </c>
      <c r="I346" s="65" t="str">
        <f t="shared" si="82"/>
        <v/>
      </c>
      <c r="O346" s="32" t="str">
        <f t="shared" si="70"/>
        <v/>
      </c>
      <c r="P346" s="21"/>
      <c r="Q346" s="21"/>
      <c r="R346" s="21"/>
      <c r="S346" s="36">
        <f t="shared" si="83"/>
        <v>0</v>
      </c>
      <c r="T346" s="34">
        <f t="shared" si="77"/>
        <v>0</v>
      </c>
      <c r="U346" s="32">
        <f t="shared" si="78"/>
        <v>0</v>
      </c>
      <c r="V346" s="43"/>
      <c r="W346" s="32">
        <f t="shared" si="71"/>
        <v>0</v>
      </c>
      <c r="X346" s="34">
        <f t="shared" si="72"/>
        <v>0</v>
      </c>
      <c r="Y346" s="30">
        <f t="shared" si="73"/>
        <v>0</v>
      </c>
      <c r="Z346" s="34">
        <f t="shared" si="74"/>
        <v>0</v>
      </c>
      <c r="AA346" s="41">
        <f t="shared" si="75"/>
        <v>0</v>
      </c>
      <c r="AB346" s="31">
        <f t="shared" si="76"/>
        <v>0</v>
      </c>
    </row>
    <row r="347" spans="3:28" x14ac:dyDescent="0.7">
      <c r="C347" s="63" t="str">
        <f t="shared" si="79"/>
        <v/>
      </c>
      <c r="D347" s="16"/>
      <c r="E347" s="3"/>
      <c r="F347" s="57"/>
      <c r="G347" s="15" t="str">
        <f t="shared" si="80"/>
        <v/>
      </c>
      <c r="H347" s="65" t="str">
        <f t="shared" si="81"/>
        <v/>
      </c>
      <c r="I347" s="65" t="str">
        <f t="shared" si="82"/>
        <v/>
      </c>
      <c r="O347" s="32" t="str">
        <f t="shared" si="70"/>
        <v/>
      </c>
      <c r="P347" s="21"/>
      <c r="Q347" s="21"/>
      <c r="R347" s="21"/>
      <c r="S347" s="36">
        <f t="shared" si="83"/>
        <v>0</v>
      </c>
      <c r="T347" s="34">
        <f t="shared" si="77"/>
        <v>0</v>
      </c>
      <c r="U347" s="32">
        <f t="shared" si="78"/>
        <v>0</v>
      </c>
      <c r="V347" s="43"/>
      <c r="W347" s="32">
        <f t="shared" si="71"/>
        <v>0</v>
      </c>
      <c r="X347" s="34">
        <f t="shared" si="72"/>
        <v>0</v>
      </c>
      <c r="Y347" s="30">
        <f t="shared" si="73"/>
        <v>0</v>
      </c>
      <c r="Z347" s="34">
        <f t="shared" si="74"/>
        <v>0</v>
      </c>
      <c r="AA347" s="41">
        <f t="shared" si="75"/>
        <v>0</v>
      </c>
      <c r="AB347" s="31">
        <f t="shared" si="76"/>
        <v>0</v>
      </c>
    </row>
    <row r="348" spans="3:28" x14ac:dyDescent="0.7">
      <c r="C348" s="63" t="str">
        <f t="shared" si="79"/>
        <v/>
      </c>
      <c r="D348" s="16"/>
      <c r="E348" s="3"/>
      <c r="F348" s="57"/>
      <c r="G348" s="15" t="str">
        <f t="shared" si="80"/>
        <v/>
      </c>
      <c r="H348" s="65" t="str">
        <f t="shared" si="81"/>
        <v/>
      </c>
      <c r="I348" s="65" t="str">
        <f t="shared" si="82"/>
        <v/>
      </c>
      <c r="O348" s="32" t="str">
        <f t="shared" si="70"/>
        <v/>
      </c>
      <c r="P348" s="21"/>
      <c r="Q348" s="21"/>
      <c r="R348" s="21"/>
      <c r="S348" s="36">
        <f t="shared" si="83"/>
        <v>0</v>
      </c>
      <c r="T348" s="34">
        <f t="shared" si="77"/>
        <v>0</v>
      </c>
      <c r="U348" s="32">
        <f t="shared" si="78"/>
        <v>0</v>
      </c>
      <c r="V348" s="43"/>
      <c r="W348" s="32">
        <f t="shared" si="71"/>
        <v>0</v>
      </c>
      <c r="X348" s="34">
        <f t="shared" si="72"/>
        <v>0</v>
      </c>
      <c r="Y348" s="30">
        <f t="shared" si="73"/>
        <v>0</v>
      </c>
      <c r="Z348" s="34">
        <f t="shared" si="74"/>
        <v>0</v>
      </c>
      <c r="AA348" s="41">
        <f t="shared" si="75"/>
        <v>0</v>
      </c>
      <c r="AB348" s="31">
        <f t="shared" si="76"/>
        <v>0</v>
      </c>
    </row>
    <row r="349" spans="3:28" x14ac:dyDescent="0.7">
      <c r="C349" s="63" t="str">
        <f t="shared" si="79"/>
        <v/>
      </c>
      <c r="D349" s="16"/>
      <c r="E349" s="3"/>
      <c r="F349" s="57"/>
      <c r="G349" s="15" t="str">
        <f t="shared" si="80"/>
        <v/>
      </c>
      <c r="H349" s="65" t="str">
        <f t="shared" si="81"/>
        <v/>
      </c>
      <c r="I349" s="65" t="str">
        <f t="shared" si="82"/>
        <v/>
      </c>
      <c r="O349" s="32" t="str">
        <f t="shared" si="70"/>
        <v/>
      </c>
      <c r="P349" s="21"/>
      <c r="Q349" s="21"/>
      <c r="R349" s="21"/>
      <c r="S349" s="36">
        <f t="shared" si="83"/>
        <v>0</v>
      </c>
      <c r="T349" s="34">
        <f t="shared" si="77"/>
        <v>0</v>
      </c>
      <c r="U349" s="32">
        <f t="shared" si="78"/>
        <v>0</v>
      </c>
      <c r="V349" s="43"/>
      <c r="W349" s="32">
        <f t="shared" si="71"/>
        <v>0</v>
      </c>
      <c r="X349" s="34">
        <f t="shared" si="72"/>
        <v>0</v>
      </c>
      <c r="Y349" s="30">
        <f t="shared" si="73"/>
        <v>0</v>
      </c>
      <c r="Z349" s="34">
        <f t="shared" si="74"/>
        <v>0</v>
      </c>
      <c r="AA349" s="41">
        <f t="shared" si="75"/>
        <v>0</v>
      </c>
      <c r="AB349" s="31">
        <f t="shared" si="76"/>
        <v>0</v>
      </c>
    </row>
    <row r="350" spans="3:28" x14ac:dyDescent="0.7">
      <c r="C350" s="63" t="str">
        <f t="shared" si="79"/>
        <v/>
      </c>
      <c r="D350" s="16"/>
      <c r="E350" s="3"/>
      <c r="F350" s="57"/>
      <c r="G350" s="15" t="str">
        <f t="shared" si="80"/>
        <v/>
      </c>
      <c r="H350" s="65" t="str">
        <f t="shared" si="81"/>
        <v/>
      </c>
      <c r="I350" s="65" t="str">
        <f t="shared" si="82"/>
        <v/>
      </c>
      <c r="O350" s="32" t="str">
        <f t="shared" si="70"/>
        <v/>
      </c>
      <c r="P350" s="21"/>
      <c r="Q350" s="21"/>
      <c r="R350" s="21"/>
      <c r="S350" s="36">
        <f t="shared" si="83"/>
        <v>0</v>
      </c>
      <c r="T350" s="34">
        <f t="shared" si="77"/>
        <v>0</v>
      </c>
      <c r="U350" s="32">
        <f t="shared" si="78"/>
        <v>0</v>
      </c>
      <c r="V350" s="43"/>
      <c r="W350" s="32">
        <f t="shared" si="71"/>
        <v>0</v>
      </c>
      <c r="X350" s="34">
        <f t="shared" si="72"/>
        <v>0</v>
      </c>
      <c r="Y350" s="30">
        <f t="shared" si="73"/>
        <v>0</v>
      </c>
      <c r="Z350" s="34">
        <f t="shared" si="74"/>
        <v>0</v>
      </c>
      <c r="AA350" s="41">
        <f t="shared" si="75"/>
        <v>0</v>
      </c>
      <c r="AB350" s="31">
        <f t="shared" si="76"/>
        <v>0</v>
      </c>
    </row>
    <row r="351" spans="3:28" x14ac:dyDescent="0.7">
      <c r="C351" s="63" t="str">
        <f t="shared" si="79"/>
        <v/>
      </c>
      <c r="D351" s="16"/>
      <c r="E351" s="3"/>
      <c r="F351" s="57"/>
      <c r="G351" s="15" t="str">
        <f t="shared" si="80"/>
        <v/>
      </c>
      <c r="H351" s="65" t="str">
        <f t="shared" si="81"/>
        <v/>
      </c>
      <c r="I351" s="65" t="str">
        <f t="shared" si="82"/>
        <v/>
      </c>
      <c r="O351" s="32" t="str">
        <f t="shared" si="70"/>
        <v/>
      </c>
      <c r="P351" s="21"/>
      <c r="Q351" s="21"/>
      <c r="R351" s="21"/>
      <c r="S351" s="36">
        <f t="shared" si="83"/>
        <v>0</v>
      </c>
      <c r="T351" s="34">
        <f t="shared" si="77"/>
        <v>0</v>
      </c>
      <c r="U351" s="32">
        <f t="shared" si="78"/>
        <v>0</v>
      </c>
      <c r="V351" s="43"/>
      <c r="W351" s="32">
        <f t="shared" si="71"/>
        <v>0</v>
      </c>
      <c r="X351" s="34">
        <f t="shared" si="72"/>
        <v>0</v>
      </c>
      <c r="Y351" s="30">
        <f t="shared" si="73"/>
        <v>0</v>
      </c>
      <c r="Z351" s="34">
        <f t="shared" si="74"/>
        <v>0</v>
      </c>
      <c r="AA351" s="41">
        <f t="shared" si="75"/>
        <v>0</v>
      </c>
      <c r="AB351" s="31">
        <f t="shared" si="76"/>
        <v>0</v>
      </c>
    </row>
    <row r="352" spans="3:28" x14ac:dyDescent="0.7">
      <c r="C352" s="63" t="str">
        <f t="shared" si="79"/>
        <v/>
      </c>
      <c r="D352" s="16"/>
      <c r="E352" s="3"/>
      <c r="F352" s="57"/>
      <c r="G352" s="15" t="str">
        <f t="shared" si="80"/>
        <v/>
      </c>
      <c r="H352" s="65" t="str">
        <f t="shared" si="81"/>
        <v/>
      </c>
      <c r="I352" s="65" t="str">
        <f t="shared" si="82"/>
        <v/>
      </c>
      <c r="O352" s="32" t="str">
        <f t="shared" si="70"/>
        <v/>
      </c>
      <c r="P352" s="21"/>
      <c r="Q352" s="21"/>
      <c r="R352" s="21"/>
      <c r="S352" s="36">
        <f t="shared" si="83"/>
        <v>0</v>
      </c>
      <c r="T352" s="34">
        <f t="shared" si="77"/>
        <v>0</v>
      </c>
      <c r="U352" s="32">
        <f t="shared" si="78"/>
        <v>0</v>
      </c>
      <c r="V352" s="43"/>
      <c r="W352" s="32">
        <f t="shared" si="71"/>
        <v>0</v>
      </c>
      <c r="X352" s="34">
        <f t="shared" si="72"/>
        <v>0</v>
      </c>
      <c r="Y352" s="30">
        <f t="shared" si="73"/>
        <v>0</v>
      </c>
      <c r="Z352" s="34">
        <f t="shared" si="74"/>
        <v>0</v>
      </c>
      <c r="AA352" s="41">
        <f t="shared" si="75"/>
        <v>0</v>
      </c>
      <c r="AB352" s="31">
        <f t="shared" si="76"/>
        <v>0</v>
      </c>
    </row>
    <row r="353" spans="3:28" x14ac:dyDescent="0.7">
      <c r="C353" s="63" t="str">
        <f t="shared" si="79"/>
        <v/>
      </c>
      <c r="D353" s="16"/>
      <c r="E353" s="3"/>
      <c r="F353" s="57"/>
      <c r="G353" s="15" t="str">
        <f t="shared" si="80"/>
        <v/>
      </c>
      <c r="H353" s="65" t="str">
        <f t="shared" si="81"/>
        <v/>
      </c>
      <c r="I353" s="65" t="str">
        <f t="shared" si="82"/>
        <v/>
      </c>
      <c r="O353" s="32" t="str">
        <f t="shared" si="70"/>
        <v/>
      </c>
      <c r="P353" s="21"/>
      <c r="Q353" s="21"/>
      <c r="R353" s="21"/>
      <c r="S353" s="36">
        <f t="shared" si="83"/>
        <v>0</v>
      </c>
      <c r="T353" s="34">
        <f t="shared" si="77"/>
        <v>0</v>
      </c>
      <c r="U353" s="32">
        <f t="shared" si="78"/>
        <v>0</v>
      </c>
      <c r="V353" s="43"/>
      <c r="W353" s="32">
        <f t="shared" si="71"/>
        <v>0</v>
      </c>
      <c r="X353" s="34">
        <f t="shared" si="72"/>
        <v>0</v>
      </c>
      <c r="Y353" s="30">
        <f t="shared" si="73"/>
        <v>0</v>
      </c>
      <c r="Z353" s="34">
        <f t="shared" si="74"/>
        <v>0</v>
      </c>
      <c r="AA353" s="41">
        <f t="shared" si="75"/>
        <v>0</v>
      </c>
      <c r="AB353" s="31">
        <f t="shared" si="76"/>
        <v>0</v>
      </c>
    </row>
    <row r="354" spans="3:28" x14ac:dyDescent="0.7">
      <c r="C354" s="63" t="str">
        <f t="shared" si="79"/>
        <v/>
      </c>
      <c r="D354" s="16"/>
      <c r="E354" s="3"/>
      <c r="F354" s="57"/>
      <c r="G354" s="15" t="str">
        <f t="shared" si="80"/>
        <v/>
      </c>
      <c r="H354" s="65" t="str">
        <f t="shared" si="81"/>
        <v/>
      </c>
      <c r="I354" s="65" t="str">
        <f t="shared" si="82"/>
        <v/>
      </c>
      <c r="O354" s="32" t="str">
        <f t="shared" si="70"/>
        <v/>
      </c>
      <c r="P354" s="21"/>
      <c r="Q354" s="21"/>
      <c r="R354" s="21"/>
      <c r="S354" s="36">
        <f t="shared" si="83"/>
        <v>0</v>
      </c>
      <c r="T354" s="34">
        <f t="shared" si="77"/>
        <v>0</v>
      </c>
      <c r="U354" s="32">
        <f t="shared" si="78"/>
        <v>0</v>
      </c>
      <c r="V354" s="43"/>
      <c r="W354" s="32">
        <f t="shared" si="71"/>
        <v>0</v>
      </c>
      <c r="X354" s="34">
        <f t="shared" si="72"/>
        <v>0</v>
      </c>
      <c r="Y354" s="30">
        <f t="shared" si="73"/>
        <v>0</v>
      </c>
      <c r="Z354" s="34">
        <f t="shared" si="74"/>
        <v>0</v>
      </c>
      <c r="AA354" s="41">
        <f t="shared" si="75"/>
        <v>0</v>
      </c>
      <c r="AB354" s="31">
        <f t="shared" si="76"/>
        <v>0</v>
      </c>
    </row>
    <row r="355" spans="3:28" x14ac:dyDescent="0.7">
      <c r="C355" s="63" t="str">
        <f t="shared" si="79"/>
        <v/>
      </c>
      <c r="D355" s="16"/>
      <c r="E355" s="3"/>
      <c r="F355" s="57"/>
      <c r="G355" s="15" t="str">
        <f t="shared" si="80"/>
        <v/>
      </c>
      <c r="H355" s="65" t="str">
        <f t="shared" si="81"/>
        <v/>
      </c>
      <c r="I355" s="65" t="str">
        <f t="shared" si="82"/>
        <v/>
      </c>
      <c r="O355" s="32" t="str">
        <f t="shared" si="70"/>
        <v/>
      </c>
      <c r="P355" s="21"/>
      <c r="Q355" s="21"/>
      <c r="R355" s="21"/>
      <c r="S355" s="36">
        <f t="shared" si="83"/>
        <v>0</v>
      </c>
      <c r="T355" s="34">
        <f t="shared" si="77"/>
        <v>0</v>
      </c>
      <c r="U355" s="32">
        <f t="shared" si="78"/>
        <v>0</v>
      </c>
      <c r="V355" s="43"/>
      <c r="W355" s="32">
        <f t="shared" si="71"/>
        <v>0</v>
      </c>
      <c r="X355" s="34">
        <f t="shared" si="72"/>
        <v>0</v>
      </c>
      <c r="Y355" s="30">
        <f t="shared" si="73"/>
        <v>0</v>
      </c>
      <c r="Z355" s="34">
        <f t="shared" si="74"/>
        <v>0</v>
      </c>
      <c r="AA355" s="41">
        <f t="shared" si="75"/>
        <v>0</v>
      </c>
      <c r="AB355" s="31">
        <f t="shared" si="76"/>
        <v>0</v>
      </c>
    </row>
    <row r="356" spans="3:28" x14ac:dyDescent="0.7">
      <c r="C356" s="63" t="str">
        <f t="shared" si="79"/>
        <v/>
      </c>
      <c r="D356" s="16"/>
      <c r="E356" s="3"/>
      <c r="F356" s="57"/>
      <c r="G356" s="15" t="str">
        <f t="shared" si="80"/>
        <v/>
      </c>
      <c r="H356" s="65" t="str">
        <f t="shared" si="81"/>
        <v/>
      </c>
      <c r="I356" s="65" t="str">
        <f t="shared" si="82"/>
        <v/>
      </c>
      <c r="O356" s="32" t="str">
        <f t="shared" si="70"/>
        <v/>
      </c>
      <c r="P356" s="21"/>
      <c r="Q356" s="21"/>
      <c r="R356" s="21"/>
      <c r="S356" s="36">
        <f t="shared" si="83"/>
        <v>0</v>
      </c>
      <c r="T356" s="34">
        <f t="shared" si="77"/>
        <v>0</v>
      </c>
      <c r="U356" s="32">
        <f t="shared" si="78"/>
        <v>0</v>
      </c>
      <c r="V356" s="43"/>
      <c r="W356" s="32">
        <f t="shared" si="71"/>
        <v>0</v>
      </c>
      <c r="X356" s="34">
        <f t="shared" si="72"/>
        <v>0</v>
      </c>
      <c r="Y356" s="30">
        <f t="shared" si="73"/>
        <v>0</v>
      </c>
      <c r="Z356" s="34">
        <f t="shared" si="74"/>
        <v>0</v>
      </c>
      <c r="AA356" s="41">
        <f t="shared" si="75"/>
        <v>0</v>
      </c>
      <c r="AB356" s="31">
        <f t="shared" si="76"/>
        <v>0</v>
      </c>
    </row>
    <row r="357" spans="3:28" x14ac:dyDescent="0.7">
      <c r="C357" s="63" t="str">
        <f t="shared" si="79"/>
        <v/>
      </c>
      <c r="D357" s="16"/>
      <c r="E357" s="3"/>
      <c r="F357" s="57"/>
      <c r="G357" s="15" t="str">
        <f t="shared" si="80"/>
        <v/>
      </c>
      <c r="H357" s="65" t="str">
        <f t="shared" si="81"/>
        <v/>
      </c>
      <c r="I357" s="65" t="str">
        <f t="shared" si="82"/>
        <v/>
      </c>
      <c r="O357" s="32" t="str">
        <f t="shared" si="70"/>
        <v/>
      </c>
      <c r="P357" s="21"/>
      <c r="Q357" s="21"/>
      <c r="R357" s="21"/>
      <c r="S357" s="36">
        <f t="shared" si="83"/>
        <v>0</v>
      </c>
      <c r="T357" s="34">
        <f t="shared" si="77"/>
        <v>0</v>
      </c>
      <c r="U357" s="32">
        <f t="shared" si="78"/>
        <v>0</v>
      </c>
      <c r="V357" s="43"/>
      <c r="W357" s="32">
        <f t="shared" si="71"/>
        <v>0</v>
      </c>
      <c r="X357" s="34">
        <f t="shared" si="72"/>
        <v>0</v>
      </c>
      <c r="Y357" s="30">
        <f t="shared" si="73"/>
        <v>0</v>
      </c>
      <c r="Z357" s="34">
        <f t="shared" si="74"/>
        <v>0</v>
      </c>
      <c r="AA357" s="41">
        <f t="shared" si="75"/>
        <v>0</v>
      </c>
      <c r="AB357" s="31">
        <f t="shared" si="76"/>
        <v>0</v>
      </c>
    </row>
    <row r="358" spans="3:28" x14ac:dyDescent="0.7">
      <c r="C358" s="63" t="str">
        <f t="shared" si="79"/>
        <v/>
      </c>
      <c r="D358" s="16"/>
      <c r="E358" s="3"/>
      <c r="F358" s="57"/>
      <c r="G358" s="15" t="str">
        <f t="shared" si="80"/>
        <v/>
      </c>
      <c r="H358" s="65" t="str">
        <f t="shared" si="81"/>
        <v/>
      </c>
      <c r="I358" s="65" t="str">
        <f t="shared" si="82"/>
        <v/>
      </c>
      <c r="O358" s="32" t="str">
        <f t="shared" si="70"/>
        <v/>
      </c>
      <c r="P358" s="21"/>
      <c r="Q358" s="21"/>
      <c r="R358" s="21"/>
      <c r="S358" s="36">
        <f t="shared" si="83"/>
        <v>0</v>
      </c>
      <c r="T358" s="34">
        <f t="shared" si="77"/>
        <v>0</v>
      </c>
      <c r="U358" s="32">
        <f t="shared" si="78"/>
        <v>0</v>
      </c>
      <c r="V358" s="43"/>
      <c r="W358" s="32">
        <f t="shared" si="71"/>
        <v>0</v>
      </c>
      <c r="X358" s="34">
        <f t="shared" si="72"/>
        <v>0</v>
      </c>
      <c r="Y358" s="30">
        <f t="shared" si="73"/>
        <v>0</v>
      </c>
      <c r="Z358" s="34">
        <f t="shared" si="74"/>
        <v>0</v>
      </c>
      <c r="AA358" s="41">
        <f t="shared" si="75"/>
        <v>0</v>
      </c>
      <c r="AB358" s="31">
        <f t="shared" si="76"/>
        <v>0</v>
      </c>
    </row>
    <row r="359" spans="3:28" x14ac:dyDescent="0.7">
      <c r="C359" s="63" t="str">
        <f t="shared" si="79"/>
        <v/>
      </c>
      <c r="D359" s="16"/>
      <c r="E359" s="3"/>
      <c r="F359" s="57"/>
      <c r="G359" s="15" t="str">
        <f t="shared" si="80"/>
        <v/>
      </c>
      <c r="H359" s="65" t="str">
        <f t="shared" si="81"/>
        <v/>
      </c>
      <c r="I359" s="65" t="str">
        <f t="shared" si="82"/>
        <v/>
      </c>
      <c r="O359" s="32" t="str">
        <f t="shared" si="70"/>
        <v/>
      </c>
      <c r="P359" s="21"/>
      <c r="Q359" s="21"/>
      <c r="R359" s="21"/>
      <c r="S359" s="36">
        <f t="shared" si="83"/>
        <v>0</v>
      </c>
      <c r="T359" s="34">
        <f t="shared" si="77"/>
        <v>0</v>
      </c>
      <c r="U359" s="32">
        <f t="shared" si="78"/>
        <v>0</v>
      </c>
      <c r="V359" s="43"/>
      <c r="W359" s="32">
        <f t="shared" si="71"/>
        <v>0</v>
      </c>
      <c r="X359" s="34">
        <f t="shared" si="72"/>
        <v>0</v>
      </c>
      <c r="Y359" s="30">
        <f t="shared" si="73"/>
        <v>0</v>
      </c>
      <c r="Z359" s="34">
        <f t="shared" si="74"/>
        <v>0</v>
      </c>
      <c r="AA359" s="41">
        <f t="shared" si="75"/>
        <v>0</v>
      </c>
      <c r="AB359" s="31">
        <f t="shared" si="76"/>
        <v>0</v>
      </c>
    </row>
    <row r="360" spans="3:28" x14ac:dyDescent="0.7">
      <c r="C360" s="63" t="str">
        <f t="shared" si="79"/>
        <v/>
      </c>
      <c r="D360" s="16"/>
      <c r="E360" s="3"/>
      <c r="F360" s="57"/>
      <c r="G360" s="15" t="str">
        <f t="shared" si="80"/>
        <v/>
      </c>
      <c r="H360" s="65" t="str">
        <f t="shared" si="81"/>
        <v/>
      </c>
      <c r="I360" s="65" t="str">
        <f t="shared" si="82"/>
        <v/>
      </c>
      <c r="O360" s="32" t="str">
        <f t="shared" si="70"/>
        <v/>
      </c>
      <c r="P360" s="21"/>
      <c r="Q360" s="21"/>
      <c r="R360" s="21"/>
      <c r="S360" s="36">
        <f t="shared" si="83"/>
        <v>0</v>
      </c>
      <c r="T360" s="34">
        <f t="shared" si="77"/>
        <v>0</v>
      </c>
      <c r="U360" s="32">
        <f t="shared" si="78"/>
        <v>0</v>
      </c>
      <c r="V360" s="43"/>
      <c r="W360" s="32">
        <f t="shared" si="71"/>
        <v>0</v>
      </c>
      <c r="X360" s="34">
        <f t="shared" si="72"/>
        <v>0</v>
      </c>
      <c r="Y360" s="30">
        <f t="shared" si="73"/>
        <v>0</v>
      </c>
      <c r="Z360" s="34">
        <f t="shared" si="74"/>
        <v>0</v>
      </c>
      <c r="AA360" s="41">
        <f t="shared" si="75"/>
        <v>0</v>
      </c>
      <c r="AB360" s="31">
        <f t="shared" si="76"/>
        <v>0</v>
      </c>
    </row>
    <row r="361" spans="3:28" x14ac:dyDescent="0.7">
      <c r="C361" s="63" t="str">
        <f t="shared" si="79"/>
        <v/>
      </c>
      <c r="D361" s="16"/>
      <c r="E361" s="3"/>
      <c r="F361" s="57"/>
      <c r="G361" s="15" t="str">
        <f t="shared" si="80"/>
        <v/>
      </c>
      <c r="H361" s="65" t="str">
        <f t="shared" si="81"/>
        <v/>
      </c>
      <c r="I361" s="65" t="str">
        <f t="shared" si="82"/>
        <v/>
      </c>
      <c r="O361" s="32" t="str">
        <f t="shared" si="70"/>
        <v/>
      </c>
      <c r="P361" s="21"/>
      <c r="Q361" s="21"/>
      <c r="R361" s="21"/>
      <c r="S361" s="36">
        <f t="shared" si="83"/>
        <v>0</v>
      </c>
      <c r="T361" s="34">
        <f t="shared" si="77"/>
        <v>0</v>
      </c>
      <c r="U361" s="32">
        <f t="shared" si="78"/>
        <v>0</v>
      </c>
      <c r="V361" s="43"/>
      <c r="W361" s="32">
        <f t="shared" si="71"/>
        <v>0</v>
      </c>
      <c r="X361" s="34">
        <f t="shared" si="72"/>
        <v>0</v>
      </c>
      <c r="Y361" s="30">
        <f t="shared" si="73"/>
        <v>0</v>
      </c>
      <c r="Z361" s="34">
        <f t="shared" si="74"/>
        <v>0</v>
      </c>
      <c r="AA361" s="41">
        <f t="shared" si="75"/>
        <v>0</v>
      </c>
      <c r="AB361" s="31">
        <f t="shared" si="76"/>
        <v>0</v>
      </c>
    </row>
    <row r="362" spans="3:28" x14ac:dyDescent="0.7">
      <c r="C362" s="63" t="str">
        <f t="shared" si="79"/>
        <v/>
      </c>
      <c r="D362" s="16"/>
      <c r="E362" s="3"/>
      <c r="F362" s="57"/>
      <c r="G362" s="15" t="str">
        <f t="shared" si="80"/>
        <v/>
      </c>
      <c r="H362" s="65" t="str">
        <f t="shared" si="81"/>
        <v/>
      </c>
      <c r="I362" s="65" t="str">
        <f t="shared" si="82"/>
        <v/>
      </c>
      <c r="O362" s="32" t="str">
        <f t="shared" si="70"/>
        <v/>
      </c>
      <c r="P362" s="21"/>
      <c r="Q362" s="21"/>
      <c r="R362" s="21"/>
      <c r="S362" s="36">
        <f t="shared" si="83"/>
        <v>0</v>
      </c>
      <c r="T362" s="34">
        <f t="shared" si="77"/>
        <v>0</v>
      </c>
      <c r="U362" s="32">
        <f t="shared" si="78"/>
        <v>0</v>
      </c>
      <c r="V362" s="43"/>
      <c r="W362" s="32">
        <f t="shared" si="71"/>
        <v>0</v>
      </c>
      <c r="X362" s="34">
        <f t="shared" si="72"/>
        <v>0</v>
      </c>
      <c r="Y362" s="30">
        <f t="shared" si="73"/>
        <v>0</v>
      </c>
      <c r="Z362" s="34">
        <f t="shared" si="74"/>
        <v>0</v>
      </c>
      <c r="AA362" s="41">
        <f t="shared" si="75"/>
        <v>0</v>
      </c>
      <c r="AB362" s="31">
        <f t="shared" si="76"/>
        <v>0</v>
      </c>
    </row>
    <row r="363" spans="3:28" x14ac:dyDescent="0.7">
      <c r="C363" s="63" t="str">
        <f t="shared" si="79"/>
        <v/>
      </c>
      <c r="D363" s="16"/>
      <c r="E363" s="3"/>
      <c r="F363" s="57"/>
      <c r="G363" s="15" t="str">
        <f t="shared" si="80"/>
        <v/>
      </c>
      <c r="H363" s="65" t="str">
        <f t="shared" si="81"/>
        <v/>
      </c>
      <c r="I363" s="65" t="str">
        <f t="shared" si="82"/>
        <v/>
      </c>
      <c r="O363" s="32" t="str">
        <f t="shared" si="70"/>
        <v/>
      </c>
      <c r="P363" s="21"/>
      <c r="Q363" s="21"/>
      <c r="R363" s="21"/>
      <c r="S363" s="36">
        <f t="shared" si="83"/>
        <v>0</v>
      </c>
      <c r="T363" s="34">
        <f t="shared" si="77"/>
        <v>0</v>
      </c>
      <c r="U363" s="32">
        <f t="shared" si="78"/>
        <v>0</v>
      </c>
      <c r="V363" s="43"/>
      <c r="W363" s="32">
        <f t="shared" si="71"/>
        <v>0</v>
      </c>
      <c r="X363" s="34">
        <f t="shared" si="72"/>
        <v>0</v>
      </c>
      <c r="Y363" s="30">
        <f t="shared" si="73"/>
        <v>0</v>
      </c>
      <c r="Z363" s="34">
        <f t="shared" si="74"/>
        <v>0</v>
      </c>
      <c r="AA363" s="41">
        <f t="shared" si="75"/>
        <v>0</v>
      </c>
      <c r="AB363" s="31">
        <f t="shared" si="76"/>
        <v>0</v>
      </c>
    </row>
    <row r="364" spans="3:28" x14ac:dyDescent="0.7">
      <c r="C364" s="63" t="str">
        <f t="shared" si="79"/>
        <v/>
      </c>
      <c r="D364" s="16"/>
      <c r="E364" s="3"/>
      <c r="F364" s="57"/>
      <c r="G364" s="15" t="str">
        <f t="shared" si="80"/>
        <v/>
      </c>
      <c r="H364" s="65" t="str">
        <f t="shared" si="81"/>
        <v/>
      </c>
      <c r="I364" s="65" t="str">
        <f t="shared" si="82"/>
        <v/>
      </c>
      <c r="O364" s="32" t="str">
        <f t="shared" si="70"/>
        <v/>
      </c>
      <c r="P364" s="21"/>
      <c r="Q364" s="21"/>
      <c r="R364" s="21"/>
      <c r="S364" s="36">
        <f t="shared" si="83"/>
        <v>0</v>
      </c>
      <c r="T364" s="34">
        <f t="shared" si="77"/>
        <v>0</v>
      </c>
      <c r="U364" s="32">
        <f t="shared" si="78"/>
        <v>0</v>
      </c>
      <c r="V364" s="43"/>
      <c r="W364" s="32">
        <f t="shared" si="71"/>
        <v>0</v>
      </c>
      <c r="X364" s="34">
        <f t="shared" si="72"/>
        <v>0</v>
      </c>
      <c r="Y364" s="30">
        <f t="shared" si="73"/>
        <v>0</v>
      </c>
      <c r="Z364" s="34">
        <f t="shared" si="74"/>
        <v>0</v>
      </c>
      <c r="AA364" s="41">
        <f t="shared" si="75"/>
        <v>0</v>
      </c>
      <c r="AB364" s="31">
        <f t="shared" si="76"/>
        <v>0</v>
      </c>
    </row>
    <row r="365" spans="3:28" x14ac:dyDescent="0.7">
      <c r="C365" s="63" t="str">
        <f t="shared" si="79"/>
        <v/>
      </c>
      <c r="D365" s="16"/>
      <c r="E365" s="3"/>
      <c r="F365" s="57"/>
      <c r="G365" s="15" t="str">
        <f t="shared" si="80"/>
        <v/>
      </c>
      <c r="H365" s="65" t="str">
        <f t="shared" si="81"/>
        <v/>
      </c>
      <c r="I365" s="65" t="str">
        <f t="shared" si="82"/>
        <v/>
      </c>
      <c r="O365" s="32" t="str">
        <f t="shared" si="70"/>
        <v/>
      </c>
      <c r="P365" s="21"/>
      <c r="Q365" s="21"/>
      <c r="R365" s="21"/>
      <c r="S365" s="36">
        <f t="shared" si="83"/>
        <v>0</v>
      </c>
      <c r="T365" s="34">
        <f t="shared" si="77"/>
        <v>0</v>
      </c>
      <c r="U365" s="32">
        <f t="shared" si="78"/>
        <v>0</v>
      </c>
      <c r="V365" s="43"/>
      <c r="W365" s="32">
        <f t="shared" si="71"/>
        <v>0</v>
      </c>
      <c r="X365" s="34">
        <f t="shared" si="72"/>
        <v>0</v>
      </c>
      <c r="Y365" s="30">
        <f t="shared" si="73"/>
        <v>0</v>
      </c>
      <c r="Z365" s="34">
        <f t="shared" si="74"/>
        <v>0</v>
      </c>
      <c r="AA365" s="41">
        <f t="shared" si="75"/>
        <v>0</v>
      </c>
      <c r="AB365" s="31">
        <f t="shared" si="76"/>
        <v>0</v>
      </c>
    </row>
    <row r="366" spans="3:28" x14ac:dyDescent="0.7">
      <c r="C366" s="63" t="str">
        <f t="shared" si="79"/>
        <v/>
      </c>
      <c r="D366" s="16"/>
      <c r="E366" s="3"/>
      <c r="F366" s="57"/>
      <c r="G366" s="15" t="str">
        <f t="shared" si="80"/>
        <v/>
      </c>
      <c r="H366" s="65" t="str">
        <f t="shared" si="81"/>
        <v/>
      </c>
      <c r="I366" s="65" t="str">
        <f t="shared" si="82"/>
        <v/>
      </c>
      <c r="O366" s="32" t="str">
        <f t="shared" si="70"/>
        <v/>
      </c>
      <c r="P366" s="21"/>
      <c r="Q366" s="21"/>
      <c r="R366" s="21"/>
      <c r="S366" s="36">
        <f t="shared" si="83"/>
        <v>0</v>
      </c>
      <c r="T366" s="34">
        <f t="shared" si="77"/>
        <v>0</v>
      </c>
      <c r="U366" s="32">
        <f t="shared" si="78"/>
        <v>0</v>
      </c>
      <c r="V366" s="43"/>
      <c r="W366" s="32">
        <f t="shared" si="71"/>
        <v>0</v>
      </c>
      <c r="X366" s="34">
        <f t="shared" si="72"/>
        <v>0</v>
      </c>
      <c r="Y366" s="30">
        <f t="shared" si="73"/>
        <v>0</v>
      </c>
      <c r="Z366" s="34">
        <f t="shared" si="74"/>
        <v>0</v>
      </c>
      <c r="AA366" s="41">
        <f t="shared" si="75"/>
        <v>0</v>
      </c>
      <c r="AB366" s="31">
        <f t="shared" si="76"/>
        <v>0</v>
      </c>
    </row>
    <row r="367" spans="3:28" x14ac:dyDescent="0.7">
      <c r="C367" s="63" t="str">
        <f t="shared" si="79"/>
        <v/>
      </c>
      <c r="D367" s="16"/>
      <c r="E367" s="3"/>
      <c r="F367" s="57"/>
      <c r="G367" s="15" t="str">
        <f t="shared" si="80"/>
        <v/>
      </c>
      <c r="H367" s="65" t="str">
        <f t="shared" si="81"/>
        <v/>
      </c>
      <c r="I367" s="65" t="str">
        <f t="shared" si="82"/>
        <v/>
      </c>
      <c r="O367" s="32" t="str">
        <f t="shared" si="70"/>
        <v/>
      </c>
      <c r="P367" s="21"/>
      <c r="Q367" s="21"/>
      <c r="R367" s="21"/>
      <c r="S367" s="36">
        <f t="shared" si="83"/>
        <v>0</v>
      </c>
      <c r="T367" s="34">
        <f t="shared" si="77"/>
        <v>0</v>
      </c>
      <c r="U367" s="32">
        <f t="shared" si="78"/>
        <v>0</v>
      </c>
      <c r="V367" s="43"/>
      <c r="W367" s="32">
        <f t="shared" si="71"/>
        <v>0</v>
      </c>
      <c r="X367" s="34">
        <f t="shared" si="72"/>
        <v>0</v>
      </c>
      <c r="Y367" s="30">
        <f t="shared" si="73"/>
        <v>0</v>
      </c>
      <c r="Z367" s="34">
        <f t="shared" si="74"/>
        <v>0</v>
      </c>
      <c r="AA367" s="41">
        <f t="shared" si="75"/>
        <v>0</v>
      </c>
      <c r="AB367" s="31">
        <f t="shared" si="76"/>
        <v>0</v>
      </c>
    </row>
    <row r="368" spans="3:28" x14ac:dyDescent="0.7">
      <c r="C368" s="63" t="str">
        <f t="shared" si="79"/>
        <v/>
      </c>
      <c r="D368" s="16"/>
      <c r="E368" s="3"/>
      <c r="F368" s="57"/>
      <c r="G368" s="15" t="str">
        <f t="shared" si="80"/>
        <v/>
      </c>
      <c r="H368" s="65" t="str">
        <f t="shared" si="81"/>
        <v/>
      </c>
      <c r="I368" s="65" t="str">
        <f t="shared" si="82"/>
        <v/>
      </c>
      <c r="O368" s="32" t="str">
        <f t="shared" si="70"/>
        <v/>
      </c>
      <c r="P368" s="21"/>
      <c r="Q368" s="21"/>
      <c r="R368" s="21"/>
      <c r="S368" s="36">
        <f t="shared" si="83"/>
        <v>0</v>
      </c>
      <c r="T368" s="34">
        <f t="shared" si="77"/>
        <v>0</v>
      </c>
      <c r="U368" s="32">
        <f t="shared" si="78"/>
        <v>0</v>
      </c>
      <c r="V368" s="43"/>
      <c r="W368" s="32">
        <f t="shared" si="71"/>
        <v>0</v>
      </c>
      <c r="X368" s="34">
        <f t="shared" si="72"/>
        <v>0</v>
      </c>
      <c r="Y368" s="30">
        <f t="shared" si="73"/>
        <v>0</v>
      </c>
      <c r="Z368" s="34">
        <f t="shared" si="74"/>
        <v>0</v>
      </c>
      <c r="AA368" s="41">
        <f t="shared" si="75"/>
        <v>0</v>
      </c>
      <c r="AB368" s="31">
        <f t="shared" si="76"/>
        <v>0</v>
      </c>
    </row>
    <row r="369" spans="3:28" x14ac:dyDescent="0.7">
      <c r="C369" s="63" t="str">
        <f t="shared" si="79"/>
        <v/>
      </c>
      <c r="D369" s="16"/>
      <c r="E369" s="3"/>
      <c r="F369" s="57"/>
      <c r="G369" s="15" t="str">
        <f t="shared" si="80"/>
        <v/>
      </c>
      <c r="H369" s="65" t="str">
        <f t="shared" si="81"/>
        <v/>
      </c>
      <c r="I369" s="65" t="str">
        <f t="shared" si="82"/>
        <v/>
      </c>
      <c r="O369" s="32" t="str">
        <f t="shared" si="70"/>
        <v/>
      </c>
      <c r="P369" s="21"/>
      <c r="Q369" s="21"/>
      <c r="R369" s="21"/>
      <c r="S369" s="36">
        <f t="shared" si="83"/>
        <v>0</v>
      </c>
      <c r="T369" s="34">
        <f t="shared" si="77"/>
        <v>0</v>
      </c>
      <c r="U369" s="32">
        <f t="shared" si="78"/>
        <v>0</v>
      </c>
      <c r="V369" s="43"/>
      <c r="W369" s="32">
        <f t="shared" si="71"/>
        <v>0</v>
      </c>
      <c r="X369" s="34">
        <f t="shared" si="72"/>
        <v>0</v>
      </c>
      <c r="Y369" s="30">
        <f t="shared" si="73"/>
        <v>0</v>
      </c>
      <c r="Z369" s="34">
        <f t="shared" si="74"/>
        <v>0</v>
      </c>
      <c r="AA369" s="41">
        <f t="shared" si="75"/>
        <v>0</v>
      </c>
      <c r="AB369" s="31">
        <f t="shared" si="76"/>
        <v>0</v>
      </c>
    </row>
    <row r="370" spans="3:28" x14ac:dyDescent="0.7">
      <c r="C370" s="63" t="str">
        <f t="shared" si="79"/>
        <v/>
      </c>
      <c r="D370" s="16"/>
      <c r="E370" s="3"/>
      <c r="F370" s="57"/>
      <c r="G370" s="15" t="str">
        <f t="shared" si="80"/>
        <v/>
      </c>
      <c r="H370" s="65" t="str">
        <f t="shared" si="81"/>
        <v/>
      </c>
      <c r="I370" s="65" t="str">
        <f t="shared" si="82"/>
        <v/>
      </c>
      <c r="O370" s="32" t="str">
        <f t="shared" si="70"/>
        <v/>
      </c>
      <c r="P370" s="21"/>
      <c r="Q370" s="21"/>
      <c r="R370" s="21"/>
      <c r="S370" s="36">
        <f t="shared" si="83"/>
        <v>0</v>
      </c>
      <c r="T370" s="34">
        <f t="shared" si="77"/>
        <v>0</v>
      </c>
      <c r="U370" s="32">
        <f t="shared" si="78"/>
        <v>0</v>
      </c>
      <c r="V370" s="43"/>
      <c r="W370" s="32">
        <f t="shared" si="71"/>
        <v>0</v>
      </c>
      <c r="X370" s="34">
        <f t="shared" si="72"/>
        <v>0</v>
      </c>
      <c r="Y370" s="30">
        <f t="shared" si="73"/>
        <v>0</v>
      </c>
      <c r="Z370" s="34">
        <f t="shared" si="74"/>
        <v>0</v>
      </c>
      <c r="AA370" s="41">
        <f t="shared" si="75"/>
        <v>0</v>
      </c>
      <c r="AB370" s="31">
        <f t="shared" si="76"/>
        <v>0</v>
      </c>
    </row>
    <row r="371" spans="3:28" x14ac:dyDescent="0.7">
      <c r="C371" s="63" t="str">
        <f t="shared" si="79"/>
        <v/>
      </c>
      <c r="D371" s="16"/>
      <c r="E371" s="3"/>
      <c r="F371" s="57"/>
      <c r="G371" s="15" t="str">
        <f t="shared" si="80"/>
        <v/>
      </c>
      <c r="H371" s="65" t="str">
        <f t="shared" si="81"/>
        <v/>
      </c>
      <c r="I371" s="65" t="str">
        <f t="shared" si="82"/>
        <v/>
      </c>
      <c r="O371" s="32" t="str">
        <f t="shared" si="70"/>
        <v/>
      </c>
      <c r="P371" s="21"/>
      <c r="Q371" s="21"/>
      <c r="R371" s="21"/>
      <c r="S371" s="36">
        <f t="shared" si="83"/>
        <v>0</v>
      </c>
      <c r="T371" s="34">
        <f t="shared" si="77"/>
        <v>0</v>
      </c>
      <c r="U371" s="32">
        <f t="shared" si="78"/>
        <v>0</v>
      </c>
      <c r="V371" s="43"/>
      <c r="W371" s="32">
        <f t="shared" si="71"/>
        <v>0</v>
      </c>
      <c r="X371" s="34">
        <f t="shared" si="72"/>
        <v>0</v>
      </c>
      <c r="Y371" s="30">
        <f t="shared" si="73"/>
        <v>0</v>
      </c>
      <c r="Z371" s="34">
        <f t="shared" si="74"/>
        <v>0</v>
      </c>
      <c r="AA371" s="41">
        <f t="shared" si="75"/>
        <v>0</v>
      </c>
      <c r="AB371" s="31">
        <f t="shared" si="76"/>
        <v>0</v>
      </c>
    </row>
    <row r="372" spans="3:28" x14ac:dyDescent="0.7">
      <c r="C372" s="63" t="str">
        <f t="shared" si="79"/>
        <v/>
      </c>
      <c r="D372" s="16"/>
      <c r="E372" s="3"/>
      <c r="F372" s="57"/>
      <c r="G372" s="15" t="str">
        <f t="shared" si="80"/>
        <v/>
      </c>
      <c r="H372" s="65" t="str">
        <f t="shared" si="81"/>
        <v/>
      </c>
      <c r="I372" s="65" t="str">
        <f t="shared" si="82"/>
        <v/>
      </c>
      <c r="O372" s="32" t="str">
        <f t="shared" si="70"/>
        <v/>
      </c>
      <c r="P372" s="21"/>
      <c r="Q372" s="21"/>
      <c r="R372" s="21"/>
      <c r="S372" s="36">
        <f t="shared" si="83"/>
        <v>0</v>
      </c>
      <c r="T372" s="34">
        <f t="shared" si="77"/>
        <v>0</v>
      </c>
      <c r="U372" s="32">
        <f t="shared" si="78"/>
        <v>0</v>
      </c>
      <c r="V372" s="43"/>
      <c r="W372" s="32">
        <f t="shared" si="71"/>
        <v>0</v>
      </c>
      <c r="X372" s="34">
        <f t="shared" si="72"/>
        <v>0</v>
      </c>
      <c r="Y372" s="30">
        <f t="shared" si="73"/>
        <v>0</v>
      </c>
      <c r="Z372" s="34">
        <f t="shared" si="74"/>
        <v>0</v>
      </c>
      <c r="AA372" s="41">
        <f t="shared" si="75"/>
        <v>0</v>
      </c>
      <c r="AB372" s="31">
        <f t="shared" si="76"/>
        <v>0</v>
      </c>
    </row>
    <row r="373" spans="3:28" x14ac:dyDescent="0.7">
      <c r="C373" s="63" t="str">
        <f t="shared" si="79"/>
        <v/>
      </c>
      <c r="D373" s="16"/>
      <c r="E373" s="3"/>
      <c r="F373" s="57"/>
      <c r="G373" s="15" t="str">
        <f t="shared" si="80"/>
        <v/>
      </c>
      <c r="H373" s="65" t="str">
        <f t="shared" si="81"/>
        <v/>
      </c>
      <c r="I373" s="65" t="str">
        <f t="shared" si="82"/>
        <v/>
      </c>
      <c r="O373" s="32" t="str">
        <f t="shared" si="70"/>
        <v/>
      </c>
      <c r="P373" s="21"/>
      <c r="Q373" s="21"/>
      <c r="R373" s="21"/>
      <c r="S373" s="36">
        <f t="shared" si="83"/>
        <v>0</v>
      </c>
      <c r="T373" s="34">
        <f t="shared" si="77"/>
        <v>0</v>
      </c>
      <c r="U373" s="32">
        <f t="shared" si="78"/>
        <v>0</v>
      </c>
      <c r="V373" s="43"/>
      <c r="W373" s="32">
        <f t="shared" si="71"/>
        <v>0</v>
      </c>
      <c r="X373" s="34">
        <f t="shared" si="72"/>
        <v>0</v>
      </c>
      <c r="Y373" s="30">
        <f t="shared" si="73"/>
        <v>0</v>
      </c>
      <c r="Z373" s="34">
        <f t="shared" si="74"/>
        <v>0</v>
      </c>
      <c r="AA373" s="41">
        <f t="shared" si="75"/>
        <v>0</v>
      </c>
      <c r="AB373" s="31">
        <f t="shared" si="76"/>
        <v>0</v>
      </c>
    </row>
    <row r="374" spans="3:28" x14ac:dyDescent="0.7">
      <c r="C374" s="63" t="str">
        <f t="shared" si="79"/>
        <v/>
      </c>
      <c r="D374" s="16"/>
      <c r="E374" s="3"/>
      <c r="F374" s="57"/>
      <c r="G374" s="15" t="str">
        <f t="shared" si="80"/>
        <v/>
      </c>
      <c r="H374" s="65" t="str">
        <f t="shared" si="81"/>
        <v/>
      </c>
      <c r="I374" s="65" t="str">
        <f t="shared" si="82"/>
        <v/>
      </c>
      <c r="O374" s="32" t="str">
        <f t="shared" si="70"/>
        <v/>
      </c>
      <c r="P374" s="21"/>
      <c r="Q374" s="21"/>
      <c r="R374" s="21"/>
      <c r="S374" s="36">
        <f t="shared" si="83"/>
        <v>0</v>
      </c>
      <c r="T374" s="34">
        <f t="shared" si="77"/>
        <v>0</v>
      </c>
      <c r="U374" s="32">
        <f t="shared" si="78"/>
        <v>0</v>
      </c>
      <c r="V374" s="43"/>
      <c r="W374" s="32">
        <f t="shared" si="71"/>
        <v>0</v>
      </c>
      <c r="X374" s="34">
        <f t="shared" si="72"/>
        <v>0</v>
      </c>
      <c r="Y374" s="30">
        <f t="shared" si="73"/>
        <v>0</v>
      </c>
      <c r="Z374" s="34">
        <f t="shared" si="74"/>
        <v>0</v>
      </c>
      <c r="AA374" s="41">
        <f t="shared" si="75"/>
        <v>0</v>
      </c>
      <c r="AB374" s="31">
        <f t="shared" si="76"/>
        <v>0</v>
      </c>
    </row>
    <row r="375" spans="3:28" x14ac:dyDescent="0.7">
      <c r="C375" s="63" t="str">
        <f t="shared" si="79"/>
        <v/>
      </c>
      <c r="D375" s="16"/>
      <c r="E375" s="3"/>
      <c r="F375" s="57"/>
      <c r="G375" s="15" t="str">
        <f t="shared" si="80"/>
        <v/>
      </c>
      <c r="H375" s="65" t="str">
        <f t="shared" si="81"/>
        <v/>
      </c>
      <c r="I375" s="65" t="str">
        <f t="shared" si="82"/>
        <v/>
      </c>
      <c r="O375" s="32" t="str">
        <f t="shared" si="70"/>
        <v/>
      </c>
      <c r="P375" s="21"/>
      <c r="Q375" s="21"/>
      <c r="R375" s="21"/>
      <c r="S375" s="36">
        <f t="shared" si="83"/>
        <v>0</v>
      </c>
      <c r="T375" s="34">
        <f t="shared" si="77"/>
        <v>0</v>
      </c>
      <c r="U375" s="32">
        <f t="shared" si="78"/>
        <v>0</v>
      </c>
      <c r="V375" s="43"/>
      <c r="W375" s="32">
        <f t="shared" si="71"/>
        <v>0</v>
      </c>
      <c r="X375" s="34">
        <f t="shared" si="72"/>
        <v>0</v>
      </c>
      <c r="Y375" s="30">
        <f t="shared" si="73"/>
        <v>0</v>
      </c>
      <c r="Z375" s="34">
        <f t="shared" si="74"/>
        <v>0</v>
      </c>
      <c r="AA375" s="41">
        <f t="shared" si="75"/>
        <v>0</v>
      </c>
      <c r="AB375" s="31">
        <f t="shared" si="76"/>
        <v>0</v>
      </c>
    </row>
    <row r="376" spans="3:28" x14ac:dyDescent="0.7">
      <c r="C376" s="63" t="str">
        <f t="shared" si="79"/>
        <v/>
      </c>
      <c r="D376" s="16"/>
      <c r="E376" s="3"/>
      <c r="F376" s="57"/>
      <c r="G376" s="15" t="str">
        <f t="shared" si="80"/>
        <v/>
      </c>
      <c r="H376" s="65" t="str">
        <f t="shared" si="81"/>
        <v/>
      </c>
      <c r="I376" s="65" t="str">
        <f t="shared" si="82"/>
        <v/>
      </c>
      <c r="O376" s="32" t="str">
        <f t="shared" si="70"/>
        <v/>
      </c>
      <c r="P376" s="21"/>
      <c r="Q376" s="21"/>
      <c r="R376" s="21"/>
      <c r="S376" s="36">
        <f t="shared" si="83"/>
        <v>0</v>
      </c>
      <c r="T376" s="34">
        <f t="shared" si="77"/>
        <v>0</v>
      </c>
      <c r="U376" s="32">
        <f t="shared" si="78"/>
        <v>0</v>
      </c>
      <c r="V376" s="43"/>
      <c r="W376" s="32">
        <f t="shared" si="71"/>
        <v>0</v>
      </c>
      <c r="X376" s="34">
        <f t="shared" si="72"/>
        <v>0</v>
      </c>
      <c r="Y376" s="30">
        <f t="shared" si="73"/>
        <v>0</v>
      </c>
      <c r="Z376" s="34">
        <f t="shared" si="74"/>
        <v>0</v>
      </c>
      <c r="AA376" s="41">
        <f t="shared" si="75"/>
        <v>0</v>
      </c>
      <c r="AB376" s="31">
        <f t="shared" si="76"/>
        <v>0</v>
      </c>
    </row>
    <row r="377" spans="3:28" x14ac:dyDescent="0.7">
      <c r="C377" s="63" t="str">
        <f t="shared" si="79"/>
        <v/>
      </c>
      <c r="D377" s="16"/>
      <c r="E377" s="3"/>
      <c r="F377" s="57"/>
      <c r="G377" s="15" t="str">
        <f t="shared" si="80"/>
        <v/>
      </c>
      <c r="H377" s="65" t="str">
        <f t="shared" si="81"/>
        <v/>
      </c>
      <c r="I377" s="65" t="str">
        <f t="shared" si="82"/>
        <v/>
      </c>
      <c r="O377" s="32" t="str">
        <f t="shared" si="70"/>
        <v/>
      </c>
      <c r="P377" s="21"/>
      <c r="Q377" s="21"/>
      <c r="R377" s="21"/>
      <c r="S377" s="36">
        <f t="shared" si="83"/>
        <v>0</v>
      </c>
      <c r="T377" s="34">
        <f t="shared" si="77"/>
        <v>0</v>
      </c>
      <c r="U377" s="32">
        <f t="shared" si="78"/>
        <v>0</v>
      </c>
      <c r="V377" s="43"/>
      <c r="W377" s="32">
        <f t="shared" si="71"/>
        <v>0</v>
      </c>
      <c r="X377" s="34">
        <f t="shared" si="72"/>
        <v>0</v>
      </c>
      <c r="Y377" s="30">
        <f t="shared" si="73"/>
        <v>0</v>
      </c>
      <c r="Z377" s="34">
        <f t="shared" si="74"/>
        <v>0</v>
      </c>
      <c r="AA377" s="41">
        <f t="shared" si="75"/>
        <v>0</v>
      </c>
      <c r="AB377" s="31">
        <f t="shared" si="76"/>
        <v>0</v>
      </c>
    </row>
    <row r="378" spans="3:28" x14ac:dyDescent="0.7">
      <c r="C378" s="63" t="str">
        <f t="shared" si="79"/>
        <v/>
      </c>
      <c r="D378" s="16"/>
      <c r="E378" s="3"/>
      <c r="F378" s="57"/>
      <c r="G378" s="15" t="str">
        <f t="shared" si="80"/>
        <v/>
      </c>
      <c r="H378" s="65" t="str">
        <f t="shared" si="81"/>
        <v/>
      </c>
      <c r="I378" s="65" t="str">
        <f t="shared" si="82"/>
        <v/>
      </c>
      <c r="O378" s="32" t="str">
        <f t="shared" si="70"/>
        <v/>
      </c>
      <c r="P378" s="21"/>
      <c r="Q378" s="21"/>
      <c r="R378" s="21"/>
      <c r="S378" s="36">
        <f t="shared" si="83"/>
        <v>0</v>
      </c>
      <c r="T378" s="34">
        <f t="shared" si="77"/>
        <v>0</v>
      </c>
      <c r="U378" s="32">
        <f t="shared" si="78"/>
        <v>0</v>
      </c>
      <c r="V378" s="43"/>
      <c r="W378" s="32">
        <f t="shared" si="71"/>
        <v>0</v>
      </c>
      <c r="X378" s="34">
        <f t="shared" si="72"/>
        <v>0</v>
      </c>
      <c r="Y378" s="30">
        <f t="shared" si="73"/>
        <v>0</v>
      </c>
      <c r="Z378" s="34">
        <f t="shared" si="74"/>
        <v>0</v>
      </c>
      <c r="AA378" s="41">
        <f t="shared" si="75"/>
        <v>0</v>
      </c>
      <c r="AB378" s="31">
        <f t="shared" si="76"/>
        <v>0</v>
      </c>
    </row>
    <row r="379" spans="3:28" x14ac:dyDescent="0.7">
      <c r="C379" s="63" t="str">
        <f t="shared" si="79"/>
        <v/>
      </c>
      <c r="D379" s="16"/>
      <c r="E379" s="3"/>
      <c r="F379" s="57"/>
      <c r="G379" s="15" t="str">
        <f t="shared" si="80"/>
        <v/>
      </c>
      <c r="H379" s="65" t="str">
        <f t="shared" si="81"/>
        <v/>
      </c>
      <c r="I379" s="65" t="str">
        <f t="shared" si="82"/>
        <v/>
      </c>
      <c r="O379" s="32" t="str">
        <f t="shared" si="70"/>
        <v/>
      </c>
      <c r="P379" s="21"/>
      <c r="Q379" s="21"/>
      <c r="R379" s="21"/>
      <c r="S379" s="36">
        <f t="shared" si="83"/>
        <v>0</v>
      </c>
      <c r="T379" s="34">
        <f t="shared" si="77"/>
        <v>0</v>
      </c>
      <c r="U379" s="32">
        <f t="shared" si="78"/>
        <v>0</v>
      </c>
      <c r="V379" s="43"/>
      <c r="W379" s="32">
        <f t="shared" si="71"/>
        <v>0</v>
      </c>
      <c r="X379" s="34">
        <f t="shared" si="72"/>
        <v>0</v>
      </c>
      <c r="Y379" s="30">
        <f t="shared" si="73"/>
        <v>0</v>
      </c>
      <c r="Z379" s="34">
        <f t="shared" si="74"/>
        <v>0</v>
      </c>
      <c r="AA379" s="41">
        <f t="shared" si="75"/>
        <v>0</v>
      </c>
      <c r="AB379" s="31">
        <f t="shared" si="76"/>
        <v>0</v>
      </c>
    </row>
    <row r="380" spans="3:28" x14ac:dyDescent="0.7">
      <c r="C380" s="63" t="str">
        <f t="shared" si="79"/>
        <v/>
      </c>
      <c r="D380" s="16"/>
      <c r="E380" s="3"/>
      <c r="F380" s="57"/>
      <c r="G380" s="15" t="str">
        <f t="shared" si="80"/>
        <v/>
      </c>
      <c r="H380" s="65" t="str">
        <f t="shared" si="81"/>
        <v/>
      </c>
      <c r="I380" s="65" t="str">
        <f t="shared" si="82"/>
        <v/>
      </c>
      <c r="O380" s="32" t="str">
        <f t="shared" si="70"/>
        <v/>
      </c>
      <c r="P380" s="21"/>
      <c r="Q380" s="21"/>
      <c r="R380" s="21"/>
      <c r="S380" s="36">
        <f t="shared" si="83"/>
        <v>0</v>
      </c>
      <c r="T380" s="34">
        <f t="shared" si="77"/>
        <v>0</v>
      </c>
      <c r="U380" s="32">
        <f t="shared" si="78"/>
        <v>0</v>
      </c>
      <c r="V380" s="43"/>
      <c r="W380" s="32">
        <f t="shared" si="71"/>
        <v>0</v>
      </c>
      <c r="X380" s="34">
        <f t="shared" si="72"/>
        <v>0</v>
      </c>
      <c r="Y380" s="30">
        <f t="shared" si="73"/>
        <v>0</v>
      </c>
      <c r="Z380" s="34">
        <f t="shared" si="74"/>
        <v>0</v>
      </c>
      <c r="AA380" s="41">
        <f t="shared" si="75"/>
        <v>0</v>
      </c>
      <c r="AB380" s="31">
        <f t="shared" si="76"/>
        <v>0</v>
      </c>
    </row>
    <row r="381" spans="3:28" x14ac:dyDescent="0.7">
      <c r="C381" s="63" t="str">
        <f t="shared" si="79"/>
        <v/>
      </c>
      <c r="D381" s="16"/>
      <c r="E381" s="3"/>
      <c r="F381" s="57"/>
      <c r="G381" s="15" t="str">
        <f t="shared" si="80"/>
        <v/>
      </c>
      <c r="H381" s="65" t="str">
        <f t="shared" si="81"/>
        <v/>
      </c>
      <c r="I381" s="65" t="str">
        <f t="shared" si="82"/>
        <v/>
      </c>
      <c r="O381" s="32" t="str">
        <f t="shared" si="70"/>
        <v/>
      </c>
      <c r="P381" s="21"/>
      <c r="Q381" s="21"/>
      <c r="R381" s="21"/>
      <c r="S381" s="36">
        <f t="shared" si="83"/>
        <v>0</v>
      </c>
      <c r="T381" s="34">
        <f t="shared" si="77"/>
        <v>0</v>
      </c>
      <c r="U381" s="32">
        <f t="shared" si="78"/>
        <v>0</v>
      </c>
      <c r="V381" s="43"/>
      <c r="W381" s="32">
        <f t="shared" si="71"/>
        <v>0</v>
      </c>
      <c r="X381" s="34">
        <f t="shared" si="72"/>
        <v>0</v>
      </c>
      <c r="Y381" s="30">
        <f t="shared" si="73"/>
        <v>0</v>
      </c>
      <c r="Z381" s="34">
        <f t="shared" si="74"/>
        <v>0</v>
      </c>
      <c r="AA381" s="41">
        <f t="shared" si="75"/>
        <v>0</v>
      </c>
      <c r="AB381" s="31">
        <f t="shared" si="76"/>
        <v>0</v>
      </c>
    </row>
    <row r="382" spans="3:28" x14ac:dyDescent="0.7">
      <c r="C382" s="63" t="str">
        <f t="shared" si="79"/>
        <v/>
      </c>
      <c r="D382" s="16"/>
      <c r="E382" s="3"/>
      <c r="F382" s="57"/>
      <c r="G382" s="15" t="str">
        <f t="shared" si="80"/>
        <v/>
      </c>
      <c r="H382" s="65" t="str">
        <f t="shared" si="81"/>
        <v/>
      </c>
      <c r="I382" s="65" t="str">
        <f t="shared" si="82"/>
        <v/>
      </c>
      <c r="O382" s="32" t="str">
        <f t="shared" si="70"/>
        <v/>
      </c>
      <c r="P382" s="21"/>
      <c r="Q382" s="21"/>
      <c r="R382" s="21"/>
      <c r="S382" s="36">
        <f t="shared" si="83"/>
        <v>0</v>
      </c>
      <c r="T382" s="34">
        <f t="shared" si="77"/>
        <v>0</v>
      </c>
      <c r="U382" s="32">
        <f t="shared" si="78"/>
        <v>0</v>
      </c>
      <c r="V382" s="43"/>
      <c r="W382" s="32">
        <f t="shared" si="71"/>
        <v>0</v>
      </c>
      <c r="X382" s="34">
        <f t="shared" si="72"/>
        <v>0</v>
      </c>
      <c r="Y382" s="30">
        <f t="shared" si="73"/>
        <v>0</v>
      </c>
      <c r="Z382" s="34">
        <f t="shared" si="74"/>
        <v>0</v>
      </c>
      <c r="AA382" s="41">
        <f t="shared" si="75"/>
        <v>0</v>
      </c>
      <c r="AB382" s="31">
        <f t="shared" si="76"/>
        <v>0</v>
      </c>
    </row>
    <row r="383" spans="3:28" x14ac:dyDescent="0.7">
      <c r="C383" s="63" t="str">
        <f t="shared" si="79"/>
        <v/>
      </c>
      <c r="D383" s="16"/>
      <c r="E383" s="3"/>
      <c r="F383" s="57"/>
      <c r="G383" s="15" t="str">
        <f t="shared" si="80"/>
        <v/>
      </c>
      <c r="H383" s="65" t="str">
        <f t="shared" si="81"/>
        <v/>
      </c>
      <c r="I383" s="65" t="str">
        <f t="shared" si="82"/>
        <v/>
      </c>
      <c r="O383" s="32" t="str">
        <f t="shared" si="70"/>
        <v/>
      </c>
      <c r="P383" s="21"/>
      <c r="Q383" s="21"/>
      <c r="R383" s="21"/>
      <c r="S383" s="36">
        <f t="shared" si="83"/>
        <v>0</v>
      </c>
      <c r="T383" s="34">
        <f t="shared" si="77"/>
        <v>0</v>
      </c>
      <c r="U383" s="32">
        <f t="shared" si="78"/>
        <v>0</v>
      </c>
      <c r="V383" s="43"/>
      <c r="W383" s="32">
        <f t="shared" si="71"/>
        <v>0</v>
      </c>
      <c r="X383" s="34">
        <f t="shared" si="72"/>
        <v>0</v>
      </c>
      <c r="Y383" s="30">
        <f t="shared" si="73"/>
        <v>0</v>
      </c>
      <c r="Z383" s="34">
        <f t="shared" si="74"/>
        <v>0</v>
      </c>
      <c r="AA383" s="41">
        <f t="shared" si="75"/>
        <v>0</v>
      </c>
      <c r="AB383" s="31">
        <f t="shared" si="76"/>
        <v>0</v>
      </c>
    </row>
    <row r="384" spans="3:28" x14ac:dyDescent="0.7">
      <c r="C384" s="63" t="str">
        <f t="shared" si="79"/>
        <v/>
      </c>
      <c r="D384" s="16"/>
      <c r="E384" s="3"/>
      <c r="F384" s="57"/>
      <c r="G384" s="15" t="str">
        <f t="shared" si="80"/>
        <v/>
      </c>
      <c r="H384" s="65" t="str">
        <f t="shared" si="81"/>
        <v/>
      </c>
      <c r="I384" s="65" t="str">
        <f t="shared" si="82"/>
        <v/>
      </c>
      <c r="O384" s="32" t="str">
        <f t="shared" si="70"/>
        <v/>
      </c>
      <c r="P384" s="21"/>
      <c r="Q384" s="21"/>
      <c r="R384" s="21"/>
      <c r="S384" s="36">
        <f t="shared" si="83"/>
        <v>0</v>
      </c>
      <c r="T384" s="34">
        <f t="shared" si="77"/>
        <v>0</v>
      </c>
      <c r="U384" s="32">
        <f t="shared" si="78"/>
        <v>0</v>
      </c>
      <c r="V384" s="43"/>
      <c r="W384" s="32">
        <f t="shared" si="71"/>
        <v>0</v>
      </c>
      <c r="X384" s="34">
        <f t="shared" si="72"/>
        <v>0</v>
      </c>
      <c r="Y384" s="30">
        <f t="shared" si="73"/>
        <v>0</v>
      </c>
      <c r="Z384" s="34">
        <f t="shared" si="74"/>
        <v>0</v>
      </c>
      <c r="AA384" s="41">
        <f t="shared" si="75"/>
        <v>0</v>
      </c>
      <c r="AB384" s="31">
        <f t="shared" si="76"/>
        <v>0</v>
      </c>
    </row>
    <row r="385" spans="3:28" x14ac:dyDescent="0.7">
      <c r="C385" s="63" t="str">
        <f t="shared" si="79"/>
        <v/>
      </c>
      <c r="D385" s="16"/>
      <c r="E385" s="3"/>
      <c r="F385" s="57"/>
      <c r="G385" s="15" t="str">
        <f t="shared" si="80"/>
        <v/>
      </c>
      <c r="H385" s="65" t="str">
        <f t="shared" si="81"/>
        <v/>
      </c>
      <c r="I385" s="65" t="str">
        <f t="shared" si="82"/>
        <v/>
      </c>
      <c r="O385" s="32" t="str">
        <f t="shared" si="70"/>
        <v/>
      </c>
      <c r="P385" s="21"/>
      <c r="Q385" s="21"/>
      <c r="R385" s="21"/>
      <c r="S385" s="36">
        <f t="shared" si="83"/>
        <v>0</v>
      </c>
      <c r="T385" s="34">
        <f t="shared" si="77"/>
        <v>0</v>
      </c>
      <c r="U385" s="32">
        <f t="shared" si="78"/>
        <v>0</v>
      </c>
      <c r="V385" s="43"/>
      <c r="W385" s="32">
        <f t="shared" si="71"/>
        <v>0</v>
      </c>
      <c r="X385" s="34">
        <f t="shared" si="72"/>
        <v>0</v>
      </c>
      <c r="Y385" s="30">
        <f t="shared" si="73"/>
        <v>0</v>
      </c>
      <c r="Z385" s="34">
        <f t="shared" si="74"/>
        <v>0</v>
      </c>
      <c r="AA385" s="41">
        <f t="shared" si="75"/>
        <v>0</v>
      </c>
      <c r="AB385" s="31">
        <f t="shared" si="76"/>
        <v>0</v>
      </c>
    </row>
    <row r="386" spans="3:28" x14ac:dyDescent="0.7">
      <c r="C386" s="63" t="str">
        <f t="shared" si="79"/>
        <v/>
      </c>
      <c r="D386" s="16"/>
      <c r="E386" s="3"/>
      <c r="F386" s="57"/>
      <c r="G386" s="15" t="str">
        <f t="shared" si="80"/>
        <v/>
      </c>
      <c r="H386" s="65" t="str">
        <f t="shared" si="81"/>
        <v/>
      </c>
      <c r="I386" s="65" t="str">
        <f t="shared" si="82"/>
        <v/>
      </c>
      <c r="O386" s="32" t="str">
        <f t="shared" si="70"/>
        <v/>
      </c>
      <c r="P386" s="21"/>
      <c r="Q386" s="21"/>
      <c r="R386" s="21"/>
      <c r="S386" s="36">
        <f t="shared" si="83"/>
        <v>0</v>
      </c>
      <c r="T386" s="34">
        <f t="shared" si="77"/>
        <v>0</v>
      </c>
      <c r="U386" s="32">
        <f t="shared" si="78"/>
        <v>0</v>
      </c>
      <c r="V386" s="43"/>
      <c r="W386" s="32">
        <f t="shared" si="71"/>
        <v>0</v>
      </c>
      <c r="X386" s="34">
        <f t="shared" si="72"/>
        <v>0</v>
      </c>
      <c r="Y386" s="30">
        <f t="shared" si="73"/>
        <v>0</v>
      </c>
      <c r="Z386" s="34">
        <f t="shared" si="74"/>
        <v>0</v>
      </c>
      <c r="AA386" s="41">
        <f t="shared" si="75"/>
        <v>0</v>
      </c>
      <c r="AB386" s="31">
        <f t="shared" si="76"/>
        <v>0</v>
      </c>
    </row>
    <row r="387" spans="3:28" x14ac:dyDescent="0.7">
      <c r="C387" s="63" t="str">
        <f t="shared" si="79"/>
        <v/>
      </c>
      <c r="D387" s="16"/>
      <c r="E387" s="3"/>
      <c r="F387" s="57"/>
      <c r="G387" s="15" t="str">
        <f t="shared" si="80"/>
        <v/>
      </c>
      <c r="H387" s="65" t="str">
        <f t="shared" si="81"/>
        <v/>
      </c>
      <c r="I387" s="65" t="str">
        <f t="shared" si="82"/>
        <v/>
      </c>
      <c r="O387" s="32" t="str">
        <f t="shared" si="70"/>
        <v/>
      </c>
      <c r="P387" s="21"/>
      <c r="Q387" s="21"/>
      <c r="R387" s="21"/>
      <c r="S387" s="36">
        <f t="shared" si="83"/>
        <v>0</v>
      </c>
      <c r="T387" s="34">
        <f t="shared" si="77"/>
        <v>0</v>
      </c>
      <c r="U387" s="32">
        <f t="shared" si="78"/>
        <v>0</v>
      </c>
      <c r="V387" s="43"/>
      <c r="W387" s="32">
        <f t="shared" si="71"/>
        <v>0</v>
      </c>
      <c r="X387" s="34">
        <f t="shared" si="72"/>
        <v>0</v>
      </c>
      <c r="Y387" s="30">
        <f t="shared" si="73"/>
        <v>0</v>
      </c>
      <c r="Z387" s="34">
        <f t="shared" si="74"/>
        <v>0</v>
      </c>
      <c r="AA387" s="41">
        <f t="shared" si="75"/>
        <v>0</v>
      </c>
      <c r="AB387" s="31">
        <f t="shared" si="76"/>
        <v>0</v>
      </c>
    </row>
    <row r="388" spans="3:28" x14ac:dyDescent="0.7">
      <c r="C388" s="63" t="str">
        <f t="shared" si="79"/>
        <v/>
      </c>
      <c r="D388" s="16"/>
      <c r="E388" s="3"/>
      <c r="F388" s="57"/>
      <c r="G388" s="15" t="str">
        <f t="shared" si="80"/>
        <v/>
      </c>
      <c r="H388" s="65" t="str">
        <f t="shared" si="81"/>
        <v/>
      </c>
      <c r="I388" s="65" t="str">
        <f t="shared" si="82"/>
        <v/>
      </c>
      <c r="O388" s="32" t="str">
        <f t="shared" si="70"/>
        <v/>
      </c>
      <c r="P388" s="21"/>
      <c r="Q388" s="21"/>
      <c r="R388" s="21"/>
      <c r="S388" s="36">
        <f t="shared" si="83"/>
        <v>0</v>
      </c>
      <c r="T388" s="34">
        <f t="shared" si="77"/>
        <v>0</v>
      </c>
      <c r="U388" s="32">
        <f t="shared" si="78"/>
        <v>0</v>
      </c>
      <c r="V388" s="43"/>
      <c r="W388" s="32">
        <f t="shared" si="71"/>
        <v>0</v>
      </c>
      <c r="X388" s="34">
        <f t="shared" si="72"/>
        <v>0</v>
      </c>
      <c r="Y388" s="30">
        <f t="shared" si="73"/>
        <v>0</v>
      </c>
      <c r="Z388" s="34">
        <f t="shared" si="74"/>
        <v>0</v>
      </c>
      <c r="AA388" s="41">
        <f t="shared" si="75"/>
        <v>0</v>
      </c>
      <c r="AB388" s="31">
        <f t="shared" si="76"/>
        <v>0</v>
      </c>
    </row>
    <row r="389" spans="3:28" x14ac:dyDescent="0.7">
      <c r="C389" s="63" t="str">
        <f t="shared" si="79"/>
        <v/>
      </c>
      <c r="D389" s="16"/>
      <c r="E389" s="3"/>
      <c r="F389" s="57"/>
      <c r="G389" s="15" t="str">
        <f t="shared" si="80"/>
        <v/>
      </c>
      <c r="H389" s="65" t="str">
        <f t="shared" si="81"/>
        <v/>
      </c>
      <c r="I389" s="65" t="str">
        <f t="shared" si="82"/>
        <v/>
      </c>
      <c r="O389" s="32" t="str">
        <f t="shared" si="70"/>
        <v/>
      </c>
      <c r="P389" s="21"/>
      <c r="Q389" s="21"/>
      <c r="R389" s="21"/>
      <c r="S389" s="36">
        <f t="shared" si="83"/>
        <v>0</v>
      </c>
      <c r="T389" s="34">
        <f t="shared" si="77"/>
        <v>0</v>
      </c>
      <c r="U389" s="32">
        <f t="shared" si="78"/>
        <v>0</v>
      </c>
      <c r="V389" s="43"/>
      <c r="W389" s="32">
        <f t="shared" si="71"/>
        <v>0</v>
      </c>
      <c r="X389" s="34">
        <f t="shared" si="72"/>
        <v>0</v>
      </c>
      <c r="Y389" s="30">
        <f t="shared" si="73"/>
        <v>0</v>
      </c>
      <c r="Z389" s="34">
        <f t="shared" si="74"/>
        <v>0</v>
      </c>
      <c r="AA389" s="41">
        <f t="shared" si="75"/>
        <v>0</v>
      </c>
      <c r="AB389" s="31">
        <f t="shared" si="76"/>
        <v>0</v>
      </c>
    </row>
    <row r="390" spans="3:28" x14ac:dyDescent="0.7">
      <c r="C390" s="63" t="str">
        <f t="shared" si="79"/>
        <v/>
      </c>
      <c r="D390" s="16"/>
      <c r="E390" s="3"/>
      <c r="F390" s="57"/>
      <c r="G390" s="15" t="str">
        <f t="shared" si="80"/>
        <v/>
      </c>
      <c r="H390" s="65" t="str">
        <f t="shared" si="81"/>
        <v/>
      </c>
      <c r="I390" s="65" t="str">
        <f t="shared" si="82"/>
        <v/>
      </c>
      <c r="O390" s="32" t="str">
        <f t="shared" si="70"/>
        <v/>
      </c>
      <c r="P390" s="21"/>
      <c r="Q390" s="21"/>
      <c r="R390" s="21"/>
      <c r="S390" s="36">
        <f t="shared" si="83"/>
        <v>0</v>
      </c>
      <c r="T390" s="34">
        <f t="shared" si="77"/>
        <v>0</v>
      </c>
      <c r="U390" s="32">
        <f t="shared" si="78"/>
        <v>0</v>
      </c>
      <c r="V390" s="43"/>
      <c r="W390" s="32">
        <f t="shared" si="71"/>
        <v>0</v>
      </c>
      <c r="X390" s="34">
        <f t="shared" si="72"/>
        <v>0</v>
      </c>
      <c r="Y390" s="30">
        <f t="shared" si="73"/>
        <v>0</v>
      </c>
      <c r="Z390" s="34">
        <f t="shared" si="74"/>
        <v>0</v>
      </c>
      <c r="AA390" s="41">
        <f t="shared" si="75"/>
        <v>0</v>
      </c>
      <c r="AB390" s="31">
        <f t="shared" si="76"/>
        <v>0</v>
      </c>
    </row>
    <row r="391" spans="3:28" x14ac:dyDescent="0.7">
      <c r="C391" s="63" t="str">
        <f t="shared" si="79"/>
        <v/>
      </c>
      <c r="D391" s="16"/>
      <c r="E391" s="3"/>
      <c r="F391" s="57"/>
      <c r="G391" s="15" t="str">
        <f t="shared" si="80"/>
        <v/>
      </c>
      <c r="H391" s="65" t="str">
        <f t="shared" si="81"/>
        <v/>
      </c>
      <c r="I391" s="65" t="str">
        <f t="shared" si="82"/>
        <v/>
      </c>
      <c r="O391" s="32" t="str">
        <f t="shared" si="70"/>
        <v/>
      </c>
      <c r="P391" s="21"/>
      <c r="Q391" s="21"/>
      <c r="R391" s="21"/>
      <c r="S391" s="36">
        <f t="shared" si="83"/>
        <v>0</v>
      </c>
      <c r="T391" s="34">
        <f t="shared" si="77"/>
        <v>0</v>
      </c>
      <c r="U391" s="32">
        <f t="shared" si="78"/>
        <v>0</v>
      </c>
      <c r="V391" s="43"/>
      <c r="W391" s="32">
        <f t="shared" si="71"/>
        <v>0</v>
      </c>
      <c r="X391" s="34">
        <f t="shared" si="72"/>
        <v>0</v>
      </c>
      <c r="Y391" s="30">
        <f t="shared" si="73"/>
        <v>0</v>
      </c>
      <c r="Z391" s="34">
        <f t="shared" si="74"/>
        <v>0</v>
      </c>
      <c r="AA391" s="41">
        <f t="shared" si="75"/>
        <v>0</v>
      </c>
      <c r="AB391" s="31">
        <f t="shared" si="76"/>
        <v>0</v>
      </c>
    </row>
    <row r="392" spans="3:28" x14ac:dyDescent="0.7">
      <c r="C392" s="63" t="str">
        <f t="shared" si="79"/>
        <v/>
      </c>
      <c r="D392" s="16"/>
      <c r="E392" s="3"/>
      <c r="F392" s="57"/>
      <c r="G392" s="15" t="str">
        <f t="shared" si="80"/>
        <v/>
      </c>
      <c r="H392" s="65" t="str">
        <f t="shared" si="81"/>
        <v/>
      </c>
      <c r="I392" s="65" t="str">
        <f t="shared" si="82"/>
        <v/>
      </c>
      <c r="O392" s="32" t="str">
        <f t="shared" ref="O392:O455" si="84">IF(P392="","",ROW()-ROW($O$6))</f>
        <v/>
      </c>
      <c r="P392" s="21"/>
      <c r="Q392" s="21"/>
      <c r="R392" s="21"/>
      <c r="S392" s="36">
        <f t="shared" si="83"/>
        <v>0</v>
      </c>
      <c r="T392" s="34">
        <f t="shared" si="77"/>
        <v>0</v>
      </c>
      <c r="U392" s="32">
        <f t="shared" si="78"/>
        <v>0</v>
      </c>
      <c r="V392" s="43"/>
      <c r="W392" s="32">
        <f t="shared" ref="W392:W455" si="85">U392-V392</f>
        <v>0</v>
      </c>
      <c r="X392" s="34">
        <f t="shared" ref="X392:X455" si="86">W392/5440</f>
        <v>0</v>
      </c>
      <c r="Y392" s="30">
        <f t="shared" ref="Y392:Y455" si="87">TRUNC(X392)</f>
        <v>0</v>
      </c>
      <c r="Z392" s="34">
        <f t="shared" ref="Z392:Z455" si="88">(X392-Y392)*20</f>
        <v>0</v>
      </c>
      <c r="AA392" s="41">
        <f t="shared" ref="AA392:AA455" si="89">TRUNC(Z392)</f>
        <v>0</v>
      </c>
      <c r="AB392" s="31">
        <f t="shared" ref="AB392:AB455" si="90">(Z392-AA392)*272</f>
        <v>0</v>
      </c>
    </row>
    <row r="393" spans="3:28" x14ac:dyDescent="0.7">
      <c r="C393" s="63" t="str">
        <f t="shared" si="79"/>
        <v/>
      </c>
      <c r="D393" s="16"/>
      <c r="E393" s="3"/>
      <c r="F393" s="57"/>
      <c r="G393" s="15" t="str">
        <f t="shared" si="80"/>
        <v/>
      </c>
      <c r="H393" s="65" t="str">
        <f t="shared" si="81"/>
        <v/>
      </c>
      <c r="I393" s="65" t="str">
        <f t="shared" si="82"/>
        <v/>
      </c>
      <c r="O393" s="32" t="str">
        <f t="shared" si="84"/>
        <v/>
      </c>
      <c r="P393" s="21"/>
      <c r="Q393" s="21"/>
      <c r="R393" s="21"/>
      <c r="S393" s="36">
        <f t="shared" si="83"/>
        <v>0</v>
      </c>
      <c r="T393" s="34">
        <f t="shared" ref="T393:T456" si="91">(S393*R393)/100</f>
        <v>0</v>
      </c>
      <c r="U393" s="32">
        <f t="shared" ref="U393:U456" si="92">R393-T393</f>
        <v>0</v>
      </c>
      <c r="V393" s="43"/>
      <c r="W393" s="32">
        <f t="shared" si="85"/>
        <v>0</v>
      </c>
      <c r="X393" s="34">
        <f t="shared" si="86"/>
        <v>0</v>
      </c>
      <c r="Y393" s="30">
        <f t="shared" si="87"/>
        <v>0</v>
      </c>
      <c r="Z393" s="34">
        <f t="shared" si="88"/>
        <v>0</v>
      </c>
      <c r="AA393" s="41">
        <f t="shared" si="89"/>
        <v>0</v>
      </c>
      <c r="AB393" s="31">
        <f t="shared" si="90"/>
        <v>0</v>
      </c>
    </row>
    <row r="394" spans="3:28" x14ac:dyDescent="0.7">
      <c r="C394" s="63" t="str">
        <f t="shared" ref="C394:C457" si="93">IF(D394="","",ROW()-ROW($C$8))</f>
        <v/>
      </c>
      <c r="D394" s="16"/>
      <c r="E394" s="3"/>
      <c r="F394" s="57"/>
      <c r="G394" s="15" t="str">
        <f t="shared" ref="G394:G457" si="94">_xlfn.TEXTJOIN("-",1,E394:F394)</f>
        <v/>
      </c>
      <c r="H394" s="65" t="str">
        <f t="shared" ref="H394:H457" si="95">_xlfn.TEXTJOIN("Khasra_",1,C394:D394)</f>
        <v/>
      </c>
      <c r="I394" s="65" t="str">
        <f t="shared" ref="I394:I457" si="96">_xlfn.TEXTJOIN("=",1,H394,G394)</f>
        <v/>
      </c>
      <c r="O394" s="32" t="str">
        <f t="shared" si="84"/>
        <v/>
      </c>
      <c r="P394" s="21"/>
      <c r="Q394" s="21"/>
      <c r="R394" s="21"/>
      <c r="S394" s="36">
        <f t="shared" si="83"/>
        <v>0</v>
      </c>
      <c r="T394" s="34">
        <f t="shared" si="91"/>
        <v>0</v>
      </c>
      <c r="U394" s="32">
        <f t="shared" si="92"/>
        <v>0</v>
      </c>
      <c r="V394" s="43"/>
      <c r="W394" s="32">
        <f t="shared" si="85"/>
        <v>0</v>
      </c>
      <c r="X394" s="34">
        <f t="shared" si="86"/>
        <v>0</v>
      </c>
      <c r="Y394" s="30">
        <f t="shared" si="87"/>
        <v>0</v>
      </c>
      <c r="Z394" s="34">
        <f t="shared" si="88"/>
        <v>0</v>
      </c>
      <c r="AA394" s="41">
        <f t="shared" si="89"/>
        <v>0</v>
      </c>
      <c r="AB394" s="31">
        <f t="shared" si="90"/>
        <v>0</v>
      </c>
    </row>
    <row r="395" spans="3:28" x14ac:dyDescent="0.7">
      <c r="C395" s="63" t="str">
        <f t="shared" si="93"/>
        <v/>
      </c>
      <c r="D395" s="16"/>
      <c r="E395" s="3"/>
      <c r="F395" s="57"/>
      <c r="G395" s="15" t="str">
        <f t="shared" si="94"/>
        <v/>
      </c>
      <c r="H395" s="65" t="str">
        <f t="shared" si="95"/>
        <v/>
      </c>
      <c r="I395" s="65" t="str">
        <f t="shared" si="96"/>
        <v/>
      </c>
      <c r="O395" s="32" t="str">
        <f t="shared" si="84"/>
        <v/>
      </c>
      <c r="P395" s="21"/>
      <c r="Q395" s="21"/>
      <c r="R395" s="21"/>
      <c r="S395" s="36">
        <f t="shared" ref="S395:S458" si="97">S394</f>
        <v>0</v>
      </c>
      <c r="T395" s="34">
        <f t="shared" si="91"/>
        <v>0</v>
      </c>
      <c r="U395" s="32">
        <f t="shared" si="92"/>
        <v>0</v>
      </c>
      <c r="V395" s="43"/>
      <c r="W395" s="32">
        <f t="shared" si="85"/>
        <v>0</v>
      </c>
      <c r="X395" s="34">
        <f t="shared" si="86"/>
        <v>0</v>
      </c>
      <c r="Y395" s="30">
        <f t="shared" si="87"/>
        <v>0</v>
      </c>
      <c r="Z395" s="34">
        <f t="shared" si="88"/>
        <v>0</v>
      </c>
      <c r="AA395" s="41">
        <f t="shared" si="89"/>
        <v>0</v>
      </c>
      <c r="AB395" s="31">
        <f t="shared" si="90"/>
        <v>0</v>
      </c>
    </row>
    <row r="396" spans="3:28" x14ac:dyDescent="0.7">
      <c r="C396" s="63" t="str">
        <f t="shared" si="93"/>
        <v/>
      </c>
      <c r="D396" s="16"/>
      <c r="E396" s="3"/>
      <c r="F396" s="57"/>
      <c r="G396" s="15" t="str">
        <f t="shared" si="94"/>
        <v/>
      </c>
      <c r="H396" s="65" t="str">
        <f t="shared" si="95"/>
        <v/>
      </c>
      <c r="I396" s="65" t="str">
        <f t="shared" si="96"/>
        <v/>
      </c>
      <c r="O396" s="32" t="str">
        <f t="shared" si="84"/>
        <v/>
      </c>
      <c r="P396" s="21"/>
      <c r="Q396" s="21"/>
      <c r="R396" s="21"/>
      <c r="S396" s="36">
        <f t="shared" si="97"/>
        <v>0</v>
      </c>
      <c r="T396" s="34">
        <f t="shared" si="91"/>
        <v>0</v>
      </c>
      <c r="U396" s="32">
        <f t="shared" si="92"/>
        <v>0</v>
      </c>
      <c r="V396" s="43"/>
      <c r="W396" s="32">
        <f t="shared" si="85"/>
        <v>0</v>
      </c>
      <c r="X396" s="34">
        <f t="shared" si="86"/>
        <v>0</v>
      </c>
      <c r="Y396" s="30">
        <f t="shared" si="87"/>
        <v>0</v>
      </c>
      <c r="Z396" s="34">
        <f t="shared" si="88"/>
        <v>0</v>
      </c>
      <c r="AA396" s="41">
        <f t="shared" si="89"/>
        <v>0</v>
      </c>
      <c r="AB396" s="31">
        <f t="shared" si="90"/>
        <v>0</v>
      </c>
    </row>
    <row r="397" spans="3:28" x14ac:dyDescent="0.7">
      <c r="C397" s="63" t="str">
        <f t="shared" si="93"/>
        <v/>
      </c>
      <c r="D397" s="16"/>
      <c r="E397" s="3"/>
      <c r="F397" s="57"/>
      <c r="G397" s="15" t="str">
        <f t="shared" si="94"/>
        <v/>
      </c>
      <c r="H397" s="65" t="str">
        <f t="shared" si="95"/>
        <v/>
      </c>
      <c r="I397" s="65" t="str">
        <f t="shared" si="96"/>
        <v/>
      </c>
      <c r="O397" s="32" t="str">
        <f t="shared" si="84"/>
        <v/>
      </c>
      <c r="P397" s="21"/>
      <c r="Q397" s="21"/>
      <c r="R397" s="21"/>
      <c r="S397" s="36">
        <f t="shared" si="97"/>
        <v>0</v>
      </c>
      <c r="T397" s="34">
        <f t="shared" si="91"/>
        <v>0</v>
      </c>
      <c r="U397" s="32">
        <f t="shared" si="92"/>
        <v>0</v>
      </c>
      <c r="V397" s="43"/>
      <c r="W397" s="32">
        <f t="shared" si="85"/>
        <v>0</v>
      </c>
      <c r="X397" s="34">
        <f t="shared" si="86"/>
        <v>0</v>
      </c>
      <c r="Y397" s="30">
        <f t="shared" si="87"/>
        <v>0</v>
      </c>
      <c r="Z397" s="34">
        <f t="shared" si="88"/>
        <v>0</v>
      </c>
      <c r="AA397" s="41">
        <f t="shared" si="89"/>
        <v>0</v>
      </c>
      <c r="AB397" s="31">
        <f t="shared" si="90"/>
        <v>0</v>
      </c>
    </row>
    <row r="398" spans="3:28" x14ac:dyDescent="0.7">
      <c r="C398" s="63" t="str">
        <f t="shared" si="93"/>
        <v/>
      </c>
      <c r="D398" s="16"/>
      <c r="E398" s="3"/>
      <c r="F398" s="57"/>
      <c r="G398" s="15" t="str">
        <f t="shared" si="94"/>
        <v/>
      </c>
      <c r="H398" s="65" t="str">
        <f t="shared" si="95"/>
        <v/>
      </c>
      <c r="I398" s="65" t="str">
        <f t="shared" si="96"/>
        <v/>
      </c>
      <c r="O398" s="32" t="str">
        <f t="shared" si="84"/>
        <v/>
      </c>
      <c r="P398" s="21"/>
      <c r="Q398" s="21"/>
      <c r="R398" s="21"/>
      <c r="S398" s="36">
        <f t="shared" si="97"/>
        <v>0</v>
      </c>
      <c r="T398" s="34">
        <f t="shared" si="91"/>
        <v>0</v>
      </c>
      <c r="U398" s="32">
        <f t="shared" si="92"/>
        <v>0</v>
      </c>
      <c r="V398" s="43"/>
      <c r="W398" s="32">
        <f t="shared" si="85"/>
        <v>0</v>
      </c>
      <c r="X398" s="34">
        <f t="shared" si="86"/>
        <v>0</v>
      </c>
      <c r="Y398" s="30">
        <f t="shared" si="87"/>
        <v>0</v>
      </c>
      <c r="Z398" s="34">
        <f t="shared" si="88"/>
        <v>0</v>
      </c>
      <c r="AA398" s="41">
        <f t="shared" si="89"/>
        <v>0</v>
      </c>
      <c r="AB398" s="31">
        <f t="shared" si="90"/>
        <v>0</v>
      </c>
    </row>
    <row r="399" spans="3:28" x14ac:dyDescent="0.7">
      <c r="C399" s="63" t="str">
        <f t="shared" si="93"/>
        <v/>
      </c>
      <c r="D399" s="16"/>
      <c r="E399" s="3"/>
      <c r="F399" s="57"/>
      <c r="G399" s="15" t="str">
        <f t="shared" si="94"/>
        <v/>
      </c>
      <c r="H399" s="65" t="str">
        <f t="shared" si="95"/>
        <v/>
      </c>
      <c r="I399" s="65" t="str">
        <f t="shared" si="96"/>
        <v/>
      </c>
      <c r="O399" s="32" t="str">
        <f t="shared" si="84"/>
        <v/>
      </c>
      <c r="P399" s="21"/>
      <c r="Q399" s="21"/>
      <c r="R399" s="21"/>
      <c r="S399" s="36">
        <f t="shared" si="97"/>
        <v>0</v>
      </c>
      <c r="T399" s="34">
        <f t="shared" si="91"/>
        <v>0</v>
      </c>
      <c r="U399" s="32">
        <f t="shared" si="92"/>
        <v>0</v>
      </c>
      <c r="V399" s="43"/>
      <c r="W399" s="32">
        <f t="shared" si="85"/>
        <v>0</v>
      </c>
      <c r="X399" s="34">
        <f t="shared" si="86"/>
        <v>0</v>
      </c>
      <c r="Y399" s="30">
        <f t="shared" si="87"/>
        <v>0</v>
      </c>
      <c r="Z399" s="34">
        <f t="shared" si="88"/>
        <v>0</v>
      </c>
      <c r="AA399" s="41">
        <f t="shared" si="89"/>
        <v>0</v>
      </c>
      <c r="AB399" s="31">
        <f t="shared" si="90"/>
        <v>0</v>
      </c>
    </row>
    <row r="400" spans="3:28" x14ac:dyDescent="0.7">
      <c r="C400" s="63" t="str">
        <f t="shared" si="93"/>
        <v/>
      </c>
      <c r="D400" s="16"/>
      <c r="E400" s="3"/>
      <c r="F400" s="57"/>
      <c r="G400" s="15" t="str">
        <f t="shared" si="94"/>
        <v/>
      </c>
      <c r="H400" s="65" t="str">
        <f t="shared" si="95"/>
        <v/>
      </c>
      <c r="I400" s="65" t="str">
        <f t="shared" si="96"/>
        <v/>
      </c>
      <c r="O400" s="32" t="str">
        <f t="shared" si="84"/>
        <v/>
      </c>
      <c r="P400" s="21"/>
      <c r="Q400" s="21"/>
      <c r="R400" s="21"/>
      <c r="S400" s="36">
        <f t="shared" si="97"/>
        <v>0</v>
      </c>
      <c r="T400" s="34">
        <f t="shared" si="91"/>
        <v>0</v>
      </c>
      <c r="U400" s="32">
        <f t="shared" si="92"/>
        <v>0</v>
      </c>
      <c r="V400" s="43"/>
      <c r="W400" s="32">
        <f t="shared" si="85"/>
        <v>0</v>
      </c>
      <c r="X400" s="34">
        <f t="shared" si="86"/>
        <v>0</v>
      </c>
      <c r="Y400" s="30">
        <f t="shared" si="87"/>
        <v>0</v>
      </c>
      <c r="Z400" s="34">
        <f t="shared" si="88"/>
        <v>0</v>
      </c>
      <c r="AA400" s="41">
        <f t="shared" si="89"/>
        <v>0</v>
      </c>
      <c r="AB400" s="31">
        <f t="shared" si="90"/>
        <v>0</v>
      </c>
    </row>
    <row r="401" spans="3:28" x14ac:dyDescent="0.7">
      <c r="C401" s="63" t="str">
        <f t="shared" si="93"/>
        <v/>
      </c>
      <c r="D401" s="16"/>
      <c r="E401" s="3"/>
      <c r="F401" s="57"/>
      <c r="G401" s="15" t="str">
        <f t="shared" si="94"/>
        <v/>
      </c>
      <c r="H401" s="65" t="str">
        <f t="shared" si="95"/>
        <v/>
      </c>
      <c r="I401" s="65" t="str">
        <f t="shared" si="96"/>
        <v/>
      </c>
      <c r="O401" s="32" t="str">
        <f t="shared" si="84"/>
        <v/>
      </c>
      <c r="P401" s="21"/>
      <c r="Q401" s="21"/>
      <c r="R401" s="21"/>
      <c r="S401" s="36">
        <f t="shared" si="97"/>
        <v>0</v>
      </c>
      <c r="T401" s="34">
        <f t="shared" si="91"/>
        <v>0</v>
      </c>
      <c r="U401" s="32">
        <f t="shared" si="92"/>
        <v>0</v>
      </c>
      <c r="V401" s="43"/>
      <c r="W401" s="32">
        <f t="shared" si="85"/>
        <v>0</v>
      </c>
      <c r="X401" s="34">
        <f t="shared" si="86"/>
        <v>0</v>
      </c>
      <c r="Y401" s="30">
        <f t="shared" si="87"/>
        <v>0</v>
      </c>
      <c r="Z401" s="34">
        <f t="shared" si="88"/>
        <v>0</v>
      </c>
      <c r="AA401" s="41">
        <f t="shared" si="89"/>
        <v>0</v>
      </c>
      <c r="AB401" s="31">
        <f t="shared" si="90"/>
        <v>0</v>
      </c>
    </row>
    <row r="402" spans="3:28" x14ac:dyDescent="0.7">
      <c r="C402" s="63" t="str">
        <f t="shared" si="93"/>
        <v/>
      </c>
      <c r="D402" s="16"/>
      <c r="E402" s="3"/>
      <c r="F402" s="57"/>
      <c r="G402" s="15" t="str">
        <f t="shared" si="94"/>
        <v/>
      </c>
      <c r="H402" s="65" t="str">
        <f t="shared" si="95"/>
        <v/>
      </c>
      <c r="I402" s="65" t="str">
        <f t="shared" si="96"/>
        <v/>
      </c>
      <c r="O402" s="32" t="str">
        <f t="shared" si="84"/>
        <v/>
      </c>
      <c r="P402" s="21"/>
      <c r="Q402" s="21"/>
      <c r="R402" s="21"/>
      <c r="S402" s="36">
        <f t="shared" si="97"/>
        <v>0</v>
      </c>
      <c r="T402" s="34">
        <f t="shared" si="91"/>
        <v>0</v>
      </c>
      <c r="U402" s="32">
        <f t="shared" si="92"/>
        <v>0</v>
      </c>
      <c r="V402" s="43"/>
      <c r="W402" s="32">
        <f t="shared" si="85"/>
        <v>0</v>
      </c>
      <c r="X402" s="34">
        <f t="shared" si="86"/>
        <v>0</v>
      </c>
      <c r="Y402" s="30">
        <f t="shared" si="87"/>
        <v>0</v>
      </c>
      <c r="Z402" s="34">
        <f t="shared" si="88"/>
        <v>0</v>
      </c>
      <c r="AA402" s="41">
        <f t="shared" si="89"/>
        <v>0</v>
      </c>
      <c r="AB402" s="31">
        <f t="shared" si="90"/>
        <v>0</v>
      </c>
    </row>
    <row r="403" spans="3:28" x14ac:dyDescent="0.7">
      <c r="C403" s="63" t="str">
        <f t="shared" si="93"/>
        <v/>
      </c>
      <c r="D403" s="16"/>
      <c r="E403" s="3"/>
      <c r="F403" s="57"/>
      <c r="G403" s="15" t="str">
        <f t="shared" si="94"/>
        <v/>
      </c>
      <c r="H403" s="65" t="str">
        <f t="shared" si="95"/>
        <v/>
      </c>
      <c r="I403" s="65" t="str">
        <f t="shared" si="96"/>
        <v/>
      </c>
      <c r="O403" s="32" t="str">
        <f t="shared" si="84"/>
        <v/>
      </c>
      <c r="P403" s="21"/>
      <c r="Q403" s="21"/>
      <c r="R403" s="21"/>
      <c r="S403" s="36">
        <f t="shared" si="97"/>
        <v>0</v>
      </c>
      <c r="T403" s="34">
        <f t="shared" si="91"/>
        <v>0</v>
      </c>
      <c r="U403" s="32">
        <f t="shared" si="92"/>
        <v>0</v>
      </c>
      <c r="V403" s="43"/>
      <c r="W403" s="32">
        <f t="shared" si="85"/>
        <v>0</v>
      </c>
      <c r="X403" s="34">
        <f t="shared" si="86"/>
        <v>0</v>
      </c>
      <c r="Y403" s="30">
        <f t="shared" si="87"/>
        <v>0</v>
      </c>
      <c r="Z403" s="34">
        <f t="shared" si="88"/>
        <v>0</v>
      </c>
      <c r="AA403" s="41">
        <f t="shared" si="89"/>
        <v>0</v>
      </c>
      <c r="AB403" s="31">
        <f t="shared" si="90"/>
        <v>0</v>
      </c>
    </row>
    <row r="404" spans="3:28" x14ac:dyDescent="0.7">
      <c r="C404" s="63" t="str">
        <f t="shared" si="93"/>
        <v/>
      </c>
      <c r="D404" s="16"/>
      <c r="E404" s="3"/>
      <c r="F404" s="57"/>
      <c r="G404" s="15" t="str">
        <f t="shared" si="94"/>
        <v/>
      </c>
      <c r="H404" s="65" t="str">
        <f t="shared" si="95"/>
        <v/>
      </c>
      <c r="I404" s="65" t="str">
        <f t="shared" si="96"/>
        <v/>
      </c>
      <c r="O404" s="32" t="str">
        <f t="shared" si="84"/>
        <v/>
      </c>
      <c r="P404" s="21"/>
      <c r="Q404" s="21"/>
      <c r="R404" s="21"/>
      <c r="S404" s="36">
        <f t="shared" si="97"/>
        <v>0</v>
      </c>
      <c r="T404" s="34">
        <f t="shared" si="91"/>
        <v>0</v>
      </c>
      <c r="U404" s="32">
        <f t="shared" si="92"/>
        <v>0</v>
      </c>
      <c r="V404" s="43"/>
      <c r="W404" s="32">
        <f t="shared" si="85"/>
        <v>0</v>
      </c>
      <c r="X404" s="34">
        <f t="shared" si="86"/>
        <v>0</v>
      </c>
      <c r="Y404" s="30">
        <f t="shared" si="87"/>
        <v>0</v>
      </c>
      <c r="Z404" s="34">
        <f t="shared" si="88"/>
        <v>0</v>
      </c>
      <c r="AA404" s="41">
        <f t="shared" si="89"/>
        <v>0</v>
      </c>
      <c r="AB404" s="31">
        <f t="shared" si="90"/>
        <v>0</v>
      </c>
    </row>
    <row r="405" spans="3:28" x14ac:dyDescent="0.7">
      <c r="C405" s="63" t="str">
        <f t="shared" si="93"/>
        <v/>
      </c>
      <c r="D405" s="16"/>
      <c r="E405" s="3"/>
      <c r="F405" s="57"/>
      <c r="G405" s="15" t="str">
        <f t="shared" si="94"/>
        <v/>
      </c>
      <c r="H405" s="65" t="str">
        <f t="shared" si="95"/>
        <v/>
      </c>
      <c r="I405" s="65" t="str">
        <f t="shared" si="96"/>
        <v/>
      </c>
      <c r="O405" s="32" t="str">
        <f t="shared" si="84"/>
        <v/>
      </c>
      <c r="P405" s="21"/>
      <c r="Q405" s="21"/>
      <c r="R405" s="21"/>
      <c r="S405" s="36">
        <f t="shared" si="97"/>
        <v>0</v>
      </c>
      <c r="T405" s="34">
        <f t="shared" si="91"/>
        <v>0</v>
      </c>
      <c r="U405" s="32">
        <f t="shared" si="92"/>
        <v>0</v>
      </c>
      <c r="V405" s="43"/>
      <c r="W405" s="32">
        <f t="shared" si="85"/>
        <v>0</v>
      </c>
      <c r="X405" s="34">
        <f t="shared" si="86"/>
        <v>0</v>
      </c>
      <c r="Y405" s="30">
        <f t="shared" si="87"/>
        <v>0</v>
      </c>
      <c r="Z405" s="34">
        <f t="shared" si="88"/>
        <v>0</v>
      </c>
      <c r="AA405" s="41">
        <f t="shared" si="89"/>
        <v>0</v>
      </c>
      <c r="AB405" s="31">
        <f t="shared" si="90"/>
        <v>0</v>
      </c>
    </row>
    <row r="406" spans="3:28" x14ac:dyDescent="0.7">
      <c r="C406" s="63" t="str">
        <f t="shared" si="93"/>
        <v/>
      </c>
      <c r="D406" s="16"/>
      <c r="E406" s="3"/>
      <c r="F406" s="57"/>
      <c r="G406" s="15" t="str">
        <f t="shared" si="94"/>
        <v/>
      </c>
      <c r="H406" s="65" t="str">
        <f t="shared" si="95"/>
        <v/>
      </c>
      <c r="I406" s="65" t="str">
        <f t="shared" si="96"/>
        <v/>
      </c>
      <c r="O406" s="32" t="str">
        <f t="shared" si="84"/>
        <v/>
      </c>
      <c r="P406" s="21"/>
      <c r="Q406" s="21"/>
      <c r="R406" s="21"/>
      <c r="S406" s="36">
        <f t="shared" si="97"/>
        <v>0</v>
      </c>
      <c r="T406" s="34">
        <f t="shared" si="91"/>
        <v>0</v>
      </c>
      <c r="U406" s="32">
        <f t="shared" si="92"/>
        <v>0</v>
      </c>
      <c r="V406" s="43"/>
      <c r="W406" s="32">
        <f t="shared" si="85"/>
        <v>0</v>
      </c>
      <c r="X406" s="34">
        <f t="shared" si="86"/>
        <v>0</v>
      </c>
      <c r="Y406" s="30">
        <f t="shared" si="87"/>
        <v>0</v>
      </c>
      <c r="Z406" s="34">
        <f t="shared" si="88"/>
        <v>0</v>
      </c>
      <c r="AA406" s="41">
        <f t="shared" si="89"/>
        <v>0</v>
      </c>
      <c r="AB406" s="31">
        <f t="shared" si="90"/>
        <v>0</v>
      </c>
    </row>
    <row r="407" spans="3:28" x14ac:dyDescent="0.7">
      <c r="C407" s="63" t="str">
        <f t="shared" si="93"/>
        <v/>
      </c>
      <c r="D407" s="16"/>
      <c r="E407" s="3"/>
      <c r="F407" s="57"/>
      <c r="G407" s="15" t="str">
        <f t="shared" si="94"/>
        <v/>
      </c>
      <c r="H407" s="65" t="str">
        <f t="shared" si="95"/>
        <v/>
      </c>
      <c r="I407" s="65" t="str">
        <f t="shared" si="96"/>
        <v/>
      </c>
      <c r="O407" s="32" t="str">
        <f t="shared" si="84"/>
        <v/>
      </c>
      <c r="P407" s="21"/>
      <c r="Q407" s="21"/>
      <c r="R407" s="21"/>
      <c r="S407" s="36">
        <f t="shared" si="97"/>
        <v>0</v>
      </c>
      <c r="T407" s="34">
        <f t="shared" si="91"/>
        <v>0</v>
      </c>
      <c r="U407" s="32">
        <f t="shared" si="92"/>
        <v>0</v>
      </c>
      <c r="V407" s="43"/>
      <c r="W407" s="32">
        <f t="shared" si="85"/>
        <v>0</v>
      </c>
      <c r="X407" s="34">
        <f t="shared" si="86"/>
        <v>0</v>
      </c>
      <c r="Y407" s="30">
        <f t="shared" si="87"/>
        <v>0</v>
      </c>
      <c r="Z407" s="34">
        <f t="shared" si="88"/>
        <v>0</v>
      </c>
      <c r="AA407" s="41">
        <f t="shared" si="89"/>
        <v>0</v>
      </c>
      <c r="AB407" s="31">
        <f t="shared" si="90"/>
        <v>0</v>
      </c>
    </row>
    <row r="408" spans="3:28" x14ac:dyDescent="0.7">
      <c r="C408" s="63" t="str">
        <f t="shared" si="93"/>
        <v/>
      </c>
      <c r="D408" s="16"/>
      <c r="E408" s="3"/>
      <c r="F408" s="57"/>
      <c r="G408" s="15" t="str">
        <f t="shared" si="94"/>
        <v/>
      </c>
      <c r="H408" s="65" t="str">
        <f t="shared" si="95"/>
        <v/>
      </c>
      <c r="I408" s="65" t="str">
        <f t="shared" si="96"/>
        <v/>
      </c>
      <c r="O408" s="32" t="str">
        <f t="shared" si="84"/>
        <v/>
      </c>
      <c r="P408" s="21"/>
      <c r="Q408" s="21"/>
      <c r="R408" s="21"/>
      <c r="S408" s="36">
        <f t="shared" si="97"/>
        <v>0</v>
      </c>
      <c r="T408" s="34">
        <f t="shared" si="91"/>
        <v>0</v>
      </c>
      <c r="U408" s="32">
        <f t="shared" si="92"/>
        <v>0</v>
      </c>
      <c r="V408" s="43"/>
      <c r="W408" s="32">
        <f t="shared" si="85"/>
        <v>0</v>
      </c>
      <c r="X408" s="34">
        <f t="shared" si="86"/>
        <v>0</v>
      </c>
      <c r="Y408" s="30">
        <f t="shared" si="87"/>
        <v>0</v>
      </c>
      <c r="Z408" s="34">
        <f t="shared" si="88"/>
        <v>0</v>
      </c>
      <c r="AA408" s="41">
        <f t="shared" si="89"/>
        <v>0</v>
      </c>
      <c r="AB408" s="31">
        <f t="shared" si="90"/>
        <v>0</v>
      </c>
    </row>
    <row r="409" spans="3:28" x14ac:dyDescent="0.7">
      <c r="C409" s="63" t="str">
        <f t="shared" si="93"/>
        <v/>
      </c>
      <c r="D409" s="16"/>
      <c r="E409" s="3"/>
      <c r="F409" s="57"/>
      <c r="G409" s="15" t="str">
        <f t="shared" si="94"/>
        <v/>
      </c>
      <c r="H409" s="65" t="str">
        <f t="shared" si="95"/>
        <v/>
      </c>
      <c r="I409" s="65" t="str">
        <f t="shared" si="96"/>
        <v/>
      </c>
      <c r="O409" s="32" t="str">
        <f t="shared" si="84"/>
        <v/>
      </c>
      <c r="P409" s="21"/>
      <c r="Q409" s="21"/>
      <c r="R409" s="21"/>
      <c r="S409" s="36">
        <f t="shared" si="97"/>
        <v>0</v>
      </c>
      <c r="T409" s="34">
        <f t="shared" si="91"/>
        <v>0</v>
      </c>
      <c r="U409" s="32">
        <f t="shared" si="92"/>
        <v>0</v>
      </c>
      <c r="V409" s="43"/>
      <c r="W409" s="32">
        <f t="shared" si="85"/>
        <v>0</v>
      </c>
      <c r="X409" s="34">
        <f t="shared" si="86"/>
        <v>0</v>
      </c>
      <c r="Y409" s="30">
        <f t="shared" si="87"/>
        <v>0</v>
      </c>
      <c r="Z409" s="34">
        <f t="shared" si="88"/>
        <v>0</v>
      </c>
      <c r="AA409" s="41">
        <f t="shared" si="89"/>
        <v>0</v>
      </c>
      <c r="AB409" s="31">
        <f t="shared" si="90"/>
        <v>0</v>
      </c>
    </row>
    <row r="410" spans="3:28" x14ac:dyDescent="0.7">
      <c r="C410" s="63" t="str">
        <f t="shared" si="93"/>
        <v/>
      </c>
      <c r="D410" s="16"/>
      <c r="E410" s="3"/>
      <c r="F410" s="57"/>
      <c r="G410" s="15" t="str">
        <f t="shared" si="94"/>
        <v/>
      </c>
      <c r="H410" s="65" t="str">
        <f t="shared" si="95"/>
        <v/>
      </c>
      <c r="I410" s="65" t="str">
        <f t="shared" si="96"/>
        <v/>
      </c>
      <c r="O410" s="32" t="str">
        <f t="shared" si="84"/>
        <v/>
      </c>
      <c r="P410" s="21"/>
      <c r="Q410" s="21"/>
      <c r="R410" s="21"/>
      <c r="S410" s="36">
        <f t="shared" si="97"/>
        <v>0</v>
      </c>
      <c r="T410" s="34">
        <f t="shared" si="91"/>
        <v>0</v>
      </c>
      <c r="U410" s="32">
        <f t="shared" si="92"/>
        <v>0</v>
      </c>
      <c r="V410" s="43"/>
      <c r="W410" s="32">
        <f t="shared" si="85"/>
        <v>0</v>
      </c>
      <c r="X410" s="34">
        <f t="shared" si="86"/>
        <v>0</v>
      </c>
      <c r="Y410" s="30">
        <f t="shared" si="87"/>
        <v>0</v>
      </c>
      <c r="Z410" s="34">
        <f t="shared" si="88"/>
        <v>0</v>
      </c>
      <c r="AA410" s="41">
        <f t="shared" si="89"/>
        <v>0</v>
      </c>
      <c r="AB410" s="31">
        <f t="shared" si="90"/>
        <v>0</v>
      </c>
    </row>
    <row r="411" spans="3:28" x14ac:dyDescent="0.7">
      <c r="C411" s="63" t="str">
        <f t="shared" si="93"/>
        <v/>
      </c>
      <c r="D411" s="16"/>
      <c r="E411" s="3"/>
      <c r="F411" s="57"/>
      <c r="G411" s="15" t="str">
        <f t="shared" si="94"/>
        <v/>
      </c>
      <c r="H411" s="65" t="str">
        <f t="shared" si="95"/>
        <v/>
      </c>
      <c r="I411" s="65" t="str">
        <f t="shared" si="96"/>
        <v/>
      </c>
      <c r="O411" s="32" t="str">
        <f t="shared" si="84"/>
        <v/>
      </c>
      <c r="P411" s="21"/>
      <c r="Q411" s="21"/>
      <c r="R411" s="21"/>
      <c r="S411" s="36">
        <f t="shared" si="97"/>
        <v>0</v>
      </c>
      <c r="T411" s="34">
        <f t="shared" si="91"/>
        <v>0</v>
      </c>
      <c r="U411" s="32">
        <f t="shared" si="92"/>
        <v>0</v>
      </c>
      <c r="V411" s="43"/>
      <c r="W411" s="32">
        <f t="shared" si="85"/>
        <v>0</v>
      </c>
      <c r="X411" s="34">
        <f t="shared" si="86"/>
        <v>0</v>
      </c>
      <c r="Y411" s="30">
        <f t="shared" si="87"/>
        <v>0</v>
      </c>
      <c r="Z411" s="34">
        <f t="shared" si="88"/>
        <v>0</v>
      </c>
      <c r="AA411" s="41">
        <f t="shared" si="89"/>
        <v>0</v>
      </c>
      <c r="AB411" s="31">
        <f t="shared" si="90"/>
        <v>0</v>
      </c>
    </row>
    <row r="412" spans="3:28" x14ac:dyDescent="0.7">
      <c r="C412" s="63" t="str">
        <f t="shared" si="93"/>
        <v/>
      </c>
      <c r="D412" s="16"/>
      <c r="E412" s="3"/>
      <c r="F412" s="57"/>
      <c r="G412" s="15" t="str">
        <f t="shared" si="94"/>
        <v/>
      </c>
      <c r="H412" s="65" t="str">
        <f t="shared" si="95"/>
        <v/>
      </c>
      <c r="I412" s="65" t="str">
        <f t="shared" si="96"/>
        <v/>
      </c>
      <c r="O412" s="32" t="str">
        <f t="shared" si="84"/>
        <v/>
      </c>
      <c r="P412" s="21"/>
      <c r="Q412" s="21"/>
      <c r="R412" s="21"/>
      <c r="S412" s="36">
        <f t="shared" si="97"/>
        <v>0</v>
      </c>
      <c r="T412" s="34">
        <f t="shared" si="91"/>
        <v>0</v>
      </c>
      <c r="U412" s="32">
        <f t="shared" si="92"/>
        <v>0</v>
      </c>
      <c r="V412" s="43"/>
      <c r="W412" s="32">
        <f t="shared" si="85"/>
        <v>0</v>
      </c>
      <c r="X412" s="34">
        <f t="shared" si="86"/>
        <v>0</v>
      </c>
      <c r="Y412" s="30">
        <f t="shared" si="87"/>
        <v>0</v>
      </c>
      <c r="Z412" s="34">
        <f t="shared" si="88"/>
        <v>0</v>
      </c>
      <c r="AA412" s="41">
        <f t="shared" si="89"/>
        <v>0</v>
      </c>
      <c r="AB412" s="31">
        <f t="shared" si="90"/>
        <v>0</v>
      </c>
    </row>
    <row r="413" spans="3:28" x14ac:dyDescent="0.7">
      <c r="C413" s="63" t="str">
        <f t="shared" si="93"/>
        <v/>
      </c>
      <c r="D413" s="16"/>
      <c r="E413" s="3"/>
      <c r="F413" s="57"/>
      <c r="G413" s="15" t="str">
        <f t="shared" si="94"/>
        <v/>
      </c>
      <c r="H413" s="65" t="str">
        <f t="shared" si="95"/>
        <v/>
      </c>
      <c r="I413" s="65" t="str">
        <f t="shared" si="96"/>
        <v/>
      </c>
      <c r="O413" s="32" t="str">
        <f t="shared" si="84"/>
        <v/>
      </c>
      <c r="P413" s="21"/>
      <c r="Q413" s="21"/>
      <c r="R413" s="21"/>
      <c r="S413" s="36">
        <f t="shared" si="97"/>
        <v>0</v>
      </c>
      <c r="T413" s="34">
        <f t="shared" si="91"/>
        <v>0</v>
      </c>
      <c r="U413" s="32">
        <f t="shared" si="92"/>
        <v>0</v>
      </c>
      <c r="V413" s="43"/>
      <c r="W413" s="32">
        <f t="shared" si="85"/>
        <v>0</v>
      </c>
      <c r="X413" s="34">
        <f t="shared" si="86"/>
        <v>0</v>
      </c>
      <c r="Y413" s="30">
        <f t="shared" si="87"/>
        <v>0</v>
      </c>
      <c r="Z413" s="34">
        <f t="shared" si="88"/>
        <v>0</v>
      </c>
      <c r="AA413" s="41">
        <f t="shared" si="89"/>
        <v>0</v>
      </c>
      <c r="AB413" s="31">
        <f t="shared" si="90"/>
        <v>0</v>
      </c>
    </row>
    <row r="414" spans="3:28" x14ac:dyDescent="0.7">
      <c r="C414" s="63" t="str">
        <f t="shared" si="93"/>
        <v/>
      </c>
      <c r="D414" s="16"/>
      <c r="E414" s="3"/>
      <c r="F414" s="57"/>
      <c r="G414" s="15" t="str">
        <f t="shared" si="94"/>
        <v/>
      </c>
      <c r="H414" s="65" t="str">
        <f t="shared" si="95"/>
        <v/>
      </c>
      <c r="I414" s="65" t="str">
        <f t="shared" si="96"/>
        <v/>
      </c>
      <c r="O414" s="32" t="str">
        <f t="shared" si="84"/>
        <v/>
      </c>
      <c r="P414" s="21"/>
      <c r="Q414" s="21"/>
      <c r="R414" s="21"/>
      <c r="S414" s="36">
        <f t="shared" si="97"/>
        <v>0</v>
      </c>
      <c r="T414" s="34">
        <f t="shared" si="91"/>
        <v>0</v>
      </c>
      <c r="U414" s="32">
        <f t="shared" si="92"/>
        <v>0</v>
      </c>
      <c r="V414" s="43"/>
      <c r="W414" s="32">
        <f t="shared" si="85"/>
        <v>0</v>
      </c>
      <c r="X414" s="34">
        <f t="shared" si="86"/>
        <v>0</v>
      </c>
      <c r="Y414" s="30">
        <f t="shared" si="87"/>
        <v>0</v>
      </c>
      <c r="Z414" s="34">
        <f t="shared" si="88"/>
        <v>0</v>
      </c>
      <c r="AA414" s="41">
        <f t="shared" si="89"/>
        <v>0</v>
      </c>
      <c r="AB414" s="31">
        <f t="shared" si="90"/>
        <v>0</v>
      </c>
    </row>
    <row r="415" spans="3:28" x14ac:dyDescent="0.7">
      <c r="C415" s="63" t="str">
        <f t="shared" si="93"/>
        <v/>
      </c>
      <c r="D415" s="16"/>
      <c r="E415" s="3"/>
      <c r="F415" s="57"/>
      <c r="G415" s="15" t="str">
        <f t="shared" si="94"/>
        <v/>
      </c>
      <c r="H415" s="65" t="str">
        <f t="shared" si="95"/>
        <v/>
      </c>
      <c r="I415" s="65" t="str">
        <f t="shared" si="96"/>
        <v/>
      </c>
      <c r="O415" s="32" t="str">
        <f t="shared" si="84"/>
        <v/>
      </c>
      <c r="P415" s="21"/>
      <c r="Q415" s="21"/>
      <c r="R415" s="21"/>
      <c r="S415" s="36">
        <f t="shared" si="97"/>
        <v>0</v>
      </c>
      <c r="T415" s="34">
        <f t="shared" si="91"/>
        <v>0</v>
      </c>
      <c r="U415" s="32">
        <f t="shared" si="92"/>
        <v>0</v>
      </c>
      <c r="V415" s="43"/>
      <c r="W415" s="32">
        <f t="shared" si="85"/>
        <v>0</v>
      </c>
      <c r="X415" s="34">
        <f t="shared" si="86"/>
        <v>0</v>
      </c>
      <c r="Y415" s="30">
        <f t="shared" si="87"/>
        <v>0</v>
      </c>
      <c r="Z415" s="34">
        <f t="shared" si="88"/>
        <v>0</v>
      </c>
      <c r="AA415" s="41">
        <f t="shared" si="89"/>
        <v>0</v>
      </c>
      <c r="AB415" s="31">
        <f t="shared" si="90"/>
        <v>0</v>
      </c>
    </row>
    <row r="416" spans="3:28" x14ac:dyDescent="0.7">
      <c r="C416" s="63" t="str">
        <f t="shared" si="93"/>
        <v/>
      </c>
      <c r="D416" s="16"/>
      <c r="E416" s="3"/>
      <c r="F416" s="57"/>
      <c r="G416" s="15" t="str">
        <f t="shared" si="94"/>
        <v/>
      </c>
      <c r="H416" s="65" t="str">
        <f t="shared" si="95"/>
        <v/>
      </c>
      <c r="I416" s="65" t="str">
        <f t="shared" si="96"/>
        <v/>
      </c>
      <c r="O416" s="32" t="str">
        <f t="shared" si="84"/>
        <v/>
      </c>
      <c r="P416" s="21"/>
      <c r="Q416" s="21"/>
      <c r="R416" s="21"/>
      <c r="S416" s="36">
        <f t="shared" si="97"/>
        <v>0</v>
      </c>
      <c r="T416" s="34">
        <f t="shared" si="91"/>
        <v>0</v>
      </c>
      <c r="U416" s="32">
        <f t="shared" si="92"/>
        <v>0</v>
      </c>
      <c r="V416" s="43"/>
      <c r="W416" s="32">
        <f t="shared" si="85"/>
        <v>0</v>
      </c>
      <c r="X416" s="34">
        <f t="shared" si="86"/>
        <v>0</v>
      </c>
      <c r="Y416" s="30">
        <f t="shared" si="87"/>
        <v>0</v>
      </c>
      <c r="Z416" s="34">
        <f t="shared" si="88"/>
        <v>0</v>
      </c>
      <c r="AA416" s="41">
        <f t="shared" si="89"/>
        <v>0</v>
      </c>
      <c r="AB416" s="31">
        <f t="shared" si="90"/>
        <v>0</v>
      </c>
    </row>
    <row r="417" spans="3:28" x14ac:dyDescent="0.7">
      <c r="C417" s="63" t="str">
        <f t="shared" si="93"/>
        <v/>
      </c>
      <c r="D417" s="16"/>
      <c r="E417" s="3"/>
      <c r="F417" s="57"/>
      <c r="G417" s="15" t="str">
        <f t="shared" si="94"/>
        <v/>
      </c>
      <c r="H417" s="65" t="str">
        <f t="shared" si="95"/>
        <v/>
      </c>
      <c r="I417" s="65" t="str">
        <f t="shared" si="96"/>
        <v/>
      </c>
      <c r="O417" s="32" t="str">
        <f t="shared" si="84"/>
        <v/>
      </c>
      <c r="P417" s="21"/>
      <c r="Q417" s="21"/>
      <c r="R417" s="21"/>
      <c r="S417" s="36">
        <f t="shared" si="97"/>
        <v>0</v>
      </c>
      <c r="T417" s="34">
        <f t="shared" si="91"/>
        <v>0</v>
      </c>
      <c r="U417" s="32">
        <f t="shared" si="92"/>
        <v>0</v>
      </c>
      <c r="V417" s="43"/>
      <c r="W417" s="32">
        <f t="shared" si="85"/>
        <v>0</v>
      </c>
      <c r="X417" s="34">
        <f t="shared" si="86"/>
        <v>0</v>
      </c>
      <c r="Y417" s="30">
        <f t="shared" si="87"/>
        <v>0</v>
      </c>
      <c r="Z417" s="34">
        <f t="shared" si="88"/>
        <v>0</v>
      </c>
      <c r="AA417" s="41">
        <f t="shared" si="89"/>
        <v>0</v>
      </c>
      <c r="AB417" s="31">
        <f t="shared" si="90"/>
        <v>0</v>
      </c>
    </row>
    <row r="418" spans="3:28" x14ac:dyDescent="0.7">
      <c r="C418" s="63" t="str">
        <f t="shared" si="93"/>
        <v/>
      </c>
      <c r="D418" s="16"/>
      <c r="E418" s="3"/>
      <c r="F418" s="57"/>
      <c r="G418" s="15" t="str">
        <f t="shared" si="94"/>
        <v/>
      </c>
      <c r="H418" s="65" t="str">
        <f t="shared" si="95"/>
        <v/>
      </c>
      <c r="I418" s="65" t="str">
        <f t="shared" si="96"/>
        <v/>
      </c>
      <c r="O418" s="32" t="str">
        <f t="shared" si="84"/>
        <v/>
      </c>
      <c r="P418" s="21"/>
      <c r="Q418" s="21"/>
      <c r="R418" s="21"/>
      <c r="S418" s="36">
        <f t="shared" si="97"/>
        <v>0</v>
      </c>
      <c r="T418" s="34">
        <f t="shared" si="91"/>
        <v>0</v>
      </c>
      <c r="U418" s="32">
        <f t="shared" si="92"/>
        <v>0</v>
      </c>
      <c r="V418" s="43"/>
      <c r="W418" s="32">
        <f t="shared" si="85"/>
        <v>0</v>
      </c>
      <c r="X418" s="34">
        <f t="shared" si="86"/>
        <v>0</v>
      </c>
      <c r="Y418" s="30">
        <f t="shared" si="87"/>
        <v>0</v>
      </c>
      <c r="Z418" s="34">
        <f t="shared" si="88"/>
        <v>0</v>
      </c>
      <c r="AA418" s="41">
        <f t="shared" si="89"/>
        <v>0</v>
      </c>
      <c r="AB418" s="31">
        <f t="shared" si="90"/>
        <v>0</v>
      </c>
    </row>
    <row r="419" spans="3:28" x14ac:dyDescent="0.7">
      <c r="C419" s="63" t="str">
        <f t="shared" si="93"/>
        <v/>
      </c>
      <c r="D419" s="16"/>
      <c r="E419" s="3"/>
      <c r="F419" s="57"/>
      <c r="G419" s="15" t="str">
        <f t="shared" si="94"/>
        <v/>
      </c>
      <c r="H419" s="65" t="str">
        <f t="shared" si="95"/>
        <v/>
      </c>
      <c r="I419" s="65" t="str">
        <f t="shared" si="96"/>
        <v/>
      </c>
      <c r="O419" s="32" t="str">
        <f t="shared" si="84"/>
        <v/>
      </c>
      <c r="P419" s="21"/>
      <c r="Q419" s="21"/>
      <c r="R419" s="21"/>
      <c r="S419" s="36">
        <f t="shared" si="97"/>
        <v>0</v>
      </c>
      <c r="T419" s="34">
        <f t="shared" si="91"/>
        <v>0</v>
      </c>
      <c r="U419" s="32">
        <f t="shared" si="92"/>
        <v>0</v>
      </c>
      <c r="V419" s="43"/>
      <c r="W419" s="32">
        <f t="shared" si="85"/>
        <v>0</v>
      </c>
      <c r="X419" s="34">
        <f t="shared" si="86"/>
        <v>0</v>
      </c>
      <c r="Y419" s="30">
        <f t="shared" si="87"/>
        <v>0</v>
      </c>
      <c r="Z419" s="34">
        <f t="shared" si="88"/>
        <v>0</v>
      </c>
      <c r="AA419" s="41">
        <f t="shared" si="89"/>
        <v>0</v>
      </c>
      <c r="AB419" s="31">
        <f t="shared" si="90"/>
        <v>0</v>
      </c>
    </row>
    <row r="420" spans="3:28" x14ac:dyDescent="0.7">
      <c r="C420" s="63" t="str">
        <f t="shared" si="93"/>
        <v/>
      </c>
      <c r="D420" s="16"/>
      <c r="E420" s="3"/>
      <c r="F420" s="57"/>
      <c r="G420" s="15" t="str">
        <f t="shared" si="94"/>
        <v/>
      </c>
      <c r="H420" s="65" t="str">
        <f t="shared" si="95"/>
        <v/>
      </c>
      <c r="I420" s="65" t="str">
        <f t="shared" si="96"/>
        <v/>
      </c>
      <c r="O420" s="32" t="str">
        <f t="shared" si="84"/>
        <v/>
      </c>
      <c r="P420" s="21"/>
      <c r="Q420" s="21"/>
      <c r="R420" s="21"/>
      <c r="S420" s="36">
        <f t="shared" si="97"/>
        <v>0</v>
      </c>
      <c r="T420" s="34">
        <f t="shared" si="91"/>
        <v>0</v>
      </c>
      <c r="U420" s="32">
        <f t="shared" si="92"/>
        <v>0</v>
      </c>
      <c r="V420" s="43"/>
      <c r="W420" s="32">
        <f t="shared" si="85"/>
        <v>0</v>
      </c>
      <c r="X420" s="34">
        <f t="shared" si="86"/>
        <v>0</v>
      </c>
      <c r="Y420" s="30">
        <f t="shared" si="87"/>
        <v>0</v>
      </c>
      <c r="Z420" s="34">
        <f t="shared" si="88"/>
        <v>0</v>
      </c>
      <c r="AA420" s="41">
        <f t="shared" si="89"/>
        <v>0</v>
      </c>
      <c r="AB420" s="31">
        <f t="shared" si="90"/>
        <v>0</v>
      </c>
    </row>
    <row r="421" spans="3:28" x14ac:dyDescent="0.7">
      <c r="C421" s="63" t="str">
        <f t="shared" si="93"/>
        <v/>
      </c>
      <c r="D421" s="16"/>
      <c r="E421" s="3"/>
      <c r="F421" s="57"/>
      <c r="G421" s="15" t="str">
        <f t="shared" si="94"/>
        <v/>
      </c>
      <c r="H421" s="65" t="str">
        <f t="shared" si="95"/>
        <v/>
      </c>
      <c r="I421" s="65" t="str">
        <f t="shared" si="96"/>
        <v/>
      </c>
      <c r="O421" s="32" t="str">
        <f t="shared" si="84"/>
        <v/>
      </c>
      <c r="P421" s="21"/>
      <c r="Q421" s="21"/>
      <c r="R421" s="21"/>
      <c r="S421" s="36">
        <f t="shared" si="97"/>
        <v>0</v>
      </c>
      <c r="T421" s="34">
        <f t="shared" si="91"/>
        <v>0</v>
      </c>
      <c r="U421" s="32">
        <f t="shared" si="92"/>
        <v>0</v>
      </c>
      <c r="V421" s="43"/>
      <c r="W421" s="32">
        <f t="shared" si="85"/>
        <v>0</v>
      </c>
      <c r="X421" s="34">
        <f t="shared" si="86"/>
        <v>0</v>
      </c>
      <c r="Y421" s="30">
        <f t="shared" si="87"/>
        <v>0</v>
      </c>
      <c r="Z421" s="34">
        <f t="shared" si="88"/>
        <v>0</v>
      </c>
      <c r="AA421" s="41">
        <f t="shared" si="89"/>
        <v>0</v>
      </c>
      <c r="AB421" s="31">
        <f t="shared" si="90"/>
        <v>0</v>
      </c>
    </row>
    <row r="422" spans="3:28" x14ac:dyDescent="0.7">
      <c r="C422" s="63" t="str">
        <f t="shared" si="93"/>
        <v/>
      </c>
      <c r="D422" s="16"/>
      <c r="E422" s="3"/>
      <c r="F422" s="57"/>
      <c r="G422" s="15" t="str">
        <f t="shared" si="94"/>
        <v/>
      </c>
      <c r="H422" s="65" t="str">
        <f t="shared" si="95"/>
        <v/>
      </c>
      <c r="I422" s="65" t="str">
        <f t="shared" si="96"/>
        <v/>
      </c>
      <c r="O422" s="32" t="str">
        <f t="shared" si="84"/>
        <v/>
      </c>
      <c r="P422" s="21"/>
      <c r="Q422" s="21"/>
      <c r="R422" s="21"/>
      <c r="S422" s="36">
        <f t="shared" si="97"/>
        <v>0</v>
      </c>
      <c r="T422" s="34">
        <f t="shared" si="91"/>
        <v>0</v>
      </c>
      <c r="U422" s="32">
        <f t="shared" si="92"/>
        <v>0</v>
      </c>
      <c r="V422" s="43"/>
      <c r="W422" s="32">
        <f t="shared" si="85"/>
        <v>0</v>
      </c>
      <c r="X422" s="34">
        <f t="shared" si="86"/>
        <v>0</v>
      </c>
      <c r="Y422" s="30">
        <f t="shared" si="87"/>
        <v>0</v>
      </c>
      <c r="Z422" s="34">
        <f t="shared" si="88"/>
        <v>0</v>
      </c>
      <c r="AA422" s="41">
        <f t="shared" si="89"/>
        <v>0</v>
      </c>
      <c r="AB422" s="31">
        <f t="shared" si="90"/>
        <v>0</v>
      </c>
    </row>
    <row r="423" spans="3:28" x14ac:dyDescent="0.7">
      <c r="C423" s="63" t="str">
        <f t="shared" si="93"/>
        <v/>
      </c>
      <c r="D423" s="16"/>
      <c r="E423" s="3"/>
      <c r="F423" s="57"/>
      <c r="G423" s="15" t="str">
        <f t="shared" si="94"/>
        <v/>
      </c>
      <c r="H423" s="65" t="str">
        <f t="shared" si="95"/>
        <v/>
      </c>
      <c r="I423" s="65" t="str">
        <f t="shared" si="96"/>
        <v/>
      </c>
      <c r="O423" s="32" t="str">
        <f t="shared" si="84"/>
        <v/>
      </c>
      <c r="P423" s="21"/>
      <c r="Q423" s="21"/>
      <c r="R423" s="21"/>
      <c r="S423" s="36">
        <f t="shared" si="97"/>
        <v>0</v>
      </c>
      <c r="T423" s="34">
        <f t="shared" si="91"/>
        <v>0</v>
      </c>
      <c r="U423" s="32">
        <f t="shared" si="92"/>
        <v>0</v>
      </c>
      <c r="V423" s="43"/>
      <c r="W423" s="32">
        <f t="shared" si="85"/>
        <v>0</v>
      </c>
      <c r="X423" s="34">
        <f t="shared" si="86"/>
        <v>0</v>
      </c>
      <c r="Y423" s="30">
        <f t="shared" si="87"/>
        <v>0</v>
      </c>
      <c r="Z423" s="34">
        <f t="shared" si="88"/>
        <v>0</v>
      </c>
      <c r="AA423" s="41">
        <f t="shared" si="89"/>
        <v>0</v>
      </c>
      <c r="AB423" s="31">
        <f t="shared" si="90"/>
        <v>0</v>
      </c>
    </row>
    <row r="424" spans="3:28" x14ac:dyDescent="0.7">
      <c r="C424" s="63" t="str">
        <f t="shared" si="93"/>
        <v/>
      </c>
      <c r="D424" s="16"/>
      <c r="E424" s="3"/>
      <c r="F424" s="57"/>
      <c r="G424" s="15" t="str">
        <f t="shared" si="94"/>
        <v/>
      </c>
      <c r="H424" s="65" t="str">
        <f t="shared" si="95"/>
        <v/>
      </c>
      <c r="I424" s="65" t="str">
        <f t="shared" si="96"/>
        <v/>
      </c>
      <c r="O424" s="32" t="str">
        <f t="shared" si="84"/>
        <v/>
      </c>
      <c r="P424" s="21"/>
      <c r="Q424" s="21"/>
      <c r="R424" s="21"/>
      <c r="S424" s="36">
        <f t="shared" si="97"/>
        <v>0</v>
      </c>
      <c r="T424" s="34">
        <f t="shared" si="91"/>
        <v>0</v>
      </c>
      <c r="U424" s="32">
        <f t="shared" si="92"/>
        <v>0</v>
      </c>
      <c r="V424" s="43"/>
      <c r="W424" s="32">
        <f t="shared" si="85"/>
        <v>0</v>
      </c>
      <c r="X424" s="34">
        <f t="shared" si="86"/>
        <v>0</v>
      </c>
      <c r="Y424" s="30">
        <f t="shared" si="87"/>
        <v>0</v>
      </c>
      <c r="Z424" s="34">
        <f t="shared" si="88"/>
        <v>0</v>
      </c>
      <c r="AA424" s="41">
        <f t="shared" si="89"/>
        <v>0</v>
      </c>
      <c r="AB424" s="31">
        <f t="shared" si="90"/>
        <v>0</v>
      </c>
    </row>
    <row r="425" spans="3:28" x14ac:dyDescent="0.7">
      <c r="C425" s="63" t="str">
        <f t="shared" si="93"/>
        <v/>
      </c>
      <c r="D425" s="16"/>
      <c r="E425" s="3"/>
      <c r="F425" s="57"/>
      <c r="G425" s="15" t="str">
        <f t="shared" si="94"/>
        <v/>
      </c>
      <c r="H425" s="65" t="str">
        <f t="shared" si="95"/>
        <v/>
      </c>
      <c r="I425" s="65" t="str">
        <f t="shared" si="96"/>
        <v/>
      </c>
      <c r="O425" s="32" t="str">
        <f t="shared" si="84"/>
        <v/>
      </c>
      <c r="P425" s="21"/>
      <c r="Q425" s="21"/>
      <c r="R425" s="21"/>
      <c r="S425" s="36">
        <f t="shared" si="97"/>
        <v>0</v>
      </c>
      <c r="T425" s="34">
        <f t="shared" si="91"/>
        <v>0</v>
      </c>
      <c r="U425" s="32">
        <f t="shared" si="92"/>
        <v>0</v>
      </c>
      <c r="V425" s="43"/>
      <c r="W425" s="32">
        <f t="shared" si="85"/>
        <v>0</v>
      </c>
      <c r="X425" s="34">
        <f t="shared" si="86"/>
        <v>0</v>
      </c>
      <c r="Y425" s="30">
        <f t="shared" si="87"/>
        <v>0</v>
      </c>
      <c r="Z425" s="34">
        <f t="shared" si="88"/>
        <v>0</v>
      </c>
      <c r="AA425" s="41">
        <f t="shared" si="89"/>
        <v>0</v>
      </c>
      <c r="AB425" s="31">
        <f t="shared" si="90"/>
        <v>0</v>
      </c>
    </row>
    <row r="426" spans="3:28" x14ac:dyDescent="0.7">
      <c r="C426" s="63" t="str">
        <f t="shared" si="93"/>
        <v/>
      </c>
      <c r="D426" s="16"/>
      <c r="E426" s="3"/>
      <c r="F426" s="57"/>
      <c r="G426" s="15" t="str">
        <f t="shared" si="94"/>
        <v/>
      </c>
      <c r="H426" s="65" t="str">
        <f t="shared" si="95"/>
        <v/>
      </c>
      <c r="I426" s="65" t="str">
        <f t="shared" si="96"/>
        <v/>
      </c>
      <c r="O426" s="32" t="str">
        <f t="shared" si="84"/>
        <v/>
      </c>
      <c r="P426" s="21"/>
      <c r="Q426" s="21"/>
      <c r="R426" s="21"/>
      <c r="S426" s="36">
        <f t="shared" si="97"/>
        <v>0</v>
      </c>
      <c r="T426" s="34">
        <f t="shared" si="91"/>
        <v>0</v>
      </c>
      <c r="U426" s="32">
        <f t="shared" si="92"/>
        <v>0</v>
      </c>
      <c r="V426" s="43"/>
      <c r="W426" s="32">
        <f t="shared" si="85"/>
        <v>0</v>
      </c>
      <c r="X426" s="34">
        <f t="shared" si="86"/>
        <v>0</v>
      </c>
      <c r="Y426" s="30">
        <f t="shared" si="87"/>
        <v>0</v>
      </c>
      <c r="Z426" s="34">
        <f t="shared" si="88"/>
        <v>0</v>
      </c>
      <c r="AA426" s="41">
        <f t="shared" si="89"/>
        <v>0</v>
      </c>
      <c r="AB426" s="31">
        <f t="shared" si="90"/>
        <v>0</v>
      </c>
    </row>
    <row r="427" spans="3:28" x14ac:dyDescent="0.7">
      <c r="C427" s="63" t="str">
        <f t="shared" si="93"/>
        <v/>
      </c>
      <c r="D427" s="16"/>
      <c r="E427" s="3"/>
      <c r="F427" s="57"/>
      <c r="G427" s="15" t="str">
        <f t="shared" si="94"/>
        <v/>
      </c>
      <c r="H427" s="65" t="str">
        <f t="shared" si="95"/>
        <v/>
      </c>
      <c r="I427" s="65" t="str">
        <f t="shared" si="96"/>
        <v/>
      </c>
      <c r="O427" s="32" t="str">
        <f t="shared" si="84"/>
        <v/>
      </c>
      <c r="P427" s="21"/>
      <c r="Q427" s="21"/>
      <c r="R427" s="21"/>
      <c r="S427" s="36">
        <f t="shared" si="97"/>
        <v>0</v>
      </c>
      <c r="T427" s="34">
        <f t="shared" si="91"/>
        <v>0</v>
      </c>
      <c r="U427" s="32">
        <f t="shared" si="92"/>
        <v>0</v>
      </c>
      <c r="V427" s="43"/>
      <c r="W427" s="32">
        <f t="shared" si="85"/>
        <v>0</v>
      </c>
      <c r="X427" s="34">
        <f t="shared" si="86"/>
        <v>0</v>
      </c>
      <c r="Y427" s="30">
        <f t="shared" si="87"/>
        <v>0</v>
      </c>
      <c r="Z427" s="34">
        <f t="shared" si="88"/>
        <v>0</v>
      </c>
      <c r="AA427" s="41">
        <f t="shared" si="89"/>
        <v>0</v>
      </c>
      <c r="AB427" s="31">
        <f t="shared" si="90"/>
        <v>0</v>
      </c>
    </row>
    <row r="428" spans="3:28" x14ac:dyDescent="0.7">
      <c r="C428" s="63" t="str">
        <f t="shared" si="93"/>
        <v/>
      </c>
      <c r="D428" s="16"/>
      <c r="E428" s="3"/>
      <c r="F428" s="57"/>
      <c r="G428" s="15" t="str">
        <f t="shared" si="94"/>
        <v/>
      </c>
      <c r="H428" s="65" t="str">
        <f t="shared" si="95"/>
        <v/>
      </c>
      <c r="I428" s="65" t="str">
        <f t="shared" si="96"/>
        <v/>
      </c>
      <c r="O428" s="32" t="str">
        <f t="shared" si="84"/>
        <v/>
      </c>
      <c r="P428" s="21"/>
      <c r="Q428" s="21"/>
      <c r="R428" s="21"/>
      <c r="S428" s="36">
        <f t="shared" si="97"/>
        <v>0</v>
      </c>
      <c r="T428" s="34">
        <f t="shared" si="91"/>
        <v>0</v>
      </c>
      <c r="U428" s="32">
        <f t="shared" si="92"/>
        <v>0</v>
      </c>
      <c r="V428" s="43"/>
      <c r="W428" s="32">
        <f t="shared" si="85"/>
        <v>0</v>
      </c>
      <c r="X428" s="34">
        <f t="shared" si="86"/>
        <v>0</v>
      </c>
      <c r="Y428" s="30">
        <f t="shared" si="87"/>
        <v>0</v>
      </c>
      <c r="Z428" s="34">
        <f t="shared" si="88"/>
        <v>0</v>
      </c>
      <c r="AA428" s="41">
        <f t="shared" si="89"/>
        <v>0</v>
      </c>
      <c r="AB428" s="31">
        <f t="shared" si="90"/>
        <v>0</v>
      </c>
    </row>
    <row r="429" spans="3:28" x14ac:dyDescent="0.7">
      <c r="C429" s="63" t="str">
        <f t="shared" si="93"/>
        <v/>
      </c>
      <c r="D429" s="16"/>
      <c r="E429" s="3"/>
      <c r="F429" s="57"/>
      <c r="G429" s="15" t="str">
        <f t="shared" si="94"/>
        <v/>
      </c>
      <c r="H429" s="65" t="str">
        <f t="shared" si="95"/>
        <v/>
      </c>
      <c r="I429" s="65" t="str">
        <f t="shared" si="96"/>
        <v/>
      </c>
      <c r="O429" s="32" t="str">
        <f t="shared" si="84"/>
        <v/>
      </c>
      <c r="P429" s="21"/>
      <c r="Q429" s="21"/>
      <c r="R429" s="21"/>
      <c r="S429" s="36">
        <f t="shared" si="97"/>
        <v>0</v>
      </c>
      <c r="T429" s="34">
        <f t="shared" si="91"/>
        <v>0</v>
      </c>
      <c r="U429" s="32">
        <f t="shared" si="92"/>
        <v>0</v>
      </c>
      <c r="V429" s="43"/>
      <c r="W429" s="32">
        <f t="shared" si="85"/>
        <v>0</v>
      </c>
      <c r="X429" s="34">
        <f t="shared" si="86"/>
        <v>0</v>
      </c>
      <c r="Y429" s="30">
        <f t="shared" si="87"/>
        <v>0</v>
      </c>
      <c r="Z429" s="34">
        <f t="shared" si="88"/>
        <v>0</v>
      </c>
      <c r="AA429" s="41">
        <f t="shared" si="89"/>
        <v>0</v>
      </c>
      <c r="AB429" s="31">
        <f t="shared" si="90"/>
        <v>0</v>
      </c>
    </row>
    <row r="430" spans="3:28" x14ac:dyDescent="0.7">
      <c r="C430" s="63" t="str">
        <f t="shared" si="93"/>
        <v/>
      </c>
      <c r="D430" s="16"/>
      <c r="E430" s="3"/>
      <c r="F430" s="57"/>
      <c r="G430" s="15" t="str">
        <f t="shared" si="94"/>
        <v/>
      </c>
      <c r="H430" s="65" t="str">
        <f t="shared" si="95"/>
        <v/>
      </c>
      <c r="I430" s="65" t="str">
        <f t="shared" si="96"/>
        <v/>
      </c>
      <c r="O430" s="32" t="str">
        <f t="shared" si="84"/>
        <v/>
      </c>
      <c r="P430" s="21"/>
      <c r="Q430" s="21"/>
      <c r="R430" s="21"/>
      <c r="S430" s="36">
        <f t="shared" si="97"/>
        <v>0</v>
      </c>
      <c r="T430" s="34">
        <f t="shared" si="91"/>
        <v>0</v>
      </c>
      <c r="U430" s="32">
        <f t="shared" si="92"/>
        <v>0</v>
      </c>
      <c r="V430" s="43"/>
      <c r="W430" s="32">
        <f t="shared" si="85"/>
        <v>0</v>
      </c>
      <c r="X430" s="34">
        <f t="shared" si="86"/>
        <v>0</v>
      </c>
      <c r="Y430" s="30">
        <f t="shared" si="87"/>
        <v>0</v>
      </c>
      <c r="Z430" s="34">
        <f t="shared" si="88"/>
        <v>0</v>
      </c>
      <c r="AA430" s="41">
        <f t="shared" si="89"/>
        <v>0</v>
      </c>
      <c r="AB430" s="31">
        <f t="shared" si="90"/>
        <v>0</v>
      </c>
    </row>
    <row r="431" spans="3:28" x14ac:dyDescent="0.7">
      <c r="C431" s="63" t="str">
        <f t="shared" si="93"/>
        <v/>
      </c>
      <c r="D431" s="16"/>
      <c r="E431" s="3"/>
      <c r="F431" s="57"/>
      <c r="G431" s="15" t="str">
        <f t="shared" si="94"/>
        <v/>
      </c>
      <c r="H431" s="65" t="str">
        <f t="shared" si="95"/>
        <v/>
      </c>
      <c r="I431" s="65" t="str">
        <f t="shared" si="96"/>
        <v/>
      </c>
      <c r="O431" s="32" t="str">
        <f t="shared" si="84"/>
        <v/>
      </c>
      <c r="P431" s="21"/>
      <c r="Q431" s="21"/>
      <c r="R431" s="21"/>
      <c r="S431" s="36">
        <f t="shared" si="97"/>
        <v>0</v>
      </c>
      <c r="T431" s="34">
        <f t="shared" si="91"/>
        <v>0</v>
      </c>
      <c r="U431" s="32">
        <f t="shared" si="92"/>
        <v>0</v>
      </c>
      <c r="V431" s="43"/>
      <c r="W431" s="32">
        <f t="shared" si="85"/>
        <v>0</v>
      </c>
      <c r="X431" s="34">
        <f t="shared" si="86"/>
        <v>0</v>
      </c>
      <c r="Y431" s="30">
        <f t="shared" si="87"/>
        <v>0</v>
      </c>
      <c r="Z431" s="34">
        <f t="shared" si="88"/>
        <v>0</v>
      </c>
      <c r="AA431" s="41">
        <f t="shared" si="89"/>
        <v>0</v>
      </c>
      <c r="AB431" s="31">
        <f t="shared" si="90"/>
        <v>0</v>
      </c>
    </row>
    <row r="432" spans="3:28" x14ac:dyDescent="0.7">
      <c r="C432" s="63" t="str">
        <f t="shared" si="93"/>
        <v/>
      </c>
      <c r="D432" s="16"/>
      <c r="E432" s="3"/>
      <c r="F432" s="57"/>
      <c r="G432" s="15" t="str">
        <f t="shared" si="94"/>
        <v/>
      </c>
      <c r="H432" s="65" t="str">
        <f t="shared" si="95"/>
        <v/>
      </c>
      <c r="I432" s="65" t="str">
        <f t="shared" si="96"/>
        <v/>
      </c>
      <c r="O432" s="32" t="str">
        <f t="shared" si="84"/>
        <v/>
      </c>
      <c r="P432" s="21"/>
      <c r="Q432" s="21"/>
      <c r="R432" s="21"/>
      <c r="S432" s="36">
        <f t="shared" si="97"/>
        <v>0</v>
      </c>
      <c r="T432" s="34">
        <f t="shared" si="91"/>
        <v>0</v>
      </c>
      <c r="U432" s="32">
        <f t="shared" si="92"/>
        <v>0</v>
      </c>
      <c r="V432" s="43"/>
      <c r="W432" s="32">
        <f t="shared" si="85"/>
        <v>0</v>
      </c>
      <c r="X432" s="34">
        <f t="shared" si="86"/>
        <v>0</v>
      </c>
      <c r="Y432" s="30">
        <f t="shared" si="87"/>
        <v>0</v>
      </c>
      <c r="Z432" s="34">
        <f t="shared" si="88"/>
        <v>0</v>
      </c>
      <c r="AA432" s="41">
        <f t="shared" si="89"/>
        <v>0</v>
      </c>
      <c r="AB432" s="31">
        <f t="shared" si="90"/>
        <v>0</v>
      </c>
    </row>
    <row r="433" spans="3:28" x14ac:dyDescent="0.7">
      <c r="C433" s="63" t="str">
        <f t="shared" si="93"/>
        <v/>
      </c>
      <c r="D433" s="16"/>
      <c r="E433" s="3"/>
      <c r="F433" s="57"/>
      <c r="G433" s="15" t="str">
        <f t="shared" si="94"/>
        <v/>
      </c>
      <c r="H433" s="65" t="str">
        <f t="shared" si="95"/>
        <v/>
      </c>
      <c r="I433" s="65" t="str">
        <f t="shared" si="96"/>
        <v/>
      </c>
      <c r="O433" s="32" t="str">
        <f t="shared" si="84"/>
        <v/>
      </c>
      <c r="P433" s="21"/>
      <c r="Q433" s="21"/>
      <c r="R433" s="21"/>
      <c r="S433" s="36">
        <f t="shared" si="97"/>
        <v>0</v>
      </c>
      <c r="T433" s="34">
        <f t="shared" si="91"/>
        <v>0</v>
      </c>
      <c r="U433" s="32">
        <f t="shared" si="92"/>
        <v>0</v>
      </c>
      <c r="V433" s="43"/>
      <c r="W433" s="32">
        <f t="shared" si="85"/>
        <v>0</v>
      </c>
      <c r="X433" s="34">
        <f t="shared" si="86"/>
        <v>0</v>
      </c>
      <c r="Y433" s="30">
        <f t="shared" si="87"/>
        <v>0</v>
      </c>
      <c r="Z433" s="34">
        <f t="shared" si="88"/>
        <v>0</v>
      </c>
      <c r="AA433" s="41">
        <f t="shared" si="89"/>
        <v>0</v>
      </c>
      <c r="AB433" s="31">
        <f t="shared" si="90"/>
        <v>0</v>
      </c>
    </row>
    <row r="434" spans="3:28" x14ac:dyDescent="0.7">
      <c r="C434" s="63" t="str">
        <f t="shared" si="93"/>
        <v/>
      </c>
      <c r="D434" s="16"/>
      <c r="E434" s="3"/>
      <c r="F434" s="57"/>
      <c r="G434" s="15" t="str">
        <f t="shared" si="94"/>
        <v/>
      </c>
      <c r="H434" s="65" t="str">
        <f t="shared" si="95"/>
        <v/>
      </c>
      <c r="I434" s="65" t="str">
        <f t="shared" si="96"/>
        <v/>
      </c>
      <c r="O434" s="32" t="str">
        <f t="shared" si="84"/>
        <v/>
      </c>
      <c r="P434" s="21"/>
      <c r="Q434" s="21"/>
      <c r="R434" s="21"/>
      <c r="S434" s="36">
        <f t="shared" si="97"/>
        <v>0</v>
      </c>
      <c r="T434" s="34">
        <f t="shared" si="91"/>
        <v>0</v>
      </c>
      <c r="U434" s="32">
        <f t="shared" si="92"/>
        <v>0</v>
      </c>
      <c r="V434" s="43"/>
      <c r="W434" s="32">
        <f t="shared" si="85"/>
        <v>0</v>
      </c>
      <c r="X434" s="34">
        <f t="shared" si="86"/>
        <v>0</v>
      </c>
      <c r="Y434" s="30">
        <f t="shared" si="87"/>
        <v>0</v>
      </c>
      <c r="Z434" s="34">
        <f t="shared" si="88"/>
        <v>0</v>
      </c>
      <c r="AA434" s="41">
        <f t="shared" si="89"/>
        <v>0</v>
      </c>
      <c r="AB434" s="31">
        <f t="shared" si="90"/>
        <v>0</v>
      </c>
    </row>
    <row r="435" spans="3:28" x14ac:dyDescent="0.7">
      <c r="C435" s="63" t="str">
        <f t="shared" si="93"/>
        <v/>
      </c>
      <c r="D435" s="16"/>
      <c r="E435" s="3"/>
      <c r="F435" s="57"/>
      <c r="G435" s="15" t="str">
        <f t="shared" si="94"/>
        <v/>
      </c>
      <c r="H435" s="65" t="str">
        <f t="shared" si="95"/>
        <v/>
      </c>
      <c r="I435" s="65" t="str">
        <f t="shared" si="96"/>
        <v/>
      </c>
      <c r="O435" s="32" t="str">
        <f t="shared" si="84"/>
        <v/>
      </c>
      <c r="P435" s="21"/>
      <c r="Q435" s="21"/>
      <c r="R435" s="21"/>
      <c r="S435" s="36">
        <f t="shared" si="97"/>
        <v>0</v>
      </c>
      <c r="T435" s="34">
        <f t="shared" si="91"/>
        <v>0</v>
      </c>
      <c r="U435" s="32">
        <f t="shared" si="92"/>
        <v>0</v>
      </c>
      <c r="V435" s="43"/>
      <c r="W435" s="32">
        <f t="shared" si="85"/>
        <v>0</v>
      </c>
      <c r="X435" s="34">
        <f t="shared" si="86"/>
        <v>0</v>
      </c>
      <c r="Y435" s="30">
        <f t="shared" si="87"/>
        <v>0</v>
      </c>
      <c r="Z435" s="34">
        <f t="shared" si="88"/>
        <v>0</v>
      </c>
      <c r="AA435" s="41">
        <f t="shared" si="89"/>
        <v>0</v>
      </c>
      <c r="AB435" s="31">
        <f t="shared" si="90"/>
        <v>0</v>
      </c>
    </row>
    <row r="436" spans="3:28" x14ac:dyDescent="0.7">
      <c r="C436" s="63" t="str">
        <f t="shared" si="93"/>
        <v/>
      </c>
      <c r="D436" s="16"/>
      <c r="E436" s="3"/>
      <c r="F436" s="57"/>
      <c r="G436" s="15" t="str">
        <f t="shared" si="94"/>
        <v/>
      </c>
      <c r="H436" s="65" t="str">
        <f t="shared" si="95"/>
        <v/>
      </c>
      <c r="I436" s="65" t="str">
        <f t="shared" si="96"/>
        <v/>
      </c>
      <c r="O436" s="32" t="str">
        <f t="shared" si="84"/>
        <v/>
      </c>
      <c r="P436" s="21"/>
      <c r="Q436" s="21"/>
      <c r="R436" s="21"/>
      <c r="S436" s="36">
        <f t="shared" si="97"/>
        <v>0</v>
      </c>
      <c r="T436" s="34">
        <f t="shared" si="91"/>
        <v>0</v>
      </c>
      <c r="U436" s="32">
        <f t="shared" si="92"/>
        <v>0</v>
      </c>
      <c r="V436" s="43"/>
      <c r="W436" s="32">
        <f t="shared" si="85"/>
        <v>0</v>
      </c>
      <c r="X436" s="34">
        <f t="shared" si="86"/>
        <v>0</v>
      </c>
      <c r="Y436" s="30">
        <f t="shared" si="87"/>
        <v>0</v>
      </c>
      <c r="Z436" s="34">
        <f t="shared" si="88"/>
        <v>0</v>
      </c>
      <c r="AA436" s="41">
        <f t="shared" si="89"/>
        <v>0</v>
      </c>
      <c r="AB436" s="31">
        <f t="shared" si="90"/>
        <v>0</v>
      </c>
    </row>
    <row r="437" spans="3:28" x14ac:dyDescent="0.7">
      <c r="C437" s="63" t="str">
        <f t="shared" si="93"/>
        <v/>
      </c>
      <c r="D437" s="16"/>
      <c r="E437" s="3"/>
      <c r="F437" s="57"/>
      <c r="G437" s="15" t="str">
        <f t="shared" si="94"/>
        <v/>
      </c>
      <c r="H437" s="65" t="str">
        <f t="shared" si="95"/>
        <v/>
      </c>
      <c r="I437" s="65" t="str">
        <f t="shared" si="96"/>
        <v/>
      </c>
      <c r="O437" s="32" t="str">
        <f t="shared" si="84"/>
        <v/>
      </c>
      <c r="P437" s="21"/>
      <c r="Q437" s="21"/>
      <c r="R437" s="21"/>
      <c r="S437" s="36">
        <f t="shared" si="97"/>
        <v>0</v>
      </c>
      <c r="T437" s="34">
        <f t="shared" si="91"/>
        <v>0</v>
      </c>
      <c r="U437" s="32">
        <f t="shared" si="92"/>
        <v>0</v>
      </c>
      <c r="V437" s="43"/>
      <c r="W437" s="32">
        <f t="shared" si="85"/>
        <v>0</v>
      </c>
      <c r="X437" s="34">
        <f t="shared" si="86"/>
        <v>0</v>
      </c>
      <c r="Y437" s="30">
        <f t="shared" si="87"/>
        <v>0</v>
      </c>
      <c r="Z437" s="34">
        <f t="shared" si="88"/>
        <v>0</v>
      </c>
      <c r="AA437" s="41">
        <f t="shared" si="89"/>
        <v>0</v>
      </c>
      <c r="AB437" s="31">
        <f t="shared" si="90"/>
        <v>0</v>
      </c>
    </row>
    <row r="438" spans="3:28" x14ac:dyDescent="0.7">
      <c r="C438" s="63" t="str">
        <f t="shared" si="93"/>
        <v/>
      </c>
      <c r="D438" s="16"/>
      <c r="E438" s="3"/>
      <c r="F438" s="57"/>
      <c r="G438" s="15" t="str">
        <f t="shared" si="94"/>
        <v/>
      </c>
      <c r="H438" s="65" t="str">
        <f t="shared" si="95"/>
        <v/>
      </c>
      <c r="I438" s="65" t="str">
        <f t="shared" si="96"/>
        <v/>
      </c>
      <c r="O438" s="32" t="str">
        <f t="shared" si="84"/>
        <v/>
      </c>
      <c r="P438" s="21"/>
      <c r="Q438" s="21"/>
      <c r="R438" s="21"/>
      <c r="S438" s="36">
        <f t="shared" si="97"/>
        <v>0</v>
      </c>
      <c r="T438" s="34">
        <f t="shared" si="91"/>
        <v>0</v>
      </c>
      <c r="U438" s="32">
        <f t="shared" si="92"/>
        <v>0</v>
      </c>
      <c r="V438" s="43"/>
      <c r="W438" s="32">
        <f t="shared" si="85"/>
        <v>0</v>
      </c>
      <c r="X438" s="34">
        <f t="shared" si="86"/>
        <v>0</v>
      </c>
      <c r="Y438" s="30">
        <f t="shared" si="87"/>
        <v>0</v>
      </c>
      <c r="Z438" s="34">
        <f t="shared" si="88"/>
        <v>0</v>
      </c>
      <c r="AA438" s="41">
        <f t="shared" si="89"/>
        <v>0</v>
      </c>
      <c r="AB438" s="31">
        <f t="shared" si="90"/>
        <v>0</v>
      </c>
    </row>
    <row r="439" spans="3:28" x14ac:dyDescent="0.7">
      <c r="C439" s="63" t="str">
        <f t="shared" si="93"/>
        <v/>
      </c>
      <c r="D439" s="16"/>
      <c r="E439" s="3"/>
      <c r="F439" s="57"/>
      <c r="G439" s="15" t="str">
        <f t="shared" si="94"/>
        <v/>
      </c>
      <c r="H439" s="65" t="str">
        <f t="shared" si="95"/>
        <v/>
      </c>
      <c r="I439" s="65" t="str">
        <f t="shared" si="96"/>
        <v/>
      </c>
      <c r="O439" s="32" t="str">
        <f t="shared" si="84"/>
        <v/>
      </c>
      <c r="P439" s="21"/>
      <c r="Q439" s="21"/>
      <c r="R439" s="21"/>
      <c r="S439" s="36">
        <f t="shared" si="97"/>
        <v>0</v>
      </c>
      <c r="T439" s="34">
        <f t="shared" si="91"/>
        <v>0</v>
      </c>
      <c r="U439" s="32">
        <f t="shared" si="92"/>
        <v>0</v>
      </c>
      <c r="V439" s="43"/>
      <c r="W439" s="32">
        <f t="shared" si="85"/>
        <v>0</v>
      </c>
      <c r="X439" s="34">
        <f t="shared" si="86"/>
        <v>0</v>
      </c>
      <c r="Y439" s="30">
        <f t="shared" si="87"/>
        <v>0</v>
      </c>
      <c r="Z439" s="34">
        <f t="shared" si="88"/>
        <v>0</v>
      </c>
      <c r="AA439" s="41">
        <f t="shared" si="89"/>
        <v>0</v>
      </c>
      <c r="AB439" s="31">
        <f t="shared" si="90"/>
        <v>0</v>
      </c>
    </row>
    <row r="440" spans="3:28" x14ac:dyDescent="0.7">
      <c r="C440" s="63" t="str">
        <f t="shared" si="93"/>
        <v/>
      </c>
      <c r="D440" s="16"/>
      <c r="E440" s="3"/>
      <c r="F440" s="57"/>
      <c r="G440" s="15" t="str">
        <f t="shared" si="94"/>
        <v/>
      </c>
      <c r="H440" s="65" t="str">
        <f t="shared" si="95"/>
        <v/>
      </c>
      <c r="I440" s="65" t="str">
        <f t="shared" si="96"/>
        <v/>
      </c>
      <c r="O440" s="32" t="str">
        <f t="shared" si="84"/>
        <v/>
      </c>
      <c r="P440" s="21"/>
      <c r="Q440" s="21"/>
      <c r="R440" s="21"/>
      <c r="S440" s="36">
        <f t="shared" si="97"/>
        <v>0</v>
      </c>
      <c r="T440" s="34">
        <f t="shared" si="91"/>
        <v>0</v>
      </c>
      <c r="U440" s="32">
        <f t="shared" si="92"/>
        <v>0</v>
      </c>
      <c r="V440" s="43"/>
      <c r="W440" s="32">
        <f t="shared" si="85"/>
        <v>0</v>
      </c>
      <c r="X440" s="34">
        <f t="shared" si="86"/>
        <v>0</v>
      </c>
      <c r="Y440" s="30">
        <f t="shared" si="87"/>
        <v>0</v>
      </c>
      <c r="Z440" s="34">
        <f t="shared" si="88"/>
        <v>0</v>
      </c>
      <c r="AA440" s="41">
        <f t="shared" si="89"/>
        <v>0</v>
      </c>
      <c r="AB440" s="31">
        <f t="shared" si="90"/>
        <v>0</v>
      </c>
    </row>
    <row r="441" spans="3:28" x14ac:dyDescent="0.7">
      <c r="C441" s="63" t="str">
        <f t="shared" si="93"/>
        <v/>
      </c>
      <c r="D441" s="16"/>
      <c r="E441" s="3"/>
      <c r="F441" s="57"/>
      <c r="G441" s="15" t="str">
        <f t="shared" si="94"/>
        <v/>
      </c>
      <c r="H441" s="65" t="str">
        <f t="shared" si="95"/>
        <v/>
      </c>
      <c r="I441" s="65" t="str">
        <f t="shared" si="96"/>
        <v/>
      </c>
      <c r="O441" s="32" t="str">
        <f t="shared" si="84"/>
        <v/>
      </c>
      <c r="P441" s="21"/>
      <c r="Q441" s="21"/>
      <c r="R441" s="21"/>
      <c r="S441" s="36">
        <f t="shared" si="97"/>
        <v>0</v>
      </c>
      <c r="T441" s="34">
        <f t="shared" si="91"/>
        <v>0</v>
      </c>
      <c r="U441" s="32">
        <f t="shared" si="92"/>
        <v>0</v>
      </c>
      <c r="V441" s="43"/>
      <c r="W441" s="32">
        <f t="shared" si="85"/>
        <v>0</v>
      </c>
      <c r="X441" s="34">
        <f t="shared" si="86"/>
        <v>0</v>
      </c>
      <c r="Y441" s="30">
        <f t="shared" si="87"/>
        <v>0</v>
      </c>
      <c r="Z441" s="34">
        <f t="shared" si="88"/>
        <v>0</v>
      </c>
      <c r="AA441" s="41">
        <f t="shared" si="89"/>
        <v>0</v>
      </c>
      <c r="AB441" s="31">
        <f t="shared" si="90"/>
        <v>0</v>
      </c>
    </row>
    <row r="442" spans="3:28" x14ac:dyDescent="0.7">
      <c r="C442" s="63" t="str">
        <f t="shared" si="93"/>
        <v/>
      </c>
      <c r="D442" s="16"/>
      <c r="E442" s="3"/>
      <c r="F442" s="57"/>
      <c r="G442" s="15" t="str">
        <f t="shared" si="94"/>
        <v/>
      </c>
      <c r="H442" s="65" t="str">
        <f t="shared" si="95"/>
        <v/>
      </c>
      <c r="I442" s="65" t="str">
        <f t="shared" si="96"/>
        <v/>
      </c>
      <c r="O442" s="32" t="str">
        <f t="shared" si="84"/>
        <v/>
      </c>
      <c r="P442" s="21"/>
      <c r="Q442" s="21"/>
      <c r="R442" s="21"/>
      <c r="S442" s="36">
        <f t="shared" si="97"/>
        <v>0</v>
      </c>
      <c r="T442" s="34">
        <f t="shared" si="91"/>
        <v>0</v>
      </c>
      <c r="U442" s="32">
        <f t="shared" si="92"/>
        <v>0</v>
      </c>
      <c r="V442" s="43"/>
      <c r="W442" s="32">
        <f t="shared" si="85"/>
        <v>0</v>
      </c>
      <c r="X442" s="34">
        <f t="shared" si="86"/>
        <v>0</v>
      </c>
      <c r="Y442" s="30">
        <f t="shared" si="87"/>
        <v>0</v>
      </c>
      <c r="Z442" s="34">
        <f t="shared" si="88"/>
        <v>0</v>
      </c>
      <c r="AA442" s="41">
        <f t="shared" si="89"/>
        <v>0</v>
      </c>
      <c r="AB442" s="31">
        <f t="shared" si="90"/>
        <v>0</v>
      </c>
    </row>
    <row r="443" spans="3:28" x14ac:dyDescent="0.7">
      <c r="C443" s="63" t="str">
        <f t="shared" si="93"/>
        <v/>
      </c>
      <c r="D443" s="16"/>
      <c r="E443" s="3"/>
      <c r="F443" s="57"/>
      <c r="G443" s="15" t="str">
        <f t="shared" si="94"/>
        <v/>
      </c>
      <c r="H443" s="65" t="str">
        <f t="shared" si="95"/>
        <v/>
      </c>
      <c r="I443" s="65" t="str">
        <f t="shared" si="96"/>
        <v/>
      </c>
      <c r="O443" s="32" t="str">
        <f t="shared" si="84"/>
        <v/>
      </c>
      <c r="P443" s="21"/>
      <c r="Q443" s="21"/>
      <c r="R443" s="21"/>
      <c r="S443" s="36">
        <f t="shared" si="97"/>
        <v>0</v>
      </c>
      <c r="T443" s="34">
        <f t="shared" si="91"/>
        <v>0</v>
      </c>
      <c r="U443" s="32">
        <f t="shared" si="92"/>
        <v>0</v>
      </c>
      <c r="V443" s="43"/>
      <c r="W443" s="32">
        <f t="shared" si="85"/>
        <v>0</v>
      </c>
      <c r="X443" s="34">
        <f t="shared" si="86"/>
        <v>0</v>
      </c>
      <c r="Y443" s="30">
        <f t="shared" si="87"/>
        <v>0</v>
      </c>
      <c r="Z443" s="34">
        <f t="shared" si="88"/>
        <v>0</v>
      </c>
      <c r="AA443" s="41">
        <f t="shared" si="89"/>
        <v>0</v>
      </c>
      <c r="AB443" s="31">
        <f t="shared" si="90"/>
        <v>0</v>
      </c>
    </row>
    <row r="444" spans="3:28" x14ac:dyDescent="0.7">
      <c r="C444" s="63" t="str">
        <f t="shared" si="93"/>
        <v/>
      </c>
      <c r="D444" s="16"/>
      <c r="E444" s="3"/>
      <c r="F444" s="57"/>
      <c r="G444" s="15" t="str">
        <f t="shared" si="94"/>
        <v/>
      </c>
      <c r="H444" s="65" t="str">
        <f t="shared" si="95"/>
        <v/>
      </c>
      <c r="I444" s="65" t="str">
        <f t="shared" si="96"/>
        <v/>
      </c>
      <c r="O444" s="32" t="str">
        <f t="shared" si="84"/>
        <v/>
      </c>
      <c r="P444" s="21"/>
      <c r="Q444" s="21"/>
      <c r="R444" s="21"/>
      <c r="S444" s="36">
        <f t="shared" si="97"/>
        <v>0</v>
      </c>
      <c r="T444" s="34">
        <f t="shared" si="91"/>
        <v>0</v>
      </c>
      <c r="U444" s="32">
        <f t="shared" si="92"/>
        <v>0</v>
      </c>
      <c r="V444" s="43"/>
      <c r="W444" s="32">
        <f t="shared" si="85"/>
        <v>0</v>
      </c>
      <c r="X444" s="34">
        <f t="shared" si="86"/>
        <v>0</v>
      </c>
      <c r="Y444" s="30">
        <f t="shared" si="87"/>
        <v>0</v>
      </c>
      <c r="Z444" s="34">
        <f t="shared" si="88"/>
        <v>0</v>
      </c>
      <c r="AA444" s="41">
        <f t="shared" si="89"/>
        <v>0</v>
      </c>
      <c r="AB444" s="31">
        <f t="shared" si="90"/>
        <v>0</v>
      </c>
    </row>
    <row r="445" spans="3:28" x14ac:dyDescent="0.7">
      <c r="C445" s="63" t="str">
        <f t="shared" si="93"/>
        <v/>
      </c>
      <c r="D445" s="16"/>
      <c r="E445" s="3"/>
      <c r="F445" s="57"/>
      <c r="G445" s="15" t="str">
        <f t="shared" si="94"/>
        <v/>
      </c>
      <c r="H445" s="65" t="str">
        <f t="shared" si="95"/>
        <v/>
      </c>
      <c r="I445" s="65" t="str">
        <f t="shared" si="96"/>
        <v/>
      </c>
      <c r="O445" s="32" t="str">
        <f t="shared" si="84"/>
        <v/>
      </c>
      <c r="P445" s="21"/>
      <c r="Q445" s="21"/>
      <c r="R445" s="21"/>
      <c r="S445" s="36">
        <f t="shared" si="97"/>
        <v>0</v>
      </c>
      <c r="T445" s="34">
        <f t="shared" si="91"/>
        <v>0</v>
      </c>
      <c r="U445" s="32">
        <f t="shared" si="92"/>
        <v>0</v>
      </c>
      <c r="V445" s="43"/>
      <c r="W445" s="32">
        <f t="shared" si="85"/>
        <v>0</v>
      </c>
      <c r="X445" s="34">
        <f t="shared" si="86"/>
        <v>0</v>
      </c>
      <c r="Y445" s="30">
        <f t="shared" si="87"/>
        <v>0</v>
      </c>
      <c r="Z445" s="34">
        <f t="shared" si="88"/>
        <v>0</v>
      </c>
      <c r="AA445" s="41">
        <f t="shared" si="89"/>
        <v>0</v>
      </c>
      <c r="AB445" s="31">
        <f t="shared" si="90"/>
        <v>0</v>
      </c>
    </row>
    <row r="446" spans="3:28" x14ac:dyDescent="0.7">
      <c r="C446" s="63" t="str">
        <f t="shared" si="93"/>
        <v/>
      </c>
      <c r="D446" s="16"/>
      <c r="E446" s="3"/>
      <c r="F446" s="57"/>
      <c r="G446" s="15" t="str">
        <f t="shared" si="94"/>
        <v/>
      </c>
      <c r="H446" s="65" t="str">
        <f t="shared" si="95"/>
        <v/>
      </c>
      <c r="I446" s="65" t="str">
        <f t="shared" si="96"/>
        <v/>
      </c>
      <c r="O446" s="32" t="str">
        <f t="shared" si="84"/>
        <v/>
      </c>
      <c r="P446" s="21"/>
      <c r="Q446" s="21"/>
      <c r="R446" s="21"/>
      <c r="S446" s="36">
        <f t="shared" si="97"/>
        <v>0</v>
      </c>
      <c r="T446" s="34">
        <f t="shared" si="91"/>
        <v>0</v>
      </c>
      <c r="U446" s="32">
        <f t="shared" si="92"/>
        <v>0</v>
      </c>
      <c r="V446" s="43"/>
      <c r="W446" s="32">
        <f t="shared" si="85"/>
        <v>0</v>
      </c>
      <c r="X446" s="34">
        <f t="shared" si="86"/>
        <v>0</v>
      </c>
      <c r="Y446" s="30">
        <f t="shared" si="87"/>
        <v>0</v>
      </c>
      <c r="Z446" s="34">
        <f t="shared" si="88"/>
        <v>0</v>
      </c>
      <c r="AA446" s="41">
        <f t="shared" si="89"/>
        <v>0</v>
      </c>
      <c r="AB446" s="31">
        <f t="shared" si="90"/>
        <v>0</v>
      </c>
    </row>
    <row r="447" spans="3:28" x14ac:dyDescent="0.7">
      <c r="C447" s="63" t="str">
        <f t="shared" si="93"/>
        <v/>
      </c>
      <c r="D447" s="16"/>
      <c r="E447" s="3"/>
      <c r="F447" s="57"/>
      <c r="G447" s="15" t="str">
        <f t="shared" si="94"/>
        <v/>
      </c>
      <c r="H447" s="65" t="str">
        <f t="shared" si="95"/>
        <v/>
      </c>
      <c r="I447" s="65" t="str">
        <f t="shared" si="96"/>
        <v/>
      </c>
      <c r="O447" s="32" t="str">
        <f t="shared" si="84"/>
        <v/>
      </c>
      <c r="P447" s="21"/>
      <c r="Q447" s="21"/>
      <c r="R447" s="21"/>
      <c r="S447" s="36">
        <f t="shared" si="97"/>
        <v>0</v>
      </c>
      <c r="T447" s="34">
        <f t="shared" si="91"/>
        <v>0</v>
      </c>
      <c r="U447" s="32">
        <f t="shared" si="92"/>
        <v>0</v>
      </c>
      <c r="V447" s="43"/>
      <c r="W447" s="32">
        <f t="shared" si="85"/>
        <v>0</v>
      </c>
      <c r="X447" s="34">
        <f t="shared" si="86"/>
        <v>0</v>
      </c>
      <c r="Y447" s="30">
        <f t="shared" si="87"/>
        <v>0</v>
      </c>
      <c r="Z447" s="34">
        <f t="shared" si="88"/>
        <v>0</v>
      </c>
      <c r="AA447" s="41">
        <f t="shared" si="89"/>
        <v>0</v>
      </c>
      <c r="AB447" s="31">
        <f t="shared" si="90"/>
        <v>0</v>
      </c>
    </row>
    <row r="448" spans="3:28" x14ac:dyDescent="0.7">
      <c r="C448" s="63" t="str">
        <f t="shared" si="93"/>
        <v/>
      </c>
      <c r="D448" s="16"/>
      <c r="E448" s="3"/>
      <c r="F448" s="57"/>
      <c r="G448" s="15" t="str">
        <f t="shared" si="94"/>
        <v/>
      </c>
      <c r="H448" s="65" t="str">
        <f t="shared" si="95"/>
        <v/>
      </c>
      <c r="I448" s="65" t="str">
        <f t="shared" si="96"/>
        <v/>
      </c>
      <c r="O448" s="32" t="str">
        <f t="shared" si="84"/>
        <v/>
      </c>
      <c r="P448" s="21"/>
      <c r="Q448" s="21"/>
      <c r="R448" s="21"/>
      <c r="S448" s="36">
        <f t="shared" si="97"/>
        <v>0</v>
      </c>
      <c r="T448" s="34">
        <f t="shared" si="91"/>
        <v>0</v>
      </c>
      <c r="U448" s="32">
        <f t="shared" si="92"/>
        <v>0</v>
      </c>
      <c r="V448" s="43"/>
      <c r="W448" s="32">
        <f t="shared" si="85"/>
        <v>0</v>
      </c>
      <c r="X448" s="34">
        <f t="shared" si="86"/>
        <v>0</v>
      </c>
      <c r="Y448" s="30">
        <f t="shared" si="87"/>
        <v>0</v>
      </c>
      <c r="Z448" s="34">
        <f t="shared" si="88"/>
        <v>0</v>
      </c>
      <c r="AA448" s="41">
        <f t="shared" si="89"/>
        <v>0</v>
      </c>
      <c r="AB448" s="31">
        <f t="shared" si="90"/>
        <v>0</v>
      </c>
    </row>
    <row r="449" spans="3:28" x14ac:dyDescent="0.7">
      <c r="C449" s="63" t="str">
        <f t="shared" si="93"/>
        <v/>
      </c>
      <c r="D449" s="16"/>
      <c r="E449" s="3"/>
      <c r="F449" s="57"/>
      <c r="G449" s="15" t="str">
        <f t="shared" si="94"/>
        <v/>
      </c>
      <c r="H449" s="65" t="str">
        <f t="shared" si="95"/>
        <v/>
      </c>
      <c r="I449" s="65" t="str">
        <f t="shared" si="96"/>
        <v/>
      </c>
      <c r="O449" s="32" t="str">
        <f t="shared" si="84"/>
        <v/>
      </c>
      <c r="P449" s="21"/>
      <c r="Q449" s="21"/>
      <c r="R449" s="21"/>
      <c r="S449" s="36">
        <f t="shared" si="97"/>
        <v>0</v>
      </c>
      <c r="T449" s="34">
        <f t="shared" si="91"/>
        <v>0</v>
      </c>
      <c r="U449" s="32">
        <f t="shared" si="92"/>
        <v>0</v>
      </c>
      <c r="V449" s="43"/>
      <c r="W449" s="32">
        <f t="shared" si="85"/>
        <v>0</v>
      </c>
      <c r="X449" s="34">
        <f t="shared" si="86"/>
        <v>0</v>
      </c>
      <c r="Y449" s="30">
        <f t="shared" si="87"/>
        <v>0</v>
      </c>
      <c r="Z449" s="34">
        <f t="shared" si="88"/>
        <v>0</v>
      </c>
      <c r="AA449" s="41">
        <f t="shared" si="89"/>
        <v>0</v>
      </c>
      <c r="AB449" s="31">
        <f t="shared" si="90"/>
        <v>0</v>
      </c>
    </row>
    <row r="450" spans="3:28" x14ac:dyDescent="0.7">
      <c r="C450" s="63" t="str">
        <f t="shared" si="93"/>
        <v/>
      </c>
      <c r="D450" s="16"/>
      <c r="E450" s="3"/>
      <c r="F450" s="57"/>
      <c r="G450" s="15" t="str">
        <f t="shared" si="94"/>
        <v/>
      </c>
      <c r="H450" s="65" t="str">
        <f t="shared" si="95"/>
        <v/>
      </c>
      <c r="I450" s="65" t="str">
        <f t="shared" si="96"/>
        <v/>
      </c>
      <c r="O450" s="32" t="str">
        <f t="shared" si="84"/>
        <v/>
      </c>
      <c r="P450" s="21"/>
      <c r="Q450" s="21"/>
      <c r="R450" s="21"/>
      <c r="S450" s="36">
        <f t="shared" si="97"/>
        <v>0</v>
      </c>
      <c r="T450" s="34">
        <f t="shared" si="91"/>
        <v>0</v>
      </c>
      <c r="U450" s="32">
        <f t="shared" si="92"/>
        <v>0</v>
      </c>
      <c r="V450" s="43"/>
      <c r="W450" s="32">
        <f t="shared" si="85"/>
        <v>0</v>
      </c>
      <c r="X450" s="34">
        <f t="shared" si="86"/>
        <v>0</v>
      </c>
      <c r="Y450" s="30">
        <f t="shared" si="87"/>
        <v>0</v>
      </c>
      <c r="Z450" s="34">
        <f t="shared" si="88"/>
        <v>0</v>
      </c>
      <c r="AA450" s="41">
        <f t="shared" si="89"/>
        <v>0</v>
      </c>
      <c r="AB450" s="31">
        <f t="shared" si="90"/>
        <v>0</v>
      </c>
    </row>
    <row r="451" spans="3:28" x14ac:dyDescent="0.7">
      <c r="C451" s="63" t="str">
        <f t="shared" si="93"/>
        <v/>
      </c>
      <c r="D451" s="16"/>
      <c r="E451" s="3"/>
      <c r="F451" s="57"/>
      <c r="G451" s="15" t="str">
        <f t="shared" si="94"/>
        <v/>
      </c>
      <c r="H451" s="65" t="str">
        <f t="shared" si="95"/>
        <v/>
      </c>
      <c r="I451" s="65" t="str">
        <f t="shared" si="96"/>
        <v/>
      </c>
      <c r="O451" s="32" t="str">
        <f t="shared" si="84"/>
        <v/>
      </c>
      <c r="P451" s="21"/>
      <c r="Q451" s="21"/>
      <c r="R451" s="21"/>
      <c r="S451" s="36">
        <f t="shared" si="97"/>
        <v>0</v>
      </c>
      <c r="T451" s="34">
        <f t="shared" si="91"/>
        <v>0</v>
      </c>
      <c r="U451" s="32">
        <f t="shared" si="92"/>
        <v>0</v>
      </c>
      <c r="V451" s="43"/>
      <c r="W451" s="32">
        <f t="shared" si="85"/>
        <v>0</v>
      </c>
      <c r="X451" s="34">
        <f t="shared" si="86"/>
        <v>0</v>
      </c>
      <c r="Y451" s="30">
        <f t="shared" si="87"/>
        <v>0</v>
      </c>
      <c r="Z451" s="34">
        <f t="shared" si="88"/>
        <v>0</v>
      </c>
      <c r="AA451" s="41">
        <f t="shared" si="89"/>
        <v>0</v>
      </c>
      <c r="AB451" s="31">
        <f t="shared" si="90"/>
        <v>0</v>
      </c>
    </row>
    <row r="452" spans="3:28" x14ac:dyDescent="0.7">
      <c r="C452" s="63" t="str">
        <f t="shared" si="93"/>
        <v/>
      </c>
      <c r="D452" s="16"/>
      <c r="E452" s="3"/>
      <c r="F452" s="57"/>
      <c r="G452" s="15" t="str">
        <f t="shared" si="94"/>
        <v/>
      </c>
      <c r="H452" s="65" t="str">
        <f t="shared" si="95"/>
        <v/>
      </c>
      <c r="I452" s="65" t="str">
        <f t="shared" si="96"/>
        <v/>
      </c>
      <c r="O452" s="32" t="str">
        <f t="shared" si="84"/>
        <v/>
      </c>
      <c r="P452" s="21"/>
      <c r="Q452" s="21"/>
      <c r="R452" s="21"/>
      <c r="S452" s="36">
        <f t="shared" si="97"/>
        <v>0</v>
      </c>
      <c r="T452" s="34">
        <f t="shared" si="91"/>
        <v>0</v>
      </c>
      <c r="U452" s="32">
        <f t="shared" si="92"/>
        <v>0</v>
      </c>
      <c r="V452" s="43"/>
      <c r="W452" s="32">
        <f t="shared" si="85"/>
        <v>0</v>
      </c>
      <c r="X452" s="34">
        <f t="shared" si="86"/>
        <v>0</v>
      </c>
      <c r="Y452" s="30">
        <f t="shared" si="87"/>
        <v>0</v>
      </c>
      <c r="Z452" s="34">
        <f t="shared" si="88"/>
        <v>0</v>
      </c>
      <c r="AA452" s="41">
        <f t="shared" si="89"/>
        <v>0</v>
      </c>
      <c r="AB452" s="31">
        <f t="shared" si="90"/>
        <v>0</v>
      </c>
    </row>
    <row r="453" spans="3:28" x14ac:dyDescent="0.7">
      <c r="C453" s="63" t="str">
        <f t="shared" si="93"/>
        <v/>
      </c>
      <c r="D453" s="16"/>
      <c r="E453" s="3"/>
      <c r="F453" s="57"/>
      <c r="G453" s="15" t="str">
        <f t="shared" si="94"/>
        <v/>
      </c>
      <c r="H453" s="65" t="str">
        <f t="shared" si="95"/>
        <v/>
      </c>
      <c r="I453" s="65" t="str">
        <f t="shared" si="96"/>
        <v/>
      </c>
      <c r="O453" s="32" t="str">
        <f t="shared" si="84"/>
        <v/>
      </c>
      <c r="P453" s="21"/>
      <c r="Q453" s="21"/>
      <c r="R453" s="21"/>
      <c r="S453" s="36">
        <f t="shared" si="97"/>
        <v>0</v>
      </c>
      <c r="T453" s="34">
        <f t="shared" si="91"/>
        <v>0</v>
      </c>
      <c r="U453" s="32">
        <f t="shared" si="92"/>
        <v>0</v>
      </c>
      <c r="V453" s="43"/>
      <c r="W453" s="32">
        <f t="shared" si="85"/>
        <v>0</v>
      </c>
      <c r="X453" s="34">
        <f t="shared" si="86"/>
        <v>0</v>
      </c>
      <c r="Y453" s="30">
        <f t="shared" si="87"/>
        <v>0</v>
      </c>
      <c r="Z453" s="34">
        <f t="shared" si="88"/>
        <v>0</v>
      </c>
      <c r="AA453" s="41">
        <f t="shared" si="89"/>
        <v>0</v>
      </c>
      <c r="AB453" s="31">
        <f t="shared" si="90"/>
        <v>0</v>
      </c>
    </row>
    <row r="454" spans="3:28" x14ac:dyDescent="0.7">
      <c r="C454" s="63" t="str">
        <f t="shared" si="93"/>
        <v/>
      </c>
      <c r="D454" s="16"/>
      <c r="E454" s="3"/>
      <c r="F454" s="57"/>
      <c r="G454" s="15" t="str">
        <f t="shared" si="94"/>
        <v/>
      </c>
      <c r="H454" s="65" t="str">
        <f t="shared" si="95"/>
        <v/>
      </c>
      <c r="I454" s="65" t="str">
        <f t="shared" si="96"/>
        <v/>
      </c>
      <c r="O454" s="32" t="str">
        <f t="shared" si="84"/>
        <v/>
      </c>
      <c r="P454" s="21"/>
      <c r="Q454" s="21"/>
      <c r="R454" s="21"/>
      <c r="S454" s="36">
        <f t="shared" si="97"/>
        <v>0</v>
      </c>
      <c r="T454" s="34">
        <f t="shared" si="91"/>
        <v>0</v>
      </c>
      <c r="U454" s="32">
        <f t="shared" si="92"/>
        <v>0</v>
      </c>
      <c r="V454" s="43"/>
      <c r="W454" s="32">
        <f t="shared" si="85"/>
        <v>0</v>
      </c>
      <c r="X454" s="34">
        <f t="shared" si="86"/>
        <v>0</v>
      </c>
      <c r="Y454" s="30">
        <f t="shared" si="87"/>
        <v>0</v>
      </c>
      <c r="Z454" s="34">
        <f t="shared" si="88"/>
        <v>0</v>
      </c>
      <c r="AA454" s="41">
        <f t="shared" si="89"/>
        <v>0</v>
      </c>
      <c r="AB454" s="31">
        <f t="shared" si="90"/>
        <v>0</v>
      </c>
    </row>
    <row r="455" spans="3:28" x14ac:dyDescent="0.7">
      <c r="C455" s="63" t="str">
        <f t="shared" si="93"/>
        <v/>
      </c>
      <c r="D455" s="16"/>
      <c r="E455" s="3"/>
      <c r="F455" s="57"/>
      <c r="G455" s="15" t="str">
        <f t="shared" si="94"/>
        <v/>
      </c>
      <c r="H455" s="65" t="str">
        <f t="shared" si="95"/>
        <v/>
      </c>
      <c r="I455" s="65" t="str">
        <f t="shared" si="96"/>
        <v/>
      </c>
      <c r="O455" s="32" t="str">
        <f t="shared" si="84"/>
        <v/>
      </c>
      <c r="P455" s="21"/>
      <c r="Q455" s="21"/>
      <c r="R455" s="21"/>
      <c r="S455" s="36">
        <f t="shared" si="97"/>
        <v>0</v>
      </c>
      <c r="T455" s="34">
        <f t="shared" si="91"/>
        <v>0</v>
      </c>
      <c r="U455" s="32">
        <f t="shared" si="92"/>
        <v>0</v>
      </c>
      <c r="V455" s="43"/>
      <c r="W455" s="32">
        <f t="shared" si="85"/>
        <v>0</v>
      </c>
      <c r="X455" s="34">
        <f t="shared" si="86"/>
        <v>0</v>
      </c>
      <c r="Y455" s="30">
        <f t="shared" si="87"/>
        <v>0</v>
      </c>
      <c r="Z455" s="34">
        <f t="shared" si="88"/>
        <v>0</v>
      </c>
      <c r="AA455" s="41">
        <f t="shared" si="89"/>
        <v>0</v>
      </c>
      <c r="AB455" s="31">
        <f t="shared" si="90"/>
        <v>0</v>
      </c>
    </row>
    <row r="456" spans="3:28" x14ac:dyDescent="0.7">
      <c r="C456" s="63" t="str">
        <f t="shared" si="93"/>
        <v/>
      </c>
      <c r="D456" s="16"/>
      <c r="E456" s="3"/>
      <c r="F456" s="57"/>
      <c r="G456" s="15" t="str">
        <f t="shared" si="94"/>
        <v/>
      </c>
      <c r="H456" s="65" t="str">
        <f t="shared" si="95"/>
        <v/>
      </c>
      <c r="I456" s="65" t="str">
        <f t="shared" si="96"/>
        <v/>
      </c>
      <c r="O456" s="32" t="str">
        <f t="shared" ref="O456:O519" si="98">IF(P456="","",ROW()-ROW($O$6))</f>
        <v/>
      </c>
      <c r="P456" s="21"/>
      <c r="Q456" s="21"/>
      <c r="R456" s="21"/>
      <c r="S456" s="36">
        <f t="shared" si="97"/>
        <v>0</v>
      </c>
      <c r="T456" s="34">
        <f t="shared" si="91"/>
        <v>0</v>
      </c>
      <c r="U456" s="32">
        <f t="shared" si="92"/>
        <v>0</v>
      </c>
      <c r="V456" s="43"/>
      <c r="W456" s="32">
        <f t="shared" ref="W456:W519" si="99">U456-V456</f>
        <v>0</v>
      </c>
      <c r="X456" s="34">
        <f t="shared" ref="X456:X519" si="100">W456/5440</f>
        <v>0</v>
      </c>
      <c r="Y456" s="30">
        <f t="shared" ref="Y456:Y519" si="101">TRUNC(X456)</f>
        <v>0</v>
      </c>
      <c r="Z456" s="34">
        <f t="shared" ref="Z456:Z519" si="102">(X456-Y456)*20</f>
        <v>0</v>
      </c>
      <c r="AA456" s="41">
        <f t="shared" ref="AA456:AA519" si="103">TRUNC(Z456)</f>
        <v>0</v>
      </c>
      <c r="AB456" s="31">
        <f t="shared" ref="AB456:AB519" si="104">(Z456-AA456)*272</f>
        <v>0</v>
      </c>
    </row>
    <row r="457" spans="3:28" x14ac:dyDescent="0.7">
      <c r="C457" s="63" t="str">
        <f t="shared" si="93"/>
        <v/>
      </c>
      <c r="D457" s="16"/>
      <c r="E457" s="3"/>
      <c r="F457" s="57"/>
      <c r="G457" s="15" t="str">
        <f t="shared" si="94"/>
        <v/>
      </c>
      <c r="H457" s="65" t="str">
        <f t="shared" si="95"/>
        <v/>
      </c>
      <c r="I457" s="65" t="str">
        <f t="shared" si="96"/>
        <v/>
      </c>
      <c r="O457" s="32" t="str">
        <f t="shared" si="98"/>
        <v/>
      </c>
      <c r="P457" s="21"/>
      <c r="Q457" s="21"/>
      <c r="R457" s="21"/>
      <c r="S457" s="36">
        <f t="shared" si="97"/>
        <v>0</v>
      </c>
      <c r="T457" s="34">
        <f t="shared" ref="T457:T520" si="105">(S457*R457)/100</f>
        <v>0</v>
      </c>
      <c r="U457" s="32">
        <f t="shared" ref="U457:U520" si="106">R457-T457</f>
        <v>0</v>
      </c>
      <c r="V457" s="43"/>
      <c r="W457" s="32">
        <f t="shared" si="99"/>
        <v>0</v>
      </c>
      <c r="X457" s="34">
        <f t="shared" si="100"/>
        <v>0</v>
      </c>
      <c r="Y457" s="30">
        <f t="shared" si="101"/>
        <v>0</v>
      </c>
      <c r="Z457" s="34">
        <f t="shared" si="102"/>
        <v>0</v>
      </c>
      <c r="AA457" s="41">
        <f t="shared" si="103"/>
        <v>0</v>
      </c>
      <c r="AB457" s="31">
        <f t="shared" si="104"/>
        <v>0</v>
      </c>
    </row>
    <row r="458" spans="3:28" x14ac:dyDescent="0.7">
      <c r="C458" s="63" t="str">
        <f t="shared" ref="C458:C500" si="107">IF(D458="","",ROW()-ROW($C$8))</f>
        <v/>
      </c>
      <c r="D458" s="16"/>
      <c r="E458" s="3"/>
      <c r="F458" s="57"/>
      <c r="G458" s="15" t="str">
        <f t="shared" ref="G458:G500" si="108">_xlfn.TEXTJOIN("-",1,E458:F458)</f>
        <v/>
      </c>
      <c r="H458" s="65" t="str">
        <f t="shared" ref="H458:H500" si="109">_xlfn.TEXTJOIN("Khasra_",1,C458:D458)</f>
        <v/>
      </c>
      <c r="I458" s="65" t="str">
        <f t="shared" ref="I458:I500" si="110">_xlfn.TEXTJOIN("=",1,H458,G458)</f>
        <v/>
      </c>
      <c r="O458" s="32" t="str">
        <f t="shared" si="98"/>
        <v/>
      </c>
      <c r="P458" s="21"/>
      <c r="Q458" s="21"/>
      <c r="R458" s="21"/>
      <c r="S458" s="36">
        <f t="shared" si="97"/>
        <v>0</v>
      </c>
      <c r="T458" s="34">
        <f t="shared" si="105"/>
        <v>0</v>
      </c>
      <c r="U458" s="32">
        <f t="shared" si="106"/>
        <v>0</v>
      </c>
      <c r="V458" s="43"/>
      <c r="W458" s="32">
        <f t="shared" si="99"/>
        <v>0</v>
      </c>
      <c r="X458" s="34">
        <f t="shared" si="100"/>
        <v>0</v>
      </c>
      <c r="Y458" s="30">
        <f t="shared" si="101"/>
        <v>0</v>
      </c>
      <c r="Z458" s="34">
        <f t="shared" si="102"/>
        <v>0</v>
      </c>
      <c r="AA458" s="41">
        <f t="shared" si="103"/>
        <v>0</v>
      </c>
      <c r="AB458" s="31">
        <f t="shared" si="104"/>
        <v>0</v>
      </c>
    </row>
    <row r="459" spans="3:28" x14ac:dyDescent="0.7">
      <c r="C459" s="63" t="str">
        <f t="shared" si="107"/>
        <v/>
      </c>
      <c r="D459" s="16"/>
      <c r="E459" s="3"/>
      <c r="F459" s="57"/>
      <c r="G459" s="15" t="str">
        <f t="shared" si="108"/>
        <v/>
      </c>
      <c r="H459" s="65" t="str">
        <f t="shared" si="109"/>
        <v/>
      </c>
      <c r="I459" s="65" t="str">
        <f t="shared" si="110"/>
        <v/>
      </c>
      <c r="O459" s="32" t="str">
        <f t="shared" si="98"/>
        <v/>
      </c>
      <c r="P459" s="21"/>
      <c r="Q459" s="21"/>
      <c r="R459" s="21"/>
      <c r="S459" s="36">
        <f t="shared" ref="S459:S522" si="111">S458</f>
        <v>0</v>
      </c>
      <c r="T459" s="34">
        <f t="shared" si="105"/>
        <v>0</v>
      </c>
      <c r="U459" s="32">
        <f t="shared" si="106"/>
        <v>0</v>
      </c>
      <c r="V459" s="43"/>
      <c r="W459" s="32">
        <f t="shared" si="99"/>
        <v>0</v>
      </c>
      <c r="X459" s="34">
        <f t="shared" si="100"/>
        <v>0</v>
      </c>
      <c r="Y459" s="30">
        <f t="shared" si="101"/>
        <v>0</v>
      </c>
      <c r="Z459" s="34">
        <f t="shared" si="102"/>
        <v>0</v>
      </c>
      <c r="AA459" s="41">
        <f t="shared" si="103"/>
        <v>0</v>
      </c>
      <c r="AB459" s="31">
        <f t="shared" si="104"/>
        <v>0</v>
      </c>
    </row>
    <row r="460" spans="3:28" x14ac:dyDescent="0.7">
      <c r="C460" s="63" t="str">
        <f t="shared" si="107"/>
        <v/>
      </c>
      <c r="D460" s="16"/>
      <c r="E460" s="3"/>
      <c r="F460" s="57"/>
      <c r="G460" s="15" t="str">
        <f t="shared" si="108"/>
        <v/>
      </c>
      <c r="H460" s="65" t="str">
        <f t="shared" si="109"/>
        <v/>
      </c>
      <c r="I460" s="65" t="str">
        <f t="shared" si="110"/>
        <v/>
      </c>
      <c r="O460" s="32" t="str">
        <f t="shared" si="98"/>
        <v/>
      </c>
      <c r="P460" s="21"/>
      <c r="Q460" s="21"/>
      <c r="R460" s="21"/>
      <c r="S460" s="36">
        <f t="shared" si="111"/>
        <v>0</v>
      </c>
      <c r="T460" s="34">
        <f t="shared" si="105"/>
        <v>0</v>
      </c>
      <c r="U460" s="32">
        <f t="shared" si="106"/>
        <v>0</v>
      </c>
      <c r="V460" s="43"/>
      <c r="W460" s="32">
        <f t="shared" si="99"/>
        <v>0</v>
      </c>
      <c r="X460" s="34">
        <f t="shared" si="100"/>
        <v>0</v>
      </c>
      <c r="Y460" s="30">
        <f t="shared" si="101"/>
        <v>0</v>
      </c>
      <c r="Z460" s="34">
        <f t="shared" si="102"/>
        <v>0</v>
      </c>
      <c r="AA460" s="41">
        <f t="shared" si="103"/>
        <v>0</v>
      </c>
      <c r="AB460" s="31">
        <f t="shared" si="104"/>
        <v>0</v>
      </c>
    </row>
    <row r="461" spans="3:28" x14ac:dyDescent="0.7">
      <c r="C461" s="63" t="str">
        <f t="shared" si="107"/>
        <v/>
      </c>
      <c r="D461" s="16"/>
      <c r="E461" s="3"/>
      <c r="F461" s="57"/>
      <c r="G461" s="15" t="str">
        <f t="shared" si="108"/>
        <v/>
      </c>
      <c r="H461" s="65" t="str">
        <f t="shared" si="109"/>
        <v/>
      </c>
      <c r="I461" s="65" t="str">
        <f t="shared" si="110"/>
        <v/>
      </c>
      <c r="O461" s="32" t="str">
        <f t="shared" si="98"/>
        <v/>
      </c>
      <c r="P461" s="21"/>
      <c r="Q461" s="21"/>
      <c r="R461" s="21"/>
      <c r="S461" s="36">
        <f t="shared" si="111"/>
        <v>0</v>
      </c>
      <c r="T461" s="34">
        <f t="shared" si="105"/>
        <v>0</v>
      </c>
      <c r="U461" s="32">
        <f t="shared" si="106"/>
        <v>0</v>
      </c>
      <c r="V461" s="43"/>
      <c r="W461" s="32">
        <f t="shared" si="99"/>
        <v>0</v>
      </c>
      <c r="X461" s="34">
        <f t="shared" si="100"/>
        <v>0</v>
      </c>
      <c r="Y461" s="30">
        <f t="shared" si="101"/>
        <v>0</v>
      </c>
      <c r="Z461" s="34">
        <f t="shared" si="102"/>
        <v>0</v>
      </c>
      <c r="AA461" s="41">
        <f t="shared" si="103"/>
        <v>0</v>
      </c>
      <c r="AB461" s="31">
        <f t="shared" si="104"/>
        <v>0</v>
      </c>
    </row>
    <row r="462" spans="3:28" x14ac:dyDescent="0.7">
      <c r="C462" s="63" t="str">
        <f t="shared" si="107"/>
        <v/>
      </c>
      <c r="D462" s="16"/>
      <c r="E462" s="3"/>
      <c r="F462" s="57"/>
      <c r="G462" s="15" t="str">
        <f t="shared" si="108"/>
        <v/>
      </c>
      <c r="H462" s="65" t="str">
        <f t="shared" si="109"/>
        <v/>
      </c>
      <c r="I462" s="65" t="str">
        <f t="shared" si="110"/>
        <v/>
      </c>
      <c r="O462" s="32" t="str">
        <f t="shared" si="98"/>
        <v/>
      </c>
      <c r="P462" s="21"/>
      <c r="Q462" s="21"/>
      <c r="R462" s="21"/>
      <c r="S462" s="36">
        <f t="shared" si="111"/>
        <v>0</v>
      </c>
      <c r="T462" s="34">
        <f t="shared" si="105"/>
        <v>0</v>
      </c>
      <c r="U462" s="32">
        <f t="shared" si="106"/>
        <v>0</v>
      </c>
      <c r="V462" s="43"/>
      <c r="W462" s="32">
        <f t="shared" si="99"/>
        <v>0</v>
      </c>
      <c r="X462" s="34">
        <f t="shared" si="100"/>
        <v>0</v>
      </c>
      <c r="Y462" s="30">
        <f t="shared" si="101"/>
        <v>0</v>
      </c>
      <c r="Z462" s="34">
        <f t="shared" si="102"/>
        <v>0</v>
      </c>
      <c r="AA462" s="41">
        <f t="shared" si="103"/>
        <v>0</v>
      </c>
      <c r="AB462" s="31">
        <f t="shared" si="104"/>
        <v>0</v>
      </c>
    </row>
    <row r="463" spans="3:28" x14ac:dyDescent="0.7">
      <c r="C463" s="63" t="str">
        <f t="shared" si="107"/>
        <v/>
      </c>
      <c r="D463" s="16"/>
      <c r="E463" s="3"/>
      <c r="F463" s="57"/>
      <c r="G463" s="15" t="str">
        <f t="shared" si="108"/>
        <v/>
      </c>
      <c r="H463" s="65" t="str">
        <f t="shared" si="109"/>
        <v/>
      </c>
      <c r="I463" s="65" t="str">
        <f t="shared" si="110"/>
        <v/>
      </c>
      <c r="O463" s="32" t="str">
        <f t="shared" si="98"/>
        <v/>
      </c>
      <c r="P463" s="21"/>
      <c r="Q463" s="21"/>
      <c r="R463" s="21"/>
      <c r="S463" s="36">
        <f t="shared" si="111"/>
        <v>0</v>
      </c>
      <c r="T463" s="34">
        <f t="shared" si="105"/>
        <v>0</v>
      </c>
      <c r="U463" s="32">
        <f t="shared" si="106"/>
        <v>0</v>
      </c>
      <c r="V463" s="43"/>
      <c r="W463" s="32">
        <f t="shared" si="99"/>
        <v>0</v>
      </c>
      <c r="X463" s="34">
        <f t="shared" si="100"/>
        <v>0</v>
      </c>
      <c r="Y463" s="30">
        <f t="shared" si="101"/>
        <v>0</v>
      </c>
      <c r="Z463" s="34">
        <f t="shared" si="102"/>
        <v>0</v>
      </c>
      <c r="AA463" s="41">
        <f t="shared" si="103"/>
        <v>0</v>
      </c>
      <c r="AB463" s="31">
        <f t="shared" si="104"/>
        <v>0</v>
      </c>
    </row>
    <row r="464" spans="3:28" x14ac:dyDescent="0.7">
      <c r="C464" s="63" t="str">
        <f t="shared" si="107"/>
        <v/>
      </c>
      <c r="D464" s="16"/>
      <c r="E464" s="3"/>
      <c r="F464" s="57"/>
      <c r="G464" s="15" t="str">
        <f t="shared" si="108"/>
        <v/>
      </c>
      <c r="H464" s="65" t="str">
        <f t="shared" si="109"/>
        <v/>
      </c>
      <c r="I464" s="65" t="str">
        <f t="shared" si="110"/>
        <v/>
      </c>
      <c r="O464" s="32" t="str">
        <f t="shared" si="98"/>
        <v/>
      </c>
      <c r="P464" s="21"/>
      <c r="Q464" s="21"/>
      <c r="R464" s="21"/>
      <c r="S464" s="36">
        <f t="shared" si="111"/>
        <v>0</v>
      </c>
      <c r="T464" s="34">
        <f t="shared" si="105"/>
        <v>0</v>
      </c>
      <c r="U464" s="32">
        <f t="shared" si="106"/>
        <v>0</v>
      </c>
      <c r="V464" s="43"/>
      <c r="W464" s="32">
        <f t="shared" si="99"/>
        <v>0</v>
      </c>
      <c r="X464" s="34">
        <f t="shared" si="100"/>
        <v>0</v>
      </c>
      <c r="Y464" s="30">
        <f t="shared" si="101"/>
        <v>0</v>
      </c>
      <c r="Z464" s="34">
        <f t="shared" si="102"/>
        <v>0</v>
      </c>
      <c r="AA464" s="41">
        <f t="shared" si="103"/>
        <v>0</v>
      </c>
      <c r="AB464" s="31">
        <f t="shared" si="104"/>
        <v>0</v>
      </c>
    </row>
    <row r="465" spans="3:28" x14ac:dyDescent="0.7">
      <c r="C465" s="63" t="str">
        <f t="shared" si="107"/>
        <v/>
      </c>
      <c r="D465" s="16"/>
      <c r="E465" s="3"/>
      <c r="F465" s="57"/>
      <c r="G465" s="15" t="str">
        <f t="shared" si="108"/>
        <v/>
      </c>
      <c r="H465" s="65" t="str">
        <f t="shared" si="109"/>
        <v/>
      </c>
      <c r="I465" s="65" t="str">
        <f t="shared" si="110"/>
        <v/>
      </c>
      <c r="O465" s="32" t="str">
        <f t="shared" si="98"/>
        <v/>
      </c>
      <c r="P465" s="21"/>
      <c r="Q465" s="21"/>
      <c r="R465" s="21"/>
      <c r="S465" s="36">
        <f t="shared" si="111"/>
        <v>0</v>
      </c>
      <c r="T465" s="34">
        <f t="shared" si="105"/>
        <v>0</v>
      </c>
      <c r="U465" s="32">
        <f t="shared" si="106"/>
        <v>0</v>
      </c>
      <c r="V465" s="43"/>
      <c r="W465" s="32">
        <f t="shared" si="99"/>
        <v>0</v>
      </c>
      <c r="X465" s="34">
        <f t="shared" si="100"/>
        <v>0</v>
      </c>
      <c r="Y465" s="30">
        <f t="shared" si="101"/>
        <v>0</v>
      </c>
      <c r="Z465" s="34">
        <f t="shared" si="102"/>
        <v>0</v>
      </c>
      <c r="AA465" s="41">
        <f t="shared" si="103"/>
        <v>0</v>
      </c>
      <c r="AB465" s="31">
        <f t="shared" si="104"/>
        <v>0</v>
      </c>
    </row>
    <row r="466" spans="3:28" x14ac:dyDescent="0.7">
      <c r="C466" s="63" t="str">
        <f t="shared" si="107"/>
        <v/>
      </c>
      <c r="D466" s="16"/>
      <c r="E466" s="3"/>
      <c r="F466" s="57"/>
      <c r="G466" s="15" t="str">
        <f t="shared" si="108"/>
        <v/>
      </c>
      <c r="H466" s="65" t="str">
        <f t="shared" si="109"/>
        <v/>
      </c>
      <c r="I466" s="65" t="str">
        <f t="shared" si="110"/>
        <v/>
      </c>
      <c r="O466" s="32" t="str">
        <f t="shared" si="98"/>
        <v/>
      </c>
      <c r="P466" s="21"/>
      <c r="Q466" s="21"/>
      <c r="R466" s="21"/>
      <c r="S466" s="36">
        <f t="shared" si="111"/>
        <v>0</v>
      </c>
      <c r="T466" s="34">
        <f t="shared" si="105"/>
        <v>0</v>
      </c>
      <c r="U466" s="32">
        <f t="shared" si="106"/>
        <v>0</v>
      </c>
      <c r="V466" s="43"/>
      <c r="W466" s="32">
        <f t="shared" si="99"/>
        <v>0</v>
      </c>
      <c r="X466" s="34">
        <f t="shared" si="100"/>
        <v>0</v>
      </c>
      <c r="Y466" s="30">
        <f t="shared" si="101"/>
        <v>0</v>
      </c>
      <c r="Z466" s="34">
        <f t="shared" si="102"/>
        <v>0</v>
      </c>
      <c r="AA466" s="41">
        <f t="shared" si="103"/>
        <v>0</v>
      </c>
      <c r="AB466" s="31">
        <f t="shared" si="104"/>
        <v>0</v>
      </c>
    </row>
    <row r="467" spans="3:28" x14ac:dyDescent="0.7">
      <c r="C467" s="63" t="str">
        <f t="shared" si="107"/>
        <v/>
      </c>
      <c r="D467" s="16"/>
      <c r="E467" s="3"/>
      <c r="F467" s="57"/>
      <c r="G467" s="15" t="str">
        <f t="shared" si="108"/>
        <v/>
      </c>
      <c r="H467" s="65" t="str">
        <f t="shared" si="109"/>
        <v/>
      </c>
      <c r="I467" s="65" t="str">
        <f t="shared" si="110"/>
        <v/>
      </c>
      <c r="O467" s="32" t="str">
        <f t="shared" si="98"/>
        <v/>
      </c>
      <c r="P467" s="21"/>
      <c r="Q467" s="21"/>
      <c r="R467" s="21"/>
      <c r="S467" s="36">
        <f t="shared" si="111"/>
        <v>0</v>
      </c>
      <c r="T467" s="34">
        <f t="shared" si="105"/>
        <v>0</v>
      </c>
      <c r="U467" s="32">
        <f t="shared" si="106"/>
        <v>0</v>
      </c>
      <c r="V467" s="43"/>
      <c r="W467" s="32">
        <f t="shared" si="99"/>
        <v>0</v>
      </c>
      <c r="X467" s="34">
        <f t="shared" si="100"/>
        <v>0</v>
      </c>
      <c r="Y467" s="30">
        <f t="shared" si="101"/>
        <v>0</v>
      </c>
      <c r="Z467" s="34">
        <f t="shared" si="102"/>
        <v>0</v>
      </c>
      <c r="AA467" s="41">
        <f t="shared" si="103"/>
        <v>0</v>
      </c>
      <c r="AB467" s="31">
        <f t="shared" si="104"/>
        <v>0</v>
      </c>
    </row>
    <row r="468" spans="3:28" x14ac:dyDescent="0.7">
      <c r="C468" s="63" t="str">
        <f t="shared" si="107"/>
        <v/>
      </c>
      <c r="D468" s="16"/>
      <c r="E468" s="3"/>
      <c r="F468" s="57"/>
      <c r="G468" s="15" t="str">
        <f t="shared" si="108"/>
        <v/>
      </c>
      <c r="H468" s="65" t="str">
        <f t="shared" si="109"/>
        <v/>
      </c>
      <c r="I468" s="65" t="str">
        <f t="shared" si="110"/>
        <v/>
      </c>
      <c r="O468" s="32" t="str">
        <f t="shared" si="98"/>
        <v/>
      </c>
      <c r="P468" s="21"/>
      <c r="Q468" s="21"/>
      <c r="R468" s="21"/>
      <c r="S468" s="36">
        <f t="shared" si="111"/>
        <v>0</v>
      </c>
      <c r="T468" s="34">
        <f t="shared" si="105"/>
        <v>0</v>
      </c>
      <c r="U468" s="32">
        <f t="shared" si="106"/>
        <v>0</v>
      </c>
      <c r="V468" s="43"/>
      <c r="W468" s="32">
        <f t="shared" si="99"/>
        <v>0</v>
      </c>
      <c r="X468" s="34">
        <f t="shared" si="100"/>
        <v>0</v>
      </c>
      <c r="Y468" s="30">
        <f t="shared" si="101"/>
        <v>0</v>
      </c>
      <c r="Z468" s="34">
        <f t="shared" si="102"/>
        <v>0</v>
      </c>
      <c r="AA468" s="41">
        <f t="shared" si="103"/>
        <v>0</v>
      </c>
      <c r="AB468" s="31">
        <f t="shared" si="104"/>
        <v>0</v>
      </c>
    </row>
    <row r="469" spans="3:28" x14ac:dyDescent="0.7">
      <c r="C469" s="63" t="str">
        <f t="shared" si="107"/>
        <v/>
      </c>
      <c r="D469" s="16"/>
      <c r="E469" s="3"/>
      <c r="F469" s="57"/>
      <c r="G469" s="15" t="str">
        <f t="shared" si="108"/>
        <v/>
      </c>
      <c r="H469" s="65" t="str">
        <f t="shared" si="109"/>
        <v/>
      </c>
      <c r="I469" s="65" t="str">
        <f t="shared" si="110"/>
        <v/>
      </c>
      <c r="O469" s="32" t="str">
        <f t="shared" si="98"/>
        <v/>
      </c>
      <c r="P469" s="21"/>
      <c r="Q469" s="21"/>
      <c r="R469" s="21"/>
      <c r="S469" s="36">
        <f t="shared" si="111"/>
        <v>0</v>
      </c>
      <c r="T469" s="34">
        <f t="shared" si="105"/>
        <v>0</v>
      </c>
      <c r="U469" s="32">
        <f t="shared" si="106"/>
        <v>0</v>
      </c>
      <c r="V469" s="43"/>
      <c r="W469" s="32">
        <f t="shared" si="99"/>
        <v>0</v>
      </c>
      <c r="X469" s="34">
        <f t="shared" si="100"/>
        <v>0</v>
      </c>
      <c r="Y469" s="30">
        <f t="shared" si="101"/>
        <v>0</v>
      </c>
      <c r="Z469" s="34">
        <f t="shared" si="102"/>
        <v>0</v>
      </c>
      <c r="AA469" s="41">
        <f t="shared" si="103"/>
        <v>0</v>
      </c>
      <c r="AB469" s="31">
        <f t="shared" si="104"/>
        <v>0</v>
      </c>
    </row>
    <row r="470" spans="3:28" x14ac:dyDescent="0.7">
      <c r="C470" s="63" t="str">
        <f t="shared" si="107"/>
        <v/>
      </c>
      <c r="D470" s="16"/>
      <c r="E470" s="3"/>
      <c r="F470" s="57"/>
      <c r="G470" s="15" t="str">
        <f t="shared" si="108"/>
        <v/>
      </c>
      <c r="H470" s="65" t="str">
        <f t="shared" si="109"/>
        <v/>
      </c>
      <c r="I470" s="65" t="str">
        <f t="shared" si="110"/>
        <v/>
      </c>
      <c r="O470" s="32" t="str">
        <f t="shared" si="98"/>
        <v/>
      </c>
      <c r="P470" s="21"/>
      <c r="Q470" s="21"/>
      <c r="R470" s="21"/>
      <c r="S470" s="36">
        <f t="shared" si="111"/>
        <v>0</v>
      </c>
      <c r="T470" s="34">
        <f t="shared" si="105"/>
        <v>0</v>
      </c>
      <c r="U470" s="32">
        <f t="shared" si="106"/>
        <v>0</v>
      </c>
      <c r="V470" s="43"/>
      <c r="W470" s="32">
        <f t="shared" si="99"/>
        <v>0</v>
      </c>
      <c r="X470" s="34">
        <f t="shared" si="100"/>
        <v>0</v>
      </c>
      <c r="Y470" s="30">
        <f t="shared" si="101"/>
        <v>0</v>
      </c>
      <c r="Z470" s="34">
        <f t="shared" si="102"/>
        <v>0</v>
      </c>
      <c r="AA470" s="41">
        <f t="shared" si="103"/>
        <v>0</v>
      </c>
      <c r="AB470" s="31">
        <f t="shared" si="104"/>
        <v>0</v>
      </c>
    </row>
    <row r="471" spans="3:28" x14ac:dyDescent="0.7">
      <c r="C471" s="63" t="str">
        <f t="shared" si="107"/>
        <v/>
      </c>
      <c r="D471" s="16"/>
      <c r="E471" s="3"/>
      <c r="F471" s="57"/>
      <c r="G471" s="15" t="str">
        <f t="shared" si="108"/>
        <v/>
      </c>
      <c r="H471" s="65" t="str">
        <f t="shared" si="109"/>
        <v/>
      </c>
      <c r="I471" s="65" t="str">
        <f t="shared" si="110"/>
        <v/>
      </c>
      <c r="O471" s="32" t="str">
        <f t="shared" si="98"/>
        <v/>
      </c>
      <c r="P471" s="21"/>
      <c r="Q471" s="21"/>
      <c r="R471" s="21"/>
      <c r="S471" s="36">
        <f t="shared" si="111"/>
        <v>0</v>
      </c>
      <c r="T471" s="34">
        <f t="shared" si="105"/>
        <v>0</v>
      </c>
      <c r="U471" s="32">
        <f t="shared" si="106"/>
        <v>0</v>
      </c>
      <c r="V471" s="43"/>
      <c r="W471" s="32">
        <f t="shared" si="99"/>
        <v>0</v>
      </c>
      <c r="X471" s="34">
        <f t="shared" si="100"/>
        <v>0</v>
      </c>
      <c r="Y471" s="30">
        <f t="shared" si="101"/>
        <v>0</v>
      </c>
      <c r="Z471" s="34">
        <f t="shared" si="102"/>
        <v>0</v>
      </c>
      <c r="AA471" s="41">
        <f t="shared" si="103"/>
        <v>0</v>
      </c>
      <c r="AB471" s="31">
        <f t="shared" si="104"/>
        <v>0</v>
      </c>
    </row>
    <row r="472" spans="3:28" x14ac:dyDescent="0.7">
      <c r="C472" s="63" t="str">
        <f t="shared" si="107"/>
        <v/>
      </c>
      <c r="D472" s="16"/>
      <c r="E472" s="3"/>
      <c r="F472" s="57"/>
      <c r="G472" s="15" t="str">
        <f t="shared" si="108"/>
        <v/>
      </c>
      <c r="H472" s="65" t="str">
        <f t="shared" si="109"/>
        <v/>
      </c>
      <c r="I472" s="65" t="str">
        <f t="shared" si="110"/>
        <v/>
      </c>
      <c r="O472" s="32" t="str">
        <f t="shared" si="98"/>
        <v/>
      </c>
      <c r="P472" s="21"/>
      <c r="Q472" s="21"/>
      <c r="R472" s="21"/>
      <c r="S472" s="36">
        <f t="shared" si="111"/>
        <v>0</v>
      </c>
      <c r="T472" s="34">
        <f t="shared" si="105"/>
        <v>0</v>
      </c>
      <c r="U472" s="32">
        <f t="shared" si="106"/>
        <v>0</v>
      </c>
      <c r="V472" s="43"/>
      <c r="W472" s="32">
        <f t="shared" si="99"/>
        <v>0</v>
      </c>
      <c r="X472" s="34">
        <f t="shared" si="100"/>
        <v>0</v>
      </c>
      <c r="Y472" s="30">
        <f t="shared" si="101"/>
        <v>0</v>
      </c>
      <c r="Z472" s="34">
        <f t="shared" si="102"/>
        <v>0</v>
      </c>
      <c r="AA472" s="41">
        <f t="shared" si="103"/>
        <v>0</v>
      </c>
      <c r="AB472" s="31">
        <f t="shared" si="104"/>
        <v>0</v>
      </c>
    </row>
    <row r="473" spans="3:28" x14ac:dyDescent="0.7">
      <c r="C473" s="63" t="str">
        <f t="shared" si="107"/>
        <v/>
      </c>
      <c r="D473" s="16"/>
      <c r="E473" s="3"/>
      <c r="F473" s="57"/>
      <c r="G473" s="15" t="str">
        <f t="shared" si="108"/>
        <v/>
      </c>
      <c r="H473" s="65" t="str">
        <f t="shared" si="109"/>
        <v/>
      </c>
      <c r="I473" s="65" t="str">
        <f t="shared" si="110"/>
        <v/>
      </c>
      <c r="O473" s="32" t="str">
        <f t="shared" si="98"/>
        <v/>
      </c>
      <c r="P473" s="21"/>
      <c r="Q473" s="21"/>
      <c r="R473" s="21"/>
      <c r="S473" s="36">
        <f t="shared" si="111"/>
        <v>0</v>
      </c>
      <c r="T473" s="34">
        <f t="shared" si="105"/>
        <v>0</v>
      </c>
      <c r="U473" s="32">
        <f t="shared" si="106"/>
        <v>0</v>
      </c>
      <c r="V473" s="43"/>
      <c r="W473" s="32">
        <f t="shared" si="99"/>
        <v>0</v>
      </c>
      <c r="X473" s="34">
        <f t="shared" si="100"/>
        <v>0</v>
      </c>
      <c r="Y473" s="30">
        <f t="shared" si="101"/>
        <v>0</v>
      </c>
      <c r="Z473" s="34">
        <f t="shared" si="102"/>
        <v>0</v>
      </c>
      <c r="AA473" s="41">
        <f t="shared" si="103"/>
        <v>0</v>
      </c>
      <c r="AB473" s="31">
        <f t="shared" si="104"/>
        <v>0</v>
      </c>
    </row>
    <row r="474" spans="3:28" x14ac:dyDescent="0.7">
      <c r="C474" s="63" t="str">
        <f t="shared" si="107"/>
        <v/>
      </c>
      <c r="D474" s="16"/>
      <c r="E474" s="3"/>
      <c r="F474" s="57"/>
      <c r="G474" s="15" t="str">
        <f t="shared" si="108"/>
        <v/>
      </c>
      <c r="H474" s="65" t="str">
        <f t="shared" si="109"/>
        <v/>
      </c>
      <c r="I474" s="65" t="str">
        <f t="shared" si="110"/>
        <v/>
      </c>
      <c r="O474" s="32" t="str">
        <f t="shared" si="98"/>
        <v/>
      </c>
      <c r="P474" s="21"/>
      <c r="Q474" s="21"/>
      <c r="R474" s="21"/>
      <c r="S474" s="36">
        <f t="shared" si="111"/>
        <v>0</v>
      </c>
      <c r="T474" s="34">
        <f t="shared" si="105"/>
        <v>0</v>
      </c>
      <c r="U474" s="32">
        <f t="shared" si="106"/>
        <v>0</v>
      </c>
      <c r="V474" s="43"/>
      <c r="W474" s="32">
        <f t="shared" si="99"/>
        <v>0</v>
      </c>
      <c r="X474" s="34">
        <f t="shared" si="100"/>
        <v>0</v>
      </c>
      <c r="Y474" s="30">
        <f t="shared" si="101"/>
        <v>0</v>
      </c>
      <c r="Z474" s="34">
        <f t="shared" si="102"/>
        <v>0</v>
      </c>
      <c r="AA474" s="41">
        <f t="shared" si="103"/>
        <v>0</v>
      </c>
      <c r="AB474" s="31">
        <f t="shared" si="104"/>
        <v>0</v>
      </c>
    </row>
    <row r="475" spans="3:28" x14ac:dyDescent="0.7">
      <c r="C475" s="63" t="str">
        <f t="shared" si="107"/>
        <v/>
      </c>
      <c r="D475" s="16"/>
      <c r="E475" s="3"/>
      <c r="F475" s="57"/>
      <c r="G475" s="15" t="str">
        <f t="shared" si="108"/>
        <v/>
      </c>
      <c r="H475" s="65" t="str">
        <f t="shared" si="109"/>
        <v/>
      </c>
      <c r="I475" s="65" t="str">
        <f t="shared" si="110"/>
        <v/>
      </c>
      <c r="O475" s="32" t="str">
        <f t="shared" si="98"/>
        <v/>
      </c>
      <c r="P475" s="21"/>
      <c r="Q475" s="21"/>
      <c r="R475" s="21"/>
      <c r="S475" s="36">
        <f t="shared" si="111"/>
        <v>0</v>
      </c>
      <c r="T475" s="34">
        <f t="shared" si="105"/>
        <v>0</v>
      </c>
      <c r="U475" s="32">
        <f t="shared" si="106"/>
        <v>0</v>
      </c>
      <c r="V475" s="43"/>
      <c r="W475" s="32">
        <f t="shared" si="99"/>
        <v>0</v>
      </c>
      <c r="X475" s="34">
        <f t="shared" si="100"/>
        <v>0</v>
      </c>
      <c r="Y475" s="30">
        <f t="shared" si="101"/>
        <v>0</v>
      </c>
      <c r="Z475" s="34">
        <f t="shared" si="102"/>
        <v>0</v>
      </c>
      <c r="AA475" s="41">
        <f t="shared" si="103"/>
        <v>0</v>
      </c>
      <c r="AB475" s="31">
        <f t="shared" si="104"/>
        <v>0</v>
      </c>
    </row>
    <row r="476" spans="3:28" x14ac:dyDescent="0.7">
      <c r="C476" s="63" t="str">
        <f t="shared" si="107"/>
        <v/>
      </c>
      <c r="D476" s="16"/>
      <c r="E476" s="3"/>
      <c r="F476" s="57"/>
      <c r="G476" s="15" t="str">
        <f t="shared" si="108"/>
        <v/>
      </c>
      <c r="H476" s="65" t="str">
        <f t="shared" si="109"/>
        <v/>
      </c>
      <c r="I476" s="65" t="str">
        <f t="shared" si="110"/>
        <v/>
      </c>
      <c r="O476" s="32" t="str">
        <f t="shared" si="98"/>
        <v/>
      </c>
      <c r="P476" s="21"/>
      <c r="Q476" s="21"/>
      <c r="R476" s="21"/>
      <c r="S476" s="36">
        <f t="shared" si="111"/>
        <v>0</v>
      </c>
      <c r="T476" s="34">
        <f t="shared" si="105"/>
        <v>0</v>
      </c>
      <c r="U476" s="32">
        <f t="shared" si="106"/>
        <v>0</v>
      </c>
      <c r="V476" s="43"/>
      <c r="W476" s="32">
        <f t="shared" si="99"/>
        <v>0</v>
      </c>
      <c r="X476" s="34">
        <f t="shared" si="100"/>
        <v>0</v>
      </c>
      <c r="Y476" s="30">
        <f t="shared" si="101"/>
        <v>0</v>
      </c>
      <c r="Z476" s="34">
        <f t="shared" si="102"/>
        <v>0</v>
      </c>
      <c r="AA476" s="41">
        <f t="shared" si="103"/>
        <v>0</v>
      </c>
      <c r="AB476" s="31">
        <f t="shared" si="104"/>
        <v>0</v>
      </c>
    </row>
    <row r="477" spans="3:28" x14ac:dyDescent="0.7">
      <c r="C477" s="63" t="str">
        <f t="shared" si="107"/>
        <v/>
      </c>
      <c r="D477" s="16"/>
      <c r="E477" s="3"/>
      <c r="F477" s="57"/>
      <c r="G477" s="15" t="str">
        <f t="shared" si="108"/>
        <v/>
      </c>
      <c r="H477" s="65" t="str">
        <f t="shared" si="109"/>
        <v/>
      </c>
      <c r="I477" s="65" t="str">
        <f t="shared" si="110"/>
        <v/>
      </c>
      <c r="O477" s="32" t="str">
        <f t="shared" si="98"/>
        <v/>
      </c>
      <c r="P477" s="21"/>
      <c r="Q477" s="21"/>
      <c r="R477" s="21"/>
      <c r="S477" s="36">
        <f t="shared" si="111"/>
        <v>0</v>
      </c>
      <c r="T477" s="34">
        <f t="shared" si="105"/>
        <v>0</v>
      </c>
      <c r="U477" s="32">
        <f t="shared" si="106"/>
        <v>0</v>
      </c>
      <c r="V477" s="43"/>
      <c r="W477" s="32">
        <f t="shared" si="99"/>
        <v>0</v>
      </c>
      <c r="X477" s="34">
        <f t="shared" si="100"/>
        <v>0</v>
      </c>
      <c r="Y477" s="30">
        <f t="shared" si="101"/>
        <v>0</v>
      </c>
      <c r="Z477" s="34">
        <f t="shared" si="102"/>
        <v>0</v>
      </c>
      <c r="AA477" s="41">
        <f t="shared" si="103"/>
        <v>0</v>
      </c>
      <c r="AB477" s="31">
        <f t="shared" si="104"/>
        <v>0</v>
      </c>
    </row>
    <row r="478" spans="3:28" x14ac:dyDescent="0.7">
      <c r="C478" s="63" t="str">
        <f t="shared" si="107"/>
        <v/>
      </c>
      <c r="D478" s="16"/>
      <c r="E478" s="3"/>
      <c r="F478" s="57"/>
      <c r="G478" s="15" t="str">
        <f t="shared" si="108"/>
        <v/>
      </c>
      <c r="H478" s="65" t="str">
        <f t="shared" si="109"/>
        <v/>
      </c>
      <c r="I478" s="65" t="str">
        <f t="shared" si="110"/>
        <v/>
      </c>
      <c r="O478" s="32" t="str">
        <f t="shared" si="98"/>
        <v/>
      </c>
      <c r="P478" s="21"/>
      <c r="Q478" s="21"/>
      <c r="R478" s="21"/>
      <c r="S478" s="36">
        <f t="shared" si="111"/>
        <v>0</v>
      </c>
      <c r="T478" s="34">
        <f t="shared" si="105"/>
        <v>0</v>
      </c>
      <c r="U478" s="32">
        <f t="shared" si="106"/>
        <v>0</v>
      </c>
      <c r="V478" s="43"/>
      <c r="W478" s="32">
        <f t="shared" si="99"/>
        <v>0</v>
      </c>
      <c r="X478" s="34">
        <f t="shared" si="100"/>
        <v>0</v>
      </c>
      <c r="Y478" s="30">
        <f t="shared" si="101"/>
        <v>0</v>
      </c>
      <c r="Z478" s="34">
        <f t="shared" si="102"/>
        <v>0</v>
      </c>
      <c r="AA478" s="41">
        <f t="shared" si="103"/>
        <v>0</v>
      </c>
      <c r="AB478" s="31">
        <f t="shared" si="104"/>
        <v>0</v>
      </c>
    </row>
    <row r="479" spans="3:28" x14ac:dyDescent="0.7">
      <c r="C479" s="63" t="str">
        <f t="shared" si="107"/>
        <v/>
      </c>
      <c r="D479" s="16"/>
      <c r="E479" s="3"/>
      <c r="F479" s="57"/>
      <c r="G479" s="15" t="str">
        <f t="shared" si="108"/>
        <v/>
      </c>
      <c r="H479" s="65" t="str">
        <f t="shared" si="109"/>
        <v/>
      </c>
      <c r="I479" s="65" t="str">
        <f t="shared" si="110"/>
        <v/>
      </c>
      <c r="O479" s="32" t="str">
        <f t="shared" si="98"/>
        <v/>
      </c>
      <c r="P479" s="21"/>
      <c r="Q479" s="21"/>
      <c r="R479" s="21"/>
      <c r="S479" s="36">
        <f t="shared" si="111"/>
        <v>0</v>
      </c>
      <c r="T479" s="34">
        <f t="shared" si="105"/>
        <v>0</v>
      </c>
      <c r="U479" s="32">
        <f t="shared" si="106"/>
        <v>0</v>
      </c>
      <c r="V479" s="43"/>
      <c r="W479" s="32">
        <f t="shared" si="99"/>
        <v>0</v>
      </c>
      <c r="X479" s="34">
        <f t="shared" si="100"/>
        <v>0</v>
      </c>
      <c r="Y479" s="30">
        <f t="shared" si="101"/>
        <v>0</v>
      </c>
      <c r="Z479" s="34">
        <f t="shared" si="102"/>
        <v>0</v>
      </c>
      <c r="AA479" s="41">
        <f t="shared" si="103"/>
        <v>0</v>
      </c>
      <c r="AB479" s="31">
        <f t="shared" si="104"/>
        <v>0</v>
      </c>
    </row>
    <row r="480" spans="3:28" x14ac:dyDescent="0.7">
      <c r="C480" s="63" t="str">
        <f t="shared" si="107"/>
        <v/>
      </c>
      <c r="D480" s="16"/>
      <c r="E480" s="3"/>
      <c r="F480" s="57"/>
      <c r="G480" s="15" t="str">
        <f t="shared" si="108"/>
        <v/>
      </c>
      <c r="H480" s="65" t="str">
        <f t="shared" si="109"/>
        <v/>
      </c>
      <c r="I480" s="65" t="str">
        <f t="shared" si="110"/>
        <v/>
      </c>
      <c r="O480" s="32" t="str">
        <f t="shared" si="98"/>
        <v/>
      </c>
      <c r="P480" s="21"/>
      <c r="Q480" s="21"/>
      <c r="R480" s="21"/>
      <c r="S480" s="36">
        <f t="shared" si="111"/>
        <v>0</v>
      </c>
      <c r="T480" s="34">
        <f t="shared" si="105"/>
        <v>0</v>
      </c>
      <c r="U480" s="32">
        <f t="shared" si="106"/>
        <v>0</v>
      </c>
      <c r="V480" s="43"/>
      <c r="W480" s="32">
        <f t="shared" si="99"/>
        <v>0</v>
      </c>
      <c r="X480" s="34">
        <f t="shared" si="100"/>
        <v>0</v>
      </c>
      <c r="Y480" s="30">
        <f t="shared" si="101"/>
        <v>0</v>
      </c>
      <c r="Z480" s="34">
        <f t="shared" si="102"/>
        <v>0</v>
      </c>
      <c r="AA480" s="41">
        <f t="shared" si="103"/>
        <v>0</v>
      </c>
      <c r="AB480" s="31">
        <f t="shared" si="104"/>
        <v>0</v>
      </c>
    </row>
    <row r="481" spans="3:28" x14ac:dyDescent="0.7">
      <c r="C481" s="63" t="str">
        <f t="shared" si="107"/>
        <v/>
      </c>
      <c r="D481" s="16"/>
      <c r="E481" s="3"/>
      <c r="F481" s="57"/>
      <c r="G481" s="15" t="str">
        <f t="shared" si="108"/>
        <v/>
      </c>
      <c r="H481" s="65" t="str">
        <f t="shared" si="109"/>
        <v/>
      </c>
      <c r="I481" s="65" t="str">
        <f t="shared" si="110"/>
        <v/>
      </c>
      <c r="O481" s="32" t="str">
        <f t="shared" si="98"/>
        <v/>
      </c>
      <c r="P481" s="21"/>
      <c r="Q481" s="21"/>
      <c r="R481" s="21"/>
      <c r="S481" s="36">
        <f t="shared" si="111"/>
        <v>0</v>
      </c>
      <c r="T481" s="34">
        <f t="shared" si="105"/>
        <v>0</v>
      </c>
      <c r="U481" s="32">
        <f t="shared" si="106"/>
        <v>0</v>
      </c>
      <c r="V481" s="43"/>
      <c r="W481" s="32">
        <f t="shared" si="99"/>
        <v>0</v>
      </c>
      <c r="X481" s="34">
        <f t="shared" si="100"/>
        <v>0</v>
      </c>
      <c r="Y481" s="30">
        <f t="shared" si="101"/>
        <v>0</v>
      </c>
      <c r="Z481" s="34">
        <f t="shared" si="102"/>
        <v>0</v>
      </c>
      <c r="AA481" s="41">
        <f t="shared" si="103"/>
        <v>0</v>
      </c>
      <c r="AB481" s="31">
        <f t="shared" si="104"/>
        <v>0</v>
      </c>
    </row>
    <row r="482" spans="3:28" x14ac:dyDescent="0.7">
      <c r="C482" s="63" t="str">
        <f t="shared" si="107"/>
        <v/>
      </c>
      <c r="D482" s="16"/>
      <c r="E482" s="3"/>
      <c r="F482" s="57"/>
      <c r="G482" s="15" t="str">
        <f t="shared" si="108"/>
        <v/>
      </c>
      <c r="H482" s="65" t="str">
        <f t="shared" si="109"/>
        <v/>
      </c>
      <c r="I482" s="65" t="str">
        <f t="shared" si="110"/>
        <v/>
      </c>
      <c r="O482" s="32" t="str">
        <f t="shared" si="98"/>
        <v/>
      </c>
      <c r="P482" s="21"/>
      <c r="Q482" s="21"/>
      <c r="R482" s="21"/>
      <c r="S482" s="36">
        <f t="shared" si="111"/>
        <v>0</v>
      </c>
      <c r="T482" s="34">
        <f t="shared" si="105"/>
        <v>0</v>
      </c>
      <c r="U482" s="32">
        <f t="shared" si="106"/>
        <v>0</v>
      </c>
      <c r="V482" s="43"/>
      <c r="W482" s="32">
        <f t="shared" si="99"/>
        <v>0</v>
      </c>
      <c r="X482" s="34">
        <f t="shared" si="100"/>
        <v>0</v>
      </c>
      <c r="Y482" s="30">
        <f t="shared" si="101"/>
        <v>0</v>
      </c>
      <c r="Z482" s="34">
        <f t="shared" si="102"/>
        <v>0</v>
      </c>
      <c r="AA482" s="41">
        <f t="shared" si="103"/>
        <v>0</v>
      </c>
      <c r="AB482" s="31">
        <f t="shared" si="104"/>
        <v>0</v>
      </c>
    </row>
    <row r="483" spans="3:28" x14ac:dyDescent="0.7">
      <c r="C483" s="63" t="str">
        <f t="shared" si="107"/>
        <v/>
      </c>
      <c r="D483" s="16"/>
      <c r="E483" s="3"/>
      <c r="F483" s="57"/>
      <c r="G483" s="15" t="str">
        <f t="shared" si="108"/>
        <v/>
      </c>
      <c r="H483" s="65" t="str">
        <f t="shared" si="109"/>
        <v/>
      </c>
      <c r="I483" s="65" t="str">
        <f t="shared" si="110"/>
        <v/>
      </c>
      <c r="O483" s="32" t="str">
        <f t="shared" si="98"/>
        <v/>
      </c>
      <c r="P483" s="21"/>
      <c r="Q483" s="21"/>
      <c r="R483" s="21"/>
      <c r="S483" s="36">
        <f t="shared" si="111"/>
        <v>0</v>
      </c>
      <c r="T483" s="34">
        <f t="shared" si="105"/>
        <v>0</v>
      </c>
      <c r="U483" s="32">
        <f t="shared" si="106"/>
        <v>0</v>
      </c>
      <c r="V483" s="43"/>
      <c r="W483" s="32">
        <f t="shared" si="99"/>
        <v>0</v>
      </c>
      <c r="X483" s="34">
        <f t="shared" si="100"/>
        <v>0</v>
      </c>
      <c r="Y483" s="30">
        <f t="shared" si="101"/>
        <v>0</v>
      </c>
      <c r="Z483" s="34">
        <f t="shared" si="102"/>
        <v>0</v>
      </c>
      <c r="AA483" s="41">
        <f t="shared" si="103"/>
        <v>0</v>
      </c>
      <c r="AB483" s="31">
        <f t="shared" si="104"/>
        <v>0</v>
      </c>
    </row>
    <row r="484" spans="3:28" x14ac:dyDescent="0.7">
      <c r="C484" s="63" t="str">
        <f t="shared" si="107"/>
        <v/>
      </c>
      <c r="D484" s="16"/>
      <c r="E484" s="3"/>
      <c r="F484" s="57"/>
      <c r="G484" s="15" t="str">
        <f t="shared" si="108"/>
        <v/>
      </c>
      <c r="H484" s="65" t="str">
        <f t="shared" si="109"/>
        <v/>
      </c>
      <c r="I484" s="65" t="str">
        <f t="shared" si="110"/>
        <v/>
      </c>
      <c r="O484" s="32" t="str">
        <f t="shared" si="98"/>
        <v/>
      </c>
      <c r="P484" s="21"/>
      <c r="Q484" s="21"/>
      <c r="R484" s="21"/>
      <c r="S484" s="36">
        <f t="shared" si="111"/>
        <v>0</v>
      </c>
      <c r="T484" s="34">
        <f t="shared" si="105"/>
        <v>0</v>
      </c>
      <c r="U484" s="32">
        <f t="shared" si="106"/>
        <v>0</v>
      </c>
      <c r="V484" s="43"/>
      <c r="W484" s="32">
        <f t="shared" si="99"/>
        <v>0</v>
      </c>
      <c r="X484" s="34">
        <f t="shared" si="100"/>
        <v>0</v>
      </c>
      <c r="Y484" s="30">
        <f t="shared" si="101"/>
        <v>0</v>
      </c>
      <c r="Z484" s="34">
        <f t="shared" si="102"/>
        <v>0</v>
      </c>
      <c r="AA484" s="41">
        <f t="shared" si="103"/>
        <v>0</v>
      </c>
      <c r="AB484" s="31">
        <f t="shared" si="104"/>
        <v>0</v>
      </c>
    </row>
    <row r="485" spans="3:28" x14ac:dyDescent="0.7">
      <c r="C485" s="63" t="str">
        <f t="shared" si="107"/>
        <v/>
      </c>
      <c r="D485" s="16"/>
      <c r="E485" s="3"/>
      <c r="F485" s="57"/>
      <c r="G485" s="15" t="str">
        <f t="shared" si="108"/>
        <v/>
      </c>
      <c r="H485" s="65" t="str">
        <f t="shared" si="109"/>
        <v/>
      </c>
      <c r="I485" s="65" t="str">
        <f t="shared" si="110"/>
        <v/>
      </c>
      <c r="O485" s="32" t="str">
        <f t="shared" si="98"/>
        <v/>
      </c>
      <c r="P485" s="21"/>
      <c r="Q485" s="21"/>
      <c r="R485" s="21"/>
      <c r="S485" s="36">
        <f t="shared" si="111"/>
        <v>0</v>
      </c>
      <c r="T485" s="34">
        <f t="shared" si="105"/>
        <v>0</v>
      </c>
      <c r="U485" s="32">
        <f t="shared" si="106"/>
        <v>0</v>
      </c>
      <c r="V485" s="43"/>
      <c r="W485" s="32">
        <f t="shared" si="99"/>
        <v>0</v>
      </c>
      <c r="X485" s="34">
        <f t="shared" si="100"/>
        <v>0</v>
      </c>
      <c r="Y485" s="30">
        <f t="shared" si="101"/>
        <v>0</v>
      </c>
      <c r="Z485" s="34">
        <f t="shared" si="102"/>
        <v>0</v>
      </c>
      <c r="AA485" s="41">
        <f t="shared" si="103"/>
        <v>0</v>
      </c>
      <c r="AB485" s="31">
        <f t="shared" si="104"/>
        <v>0</v>
      </c>
    </row>
    <row r="486" spans="3:28" x14ac:dyDescent="0.7">
      <c r="C486" s="63" t="str">
        <f t="shared" si="107"/>
        <v/>
      </c>
      <c r="D486" s="16"/>
      <c r="E486" s="3"/>
      <c r="F486" s="57"/>
      <c r="G486" s="15" t="str">
        <f t="shared" si="108"/>
        <v/>
      </c>
      <c r="H486" s="65" t="str">
        <f t="shared" si="109"/>
        <v/>
      </c>
      <c r="I486" s="65" t="str">
        <f t="shared" si="110"/>
        <v/>
      </c>
      <c r="O486" s="32" t="str">
        <f t="shared" si="98"/>
        <v/>
      </c>
      <c r="P486" s="21"/>
      <c r="Q486" s="21"/>
      <c r="R486" s="21"/>
      <c r="S486" s="36">
        <f t="shared" si="111"/>
        <v>0</v>
      </c>
      <c r="T486" s="34">
        <f t="shared" si="105"/>
        <v>0</v>
      </c>
      <c r="U486" s="32">
        <f t="shared" si="106"/>
        <v>0</v>
      </c>
      <c r="V486" s="43"/>
      <c r="W486" s="32">
        <f t="shared" si="99"/>
        <v>0</v>
      </c>
      <c r="X486" s="34">
        <f t="shared" si="100"/>
        <v>0</v>
      </c>
      <c r="Y486" s="30">
        <f t="shared" si="101"/>
        <v>0</v>
      </c>
      <c r="Z486" s="34">
        <f t="shared" si="102"/>
        <v>0</v>
      </c>
      <c r="AA486" s="41">
        <f t="shared" si="103"/>
        <v>0</v>
      </c>
      <c r="AB486" s="31">
        <f t="shared" si="104"/>
        <v>0</v>
      </c>
    </row>
    <row r="487" spans="3:28" x14ac:dyDescent="0.7">
      <c r="C487" s="63" t="str">
        <f t="shared" si="107"/>
        <v/>
      </c>
      <c r="D487" s="16"/>
      <c r="E487" s="3"/>
      <c r="F487" s="57"/>
      <c r="G487" s="15" t="str">
        <f t="shared" si="108"/>
        <v/>
      </c>
      <c r="H487" s="65" t="str">
        <f t="shared" si="109"/>
        <v/>
      </c>
      <c r="I487" s="65" t="str">
        <f t="shared" si="110"/>
        <v/>
      </c>
      <c r="O487" s="32" t="str">
        <f t="shared" si="98"/>
        <v/>
      </c>
      <c r="P487" s="21"/>
      <c r="Q487" s="21"/>
      <c r="R487" s="21"/>
      <c r="S487" s="36">
        <f t="shared" si="111"/>
        <v>0</v>
      </c>
      <c r="T487" s="34">
        <f t="shared" si="105"/>
        <v>0</v>
      </c>
      <c r="U487" s="32">
        <f t="shared" si="106"/>
        <v>0</v>
      </c>
      <c r="V487" s="43"/>
      <c r="W487" s="32">
        <f t="shared" si="99"/>
        <v>0</v>
      </c>
      <c r="X487" s="34">
        <f t="shared" si="100"/>
        <v>0</v>
      </c>
      <c r="Y487" s="30">
        <f t="shared" si="101"/>
        <v>0</v>
      </c>
      <c r="Z487" s="34">
        <f t="shared" si="102"/>
        <v>0</v>
      </c>
      <c r="AA487" s="41">
        <f t="shared" si="103"/>
        <v>0</v>
      </c>
      <c r="AB487" s="31">
        <f t="shared" si="104"/>
        <v>0</v>
      </c>
    </row>
    <row r="488" spans="3:28" x14ac:dyDescent="0.7">
      <c r="C488" s="63" t="str">
        <f t="shared" si="107"/>
        <v/>
      </c>
      <c r="D488" s="16"/>
      <c r="E488" s="3"/>
      <c r="F488" s="57"/>
      <c r="G488" s="15" t="str">
        <f t="shared" si="108"/>
        <v/>
      </c>
      <c r="H488" s="65" t="str">
        <f t="shared" si="109"/>
        <v/>
      </c>
      <c r="I488" s="65" t="str">
        <f t="shared" si="110"/>
        <v/>
      </c>
      <c r="O488" s="32" t="str">
        <f t="shared" si="98"/>
        <v/>
      </c>
      <c r="P488" s="21"/>
      <c r="Q488" s="21"/>
      <c r="R488" s="21"/>
      <c r="S488" s="36">
        <f t="shared" si="111"/>
        <v>0</v>
      </c>
      <c r="T488" s="34">
        <f t="shared" si="105"/>
        <v>0</v>
      </c>
      <c r="U488" s="32">
        <f t="shared" si="106"/>
        <v>0</v>
      </c>
      <c r="V488" s="43"/>
      <c r="W488" s="32">
        <f t="shared" si="99"/>
        <v>0</v>
      </c>
      <c r="X488" s="34">
        <f t="shared" si="100"/>
        <v>0</v>
      </c>
      <c r="Y488" s="30">
        <f t="shared" si="101"/>
        <v>0</v>
      </c>
      <c r="Z488" s="34">
        <f t="shared" si="102"/>
        <v>0</v>
      </c>
      <c r="AA488" s="41">
        <f t="shared" si="103"/>
        <v>0</v>
      </c>
      <c r="AB488" s="31">
        <f t="shared" si="104"/>
        <v>0</v>
      </c>
    </row>
    <row r="489" spans="3:28" x14ac:dyDescent="0.7">
      <c r="C489" s="63" t="str">
        <f t="shared" si="107"/>
        <v/>
      </c>
      <c r="D489" s="16"/>
      <c r="E489" s="3"/>
      <c r="F489" s="57"/>
      <c r="G489" s="15" t="str">
        <f t="shared" si="108"/>
        <v/>
      </c>
      <c r="H489" s="65" t="str">
        <f t="shared" si="109"/>
        <v/>
      </c>
      <c r="I489" s="65" t="str">
        <f t="shared" si="110"/>
        <v/>
      </c>
      <c r="O489" s="32" t="str">
        <f t="shared" si="98"/>
        <v/>
      </c>
      <c r="P489" s="21"/>
      <c r="Q489" s="21"/>
      <c r="R489" s="21"/>
      <c r="S489" s="36">
        <f t="shared" si="111"/>
        <v>0</v>
      </c>
      <c r="T489" s="34">
        <f t="shared" si="105"/>
        <v>0</v>
      </c>
      <c r="U489" s="32">
        <f t="shared" si="106"/>
        <v>0</v>
      </c>
      <c r="V489" s="43"/>
      <c r="W489" s="32">
        <f t="shared" si="99"/>
        <v>0</v>
      </c>
      <c r="X489" s="34">
        <f t="shared" si="100"/>
        <v>0</v>
      </c>
      <c r="Y489" s="30">
        <f t="shared" si="101"/>
        <v>0</v>
      </c>
      <c r="Z489" s="34">
        <f t="shared" si="102"/>
        <v>0</v>
      </c>
      <c r="AA489" s="41">
        <f t="shared" si="103"/>
        <v>0</v>
      </c>
      <c r="AB489" s="31">
        <f t="shared" si="104"/>
        <v>0</v>
      </c>
    </row>
    <row r="490" spans="3:28" x14ac:dyDescent="0.7">
      <c r="C490" s="63" t="str">
        <f t="shared" si="107"/>
        <v/>
      </c>
      <c r="D490" s="16"/>
      <c r="E490" s="3"/>
      <c r="F490" s="57"/>
      <c r="G490" s="15" t="str">
        <f t="shared" si="108"/>
        <v/>
      </c>
      <c r="H490" s="65" t="str">
        <f t="shared" si="109"/>
        <v/>
      </c>
      <c r="I490" s="65" t="str">
        <f t="shared" si="110"/>
        <v/>
      </c>
      <c r="O490" s="32" t="str">
        <f t="shared" si="98"/>
        <v/>
      </c>
      <c r="P490" s="21"/>
      <c r="Q490" s="21"/>
      <c r="R490" s="21"/>
      <c r="S490" s="36">
        <f t="shared" si="111"/>
        <v>0</v>
      </c>
      <c r="T490" s="34">
        <f t="shared" si="105"/>
        <v>0</v>
      </c>
      <c r="U490" s="32">
        <f t="shared" si="106"/>
        <v>0</v>
      </c>
      <c r="V490" s="43"/>
      <c r="W490" s="32">
        <f t="shared" si="99"/>
        <v>0</v>
      </c>
      <c r="X490" s="34">
        <f t="shared" si="100"/>
        <v>0</v>
      </c>
      <c r="Y490" s="30">
        <f t="shared" si="101"/>
        <v>0</v>
      </c>
      <c r="Z490" s="34">
        <f t="shared" si="102"/>
        <v>0</v>
      </c>
      <c r="AA490" s="41">
        <f t="shared" si="103"/>
        <v>0</v>
      </c>
      <c r="AB490" s="31">
        <f t="shared" si="104"/>
        <v>0</v>
      </c>
    </row>
    <row r="491" spans="3:28" x14ac:dyDescent="0.7">
      <c r="C491" s="63" t="str">
        <f t="shared" si="107"/>
        <v/>
      </c>
      <c r="D491" s="16"/>
      <c r="E491" s="3"/>
      <c r="F491" s="57"/>
      <c r="G491" s="15" t="str">
        <f t="shared" si="108"/>
        <v/>
      </c>
      <c r="H491" s="65" t="str">
        <f t="shared" si="109"/>
        <v/>
      </c>
      <c r="I491" s="65" t="str">
        <f t="shared" si="110"/>
        <v/>
      </c>
      <c r="O491" s="32" t="str">
        <f t="shared" si="98"/>
        <v/>
      </c>
      <c r="P491" s="21"/>
      <c r="Q491" s="21"/>
      <c r="R491" s="21"/>
      <c r="S491" s="36">
        <f t="shared" si="111"/>
        <v>0</v>
      </c>
      <c r="T491" s="34">
        <f t="shared" si="105"/>
        <v>0</v>
      </c>
      <c r="U491" s="32">
        <f t="shared" si="106"/>
        <v>0</v>
      </c>
      <c r="V491" s="43"/>
      <c r="W491" s="32">
        <f t="shared" si="99"/>
        <v>0</v>
      </c>
      <c r="X491" s="34">
        <f t="shared" si="100"/>
        <v>0</v>
      </c>
      <c r="Y491" s="30">
        <f t="shared" si="101"/>
        <v>0</v>
      </c>
      <c r="Z491" s="34">
        <f t="shared" si="102"/>
        <v>0</v>
      </c>
      <c r="AA491" s="41">
        <f t="shared" si="103"/>
        <v>0</v>
      </c>
      <c r="AB491" s="31">
        <f t="shared" si="104"/>
        <v>0</v>
      </c>
    </row>
    <row r="492" spans="3:28" x14ac:dyDescent="0.7">
      <c r="C492" s="63" t="str">
        <f t="shared" si="107"/>
        <v/>
      </c>
      <c r="D492" s="16"/>
      <c r="E492" s="3"/>
      <c r="F492" s="57"/>
      <c r="G492" s="15" t="str">
        <f t="shared" si="108"/>
        <v/>
      </c>
      <c r="H492" s="65" t="str">
        <f t="shared" si="109"/>
        <v/>
      </c>
      <c r="I492" s="65" t="str">
        <f t="shared" si="110"/>
        <v/>
      </c>
      <c r="O492" s="32" t="str">
        <f t="shared" si="98"/>
        <v/>
      </c>
      <c r="P492" s="21"/>
      <c r="Q492" s="21"/>
      <c r="R492" s="21"/>
      <c r="S492" s="36">
        <f t="shared" si="111"/>
        <v>0</v>
      </c>
      <c r="T492" s="34">
        <f t="shared" si="105"/>
        <v>0</v>
      </c>
      <c r="U492" s="32">
        <f t="shared" si="106"/>
        <v>0</v>
      </c>
      <c r="V492" s="43"/>
      <c r="W492" s="32">
        <f t="shared" si="99"/>
        <v>0</v>
      </c>
      <c r="X492" s="34">
        <f t="shared" si="100"/>
        <v>0</v>
      </c>
      <c r="Y492" s="30">
        <f t="shared" si="101"/>
        <v>0</v>
      </c>
      <c r="Z492" s="34">
        <f t="shared" si="102"/>
        <v>0</v>
      </c>
      <c r="AA492" s="41">
        <f t="shared" si="103"/>
        <v>0</v>
      </c>
      <c r="AB492" s="31">
        <f t="shared" si="104"/>
        <v>0</v>
      </c>
    </row>
    <row r="493" spans="3:28" x14ac:dyDescent="0.7">
      <c r="C493" s="63" t="str">
        <f t="shared" si="107"/>
        <v/>
      </c>
      <c r="D493" s="16"/>
      <c r="E493" s="3"/>
      <c r="F493" s="57"/>
      <c r="G493" s="15" t="str">
        <f t="shared" si="108"/>
        <v/>
      </c>
      <c r="H493" s="65" t="str">
        <f t="shared" si="109"/>
        <v/>
      </c>
      <c r="I493" s="65" t="str">
        <f t="shared" si="110"/>
        <v/>
      </c>
      <c r="O493" s="32" t="str">
        <f t="shared" si="98"/>
        <v/>
      </c>
      <c r="P493" s="21"/>
      <c r="Q493" s="21"/>
      <c r="R493" s="21"/>
      <c r="S493" s="36">
        <f t="shared" si="111"/>
        <v>0</v>
      </c>
      <c r="T493" s="34">
        <f t="shared" si="105"/>
        <v>0</v>
      </c>
      <c r="U493" s="32">
        <f t="shared" si="106"/>
        <v>0</v>
      </c>
      <c r="V493" s="43"/>
      <c r="W493" s="32">
        <f t="shared" si="99"/>
        <v>0</v>
      </c>
      <c r="X493" s="34">
        <f t="shared" si="100"/>
        <v>0</v>
      </c>
      <c r="Y493" s="30">
        <f t="shared" si="101"/>
        <v>0</v>
      </c>
      <c r="Z493" s="34">
        <f t="shared" si="102"/>
        <v>0</v>
      </c>
      <c r="AA493" s="41">
        <f t="shared" si="103"/>
        <v>0</v>
      </c>
      <c r="AB493" s="31">
        <f t="shared" si="104"/>
        <v>0</v>
      </c>
    </row>
    <row r="494" spans="3:28" x14ac:dyDescent="0.7">
      <c r="C494" s="63" t="str">
        <f t="shared" si="107"/>
        <v/>
      </c>
      <c r="D494" s="16"/>
      <c r="E494" s="3"/>
      <c r="F494" s="57"/>
      <c r="G494" s="15" t="str">
        <f t="shared" si="108"/>
        <v/>
      </c>
      <c r="H494" s="65" t="str">
        <f t="shared" si="109"/>
        <v/>
      </c>
      <c r="I494" s="65" t="str">
        <f t="shared" si="110"/>
        <v/>
      </c>
      <c r="O494" s="32" t="str">
        <f t="shared" si="98"/>
        <v/>
      </c>
      <c r="P494" s="21"/>
      <c r="Q494" s="21"/>
      <c r="R494" s="21"/>
      <c r="S494" s="36">
        <f t="shared" si="111"/>
        <v>0</v>
      </c>
      <c r="T494" s="34">
        <f t="shared" si="105"/>
        <v>0</v>
      </c>
      <c r="U494" s="32">
        <f t="shared" si="106"/>
        <v>0</v>
      </c>
      <c r="V494" s="43"/>
      <c r="W494" s="32">
        <f t="shared" si="99"/>
        <v>0</v>
      </c>
      <c r="X494" s="34">
        <f t="shared" si="100"/>
        <v>0</v>
      </c>
      <c r="Y494" s="30">
        <f t="shared" si="101"/>
        <v>0</v>
      </c>
      <c r="Z494" s="34">
        <f t="shared" si="102"/>
        <v>0</v>
      </c>
      <c r="AA494" s="41">
        <f t="shared" si="103"/>
        <v>0</v>
      </c>
      <c r="AB494" s="31">
        <f t="shared" si="104"/>
        <v>0</v>
      </c>
    </row>
    <row r="495" spans="3:28" x14ac:dyDescent="0.7">
      <c r="C495" s="63" t="str">
        <f t="shared" si="107"/>
        <v/>
      </c>
      <c r="D495" s="16"/>
      <c r="E495" s="3"/>
      <c r="F495" s="57"/>
      <c r="G495" s="15" t="str">
        <f t="shared" si="108"/>
        <v/>
      </c>
      <c r="H495" s="65" t="str">
        <f t="shared" si="109"/>
        <v/>
      </c>
      <c r="I495" s="65" t="str">
        <f t="shared" si="110"/>
        <v/>
      </c>
      <c r="O495" s="32" t="str">
        <f t="shared" si="98"/>
        <v/>
      </c>
      <c r="P495" s="21"/>
      <c r="Q495" s="21"/>
      <c r="R495" s="21"/>
      <c r="S495" s="36">
        <f t="shared" si="111"/>
        <v>0</v>
      </c>
      <c r="T495" s="34">
        <f t="shared" si="105"/>
        <v>0</v>
      </c>
      <c r="U495" s="32">
        <f t="shared" si="106"/>
        <v>0</v>
      </c>
      <c r="V495" s="43"/>
      <c r="W495" s="32">
        <f t="shared" si="99"/>
        <v>0</v>
      </c>
      <c r="X495" s="34">
        <f t="shared" si="100"/>
        <v>0</v>
      </c>
      <c r="Y495" s="30">
        <f t="shared" si="101"/>
        <v>0</v>
      </c>
      <c r="Z495" s="34">
        <f t="shared" si="102"/>
        <v>0</v>
      </c>
      <c r="AA495" s="41">
        <f t="shared" si="103"/>
        <v>0</v>
      </c>
      <c r="AB495" s="31">
        <f t="shared" si="104"/>
        <v>0</v>
      </c>
    </row>
    <row r="496" spans="3:28" x14ac:dyDescent="0.7">
      <c r="C496" s="63" t="str">
        <f t="shared" si="107"/>
        <v/>
      </c>
      <c r="D496" s="16"/>
      <c r="E496" s="3"/>
      <c r="F496" s="57"/>
      <c r="G496" s="15" t="str">
        <f t="shared" si="108"/>
        <v/>
      </c>
      <c r="H496" s="65" t="str">
        <f t="shared" si="109"/>
        <v/>
      </c>
      <c r="I496" s="65" t="str">
        <f t="shared" si="110"/>
        <v/>
      </c>
      <c r="O496" s="32" t="str">
        <f t="shared" si="98"/>
        <v/>
      </c>
      <c r="P496" s="21"/>
      <c r="Q496" s="21"/>
      <c r="R496" s="21"/>
      <c r="S496" s="36">
        <f t="shared" si="111"/>
        <v>0</v>
      </c>
      <c r="T496" s="34">
        <f t="shared" si="105"/>
        <v>0</v>
      </c>
      <c r="U496" s="32">
        <f t="shared" si="106"/>
        <v>0</v>
      </c>
      <c r="V496" s="43"/>
      <c r="W496" s="32">
        <f t="shared" si="99"/>
        <v>0</v>
      </c>
      <c r="X496" s="34">
        <f t="shared" si="100"/>
        <v>0</v>
      </c>
      <c r="Y496" s="30">
        <f t="shared" si="101"/>
        <v>0</v>
      </c>
      <c r="Z496" s="34">
        <f t="shared" si="102"/>
        <v>0</v>
      </c>
      <c r="AA496" s="41">
        <f t="shared" si="103"/>
        <v>0</v>
      </c>
      <c r="AB496" s="31">
        <f t="shared" si="104"/>
        <v>0</v>
      </c>
    </row>
    <row r="497" spans="3:28" x14ac:dyDescent="0.7">
      <c r="C497" s="63" t="str">
        <f t="shared" si="107"/>
        <v/>
      </c>
      <c r="D497" s="16"/>
      <c r="E497" s="3"/>
      <c r="F497" s="57"/>
      <c r="G497" s="15" t="str">
        <f t="shared" si="108"/>
        <v/>
      </c>
      <c r="H497" s="65" t="str">
        <f t="shared" si="109"/>
        <v/>
      </c>
      <c r="I497" s="65" t="str">
        <f t="shared" si="110"/>
        <v/>
      </c>
      <c r="O497" s="32" t="str">
        <f t="shared" si="98"/>
        <v/>
      </c>
      <c r="P497" s="21"/>
      <c r="Q497" s="21"/>
      <c r="R497" s="21"/>
      <c r="S497" s="36">
        <f t="shared" si="111"/>
        <v>0</v>
      </c>
      <c r="T497" s="34">
        <f t="shared" si="105"/>
        <v>0</v>
      </c>
      <c r="U497" s="32">
        <f t="shared" si="106"/>
        <v>0</v>
      </c>
      <c r="V497" s="43"/>
      <c r="W497" s="32">
        <f t="shared" si="99"/>
        <v>0</v>
      </c>
      <c r="X497" s="34">
        <f t="shared" si="100"/>
        <v>0</v>
      </c>
      <c r="Y497" s="30">
        <f t="shared" si="101"/>
        <v>0</v>
      </c>
      <c r="Z497" s="34">
        <f t="shared" si="102"/>
        <v>0</v>
      </c>
      <c r="AA497" s="41">
        <f t="shared" si="103"/>
        <v>0</v>
      </c>
      <c r="AB497" s="31">
        <f t="shared" si="104"/>
        <v>0</v>
      </c>
    </row>
    <row r="498" spans="3:28" x14ac:dyDescent="0.7">
      <c r="C498" s="63" t="str">
        <f t="shared" si="107"/>
        <v/>
      </c>
      <c r="D498" s="16"/>
      <c r="E498" s="3"/>
      <c r="F498" s="57"/>
      <c r="G498" s="15" t="str">
        <f t="shared" si="108"/>
        <v/>
      </c>
      <c r="H498" s="65" t="str">
        <f t="shared" si="109"/>
        <v/>
      </c>
      <c r="I498" s="65" t="str">
        <f t="shared" si="110"/>
        <v/>
      </c>
      <c r="O498" s="32" t="str">
        <f t="shared" si="98"/>
        <v/>
      </c>
      <c r="P498" s="21"/>
      <c r="Q498" s="21"/>
      <c r="R498" s="21"/>
      <c r="S498" s="36">
        <f t="shared" si="111"/>
        <v>0</v>
      </c>
      <c r="T498" s="34">
        <f t="shared" si="105"/>
        <v>0</v>
      </c>
      <c r="U498" s="32">
        <f t="shared" si="106"/>
        <v>0</v>
      </c>
      <c r="V498" s="43"/>
      <c r="W498" s="32">
        <f t="shared" si="99"/>
        <v>0</v>
      </c>
      <c r="X498" s="34">
        <f t="shared" si="100"/>
        <v>0</v>
      </c>
      <c r="Y498" s="30">
        <f t="shared" si="101"/>
        <v>0</v>
      </c>
      <c r="Z498" s="34">
        <f t="shared" si="102"/>
        <v>0</v>
      </c>
      <c r="AA498" s="41">
        <f t="shared" si="103"/>
        <v>0</v>
      </c>
      <c r="AB498" s="31">
        <f t="shared" si="104"/>
        <v>0</v>
      </c>
    </row>
    <row r="499" spans="3:28" x14ac:dyDescent="0.7">
      <c r="C499" s="63" t="str">
        <f t="shared" si="107"/>
        <v/>
      </c>
      <c r="D499" s="16"/>
      <c r="E499" s="3"/>
      <c r="F499" s="57"/>
      <c r="G499" s="15" t="str">
        <f t="shared" si="108"/>
        <v/>
      </c>
      <c r="H499" s="65" t="str">
        <f t="shared" si="109"/>
        <v/>
      </c>
      <c r="I499" s="65" t="str">
        <f t="shared" si="110"/>
        <v/>
      </c>
      <c r="O499" s="32" t="str">
        <f t="shared" si="98"/>
        <v/>
      </c>
      <c r="P499" s="21"/>
      <c r="Q499" s="21"/>
      <c r="R499" s="21"/>
      <c r="S499" s="36">
        <f t="shared" si="111"/>
        <v>0</v>
      </c>
      <c r="T499" s="34">
        <f t="shared" si="105"/>
        <v>0</v>
      </c>
      <c r="U499" s="32">
        <f t="shared" si="106"/>
        <v>0</v>
      </c>
      <c r="V499" s="43"/>
      <c r="W499" s="32">
        <f t="shared" si="99"/>
        <v>0</v>
      </c>
      <c r="X499" s="34">
        <f t="shared" si="100"/>
        <v>0</v>
      </c>
      <c r="Y499" s="30">
        <f t="shared" si="101"/>
        <v>0</v>
      </c>
      <c r="Z499" s="34">
        <f t="shared" si="102"/>
        <v>0</v>
      </c>
      <c r="AA499" s="41">
        <f t="shared" si="103"/>
        <v>0</v>
      </c>
      <c r="AB499" s="31">
        <f t="shared" si="104"/>
        <v>0</v>
      </c>
    </row>
    <row r="500" spans="3:28" x14ac:dyDescent="0.7">
      <c r="C500" s="63" t="str">
        <f t="shared" si="107"/>
        <v/>
      </c>
      <c r="D500" s="16"/>
      <c r="E500" s="3"/>
      <c r="F500" s="57"/>
      <c r="G500" s="15" t="str">
        <f t="shared" si="108"/>
        <v/>
      </c>
      <c r="H500" s="65" t="str">
        <f t="shared" si="109"/>
        <v/>
      </c>
      <c r="I500" s="65" t="str">
        <f t="shared" si="110"/>
        <v/>
      </c>
      <c r="O500" s="32" t="str">
        <f t="shared" si="98"/>
        <v/>
      </c>
      <c r="P500" s="21"/>
      <c r="Q500" s="21"/>
      <c r="R500" s="21"/>
      <c r="S500" s="36">
        <f t="shared" si="111"/>
        <v>0</v>
      </c>
      <c r="T500" s="34">
        <f t="shared" si="105"/>
        <v>0</v>
      </c>
      <c r="U500" s="32">
        <f t="shared" si="106"/>
        <v>0</v>
      </c>
      <c r="V500" s="43"/>
      <c r="W500" s="32">
        <f t="shared" si="99"/>
        <v>0</v>
      </c>
      <c r="X500" s="34">
        <f t="shared" si="100"/>
        <v>0</v>
      </c>
      <c r="Y500" s="30">
        <f t="shared" si="101"/>
        <v>0</v>
      </c>
      <c r="Z500" s="34">
        <f t="shared" si="102"/>
        <v>0</v>
      </c>
      <c r="AA500" s="41">
        <f t="shared" si="103"/>
        <v>0</v>
      </c>
      <c r="AB500" s="31">
        <f t="shared" si="104"/>
        <v>0</v>
      </c>
    </row>
    <row r="501" spans="3:28" x14ac:dyDescent="0.7">
      <c r="O501" s="32" t="str">
        <f t="shared" si="98"/>
        <v/>
      </c>
      <c r="P501" s="21"/>
      <c r="Q501" s="21"/>
      <c r="R501" s="21"/>
      <c r="S501" s="36">
        <f t="shared" si="111"/>
        <v>0</v>
      </c>
      <c r="T501" s="34">
        <f t="shared" si="105"/>
        <v>0</v>
      </c>
      <c r="U501" s="32">
        <f t="shared" si="106"/>
        <v>0</v>
      </c>
      <c r="V501" s="43"/>
      <c r="W501" s="32">
        <f t="shared" si="99"/>
        <v>0</v>
      </c>
      <c r="X501" s="34">
        <f t="shared" si="100"/>
        <v>0</v>
      </c>
      <c r="Y501" s="30">
        <f t="shared" si="101"/>
        <v>0</v>
      </c>
      <c r="Z501" s="34">
        <f t="shared" si="102"/>
        <v>0</v>
      </c>
      <c r="AA501" s="41">
        <f t="shared" si="103"/>
        <v>0</v>
      </c>
      <c r="AB501" s="31">
        <f t="shared" si="104"/>
        <v>0</v>
      </c>
    </row>
    <row r="502" spans="3:28" ht="28.5" customHeight="1" x14ac:dyDescent="0.7">
      <c r="C502" s="56"/>
      <c r="D502" s="56"/>
      <c r="E502" s="56"/>
      <c r="F502" s="56"/>
      <c r="G502" s="56"/>
      <c r="H502" s="56"/>
      <c r="O502" s="32" t="str">
        <f t="shared" si="98"/>
        <v/>
      </c>
      <c r="P502" s="21"/>
      <c r="Q502" s="21"/>
      <c r="R502" s="21"/>
      <c r="S502" s="36">
        <f t="shared" si="111"/>
        <v>0</v>
      </c>
      <c r="T502" s="34">
        <f t="shared" si="105"/>
        <v>0</v>
      </c>
      <c r="U502" s="32">
        <f t="shared" si="106"/>
        <v>0</v>
      </c>
      <c r="V502" s="43"/>
      <c r="W502" s="32">
        <f t="shared" si="99"/>
        <v>0</v>
      </c>
      <c r="X502" s="34">
        <f t="shared" si="100"/>
        <v>0</v>
      </c>
      <c r="Y502" s="30">
        <f t="shared" si="101"/>
        <v>0</v>
      </c>
      <c r="Z502" s="34">
        <f t="shared" si="102"/>
        <v>0</v>
      </c>
      <c r="AA502" s="41">
        <f t="shared" si="103"/>
        <v>0</v>
      </c>
      <c r="AB502" s="31">
        <f t="shared" si="104"/>
        <v>0</v>
      </c>
    </row>
    <row r="503" spans="3:28" x14ac:dyDescent="0.7">
      <c r="C503" s="56"/>
      <c r="D503" s="56"/>
      <c r="E503" s="56"/>
      <c r="F503" s="56"/>
      <c r="G503" s="56"/>
      <c r="H503" s="56"/>
      <c r="O503" s="32" t="str">
        <f t="shared" si="98"/>
        <v/>
      </c>
      <c r="P503" s="21"/>
      <c r="Q503" s="21"/>
      <c r="R503" s="21"/>
      <c r="S503" s="36">
        <f t="shared" si="111"/>
        <v>0</v>
      </c>
      <c r="T503" s="34">
        <f t="shared" si="105"/>
        <v>0</v>
      </c>
      <c r="U503" s="32">
        <f t="shared" si="106"/>
        <v>0</v>
      </c>
      <c r="V503" s="43"/>
      <c r="W503" s="32">
        <f t="shared" si="99"/>
        <v>0</v>
      </c>
      <c r="X503" s="34">
        <f t="shared" si="100"/>
        <v>0</v>
      </c>
      <c r="Y503" s="30">
        <f t="shared" si="101"/>
        <v>0</v>
      </c>
      <c r="Z503" s="34">
        <f t="shared" si="102"/>
        <v>0</v>
      </c>
      <c r="AA503" s="41">
        <f t="shared" si="103"/>
        <v>0</v>
      </c>
      <c r="AB503" s="31">
        <f t="shared" si="104"/>
        <v>0</v>
      </c>
    </row>
    <row r="504" spans="3:28" x14ac:dyDescent="0.7">
      <c r="C504" s="56"/>
      <c r="D504" s="56"/>
      <c r="E504" s="56"/>
      <c r="F504" s="56"/>
      <c r="G504" s="56"/>
      <c r="H504" s="56"/>
      <c r="O504" s="32" t="str">
        <f t="shared" si="98"/>
        <v/>
      </c>
      <c r="P504" s="21"/>
      <c r="Q504" s="21"/>
      <c r="R504" s="21"/>
      <c r="S504" s="36">
        <f t="shared" si="111"/>
        <v>0</v>
      </c>
      <c r="T504" s="34">
        <f t="shared" si="105"/>
        <v>0</v>
      </c>
      <c r="U504" s="32">
        <f t="shared" si="106"/>
        <v>0</v>
      </c>
      <c r="V504" s="43"/>
      <c r="W504" s="32">
        <f t="shared" si="99"/>
        <v>0</v>
      </c>
      <c r="X504" s="34">
        <f t="shared" si="100"/>
        <v>0</v>
      </c>
      <c r="Y504" s="30">
        <f t="shared" si="101"/>
        <v>0</v>
      </c>
      <c r="Z504" s="34">
        <f t="shared" si="102"/>
        <v>0</v>
      </c>
      <c r="AA504" s="41">
        <f t="shared" si="103"/>
        <v>0</v>
      </c>
      <c r="AB504" s="31">
        <f t="shared" si="104"/>
        <v>0</v>
      </c>
    </row>
    <row r="505" spans="3:28" x14ac:dyDescent="0.7">
      <c r="C505" s="56"/>
      <c r="D505" s="56"/>
      <c r="E505" s="56"/>
      <c r="F505" s="56"/>
      <c r="G505" s="56"/>
      <c r="H505" s="56"/>
      <c r="O505" s="32" t="str">
        <f t="shared" si="98"/>
        <v/>
      </c>
      <c r="P505" s="21"/>
      <c r="Q505" s="21"/>
      <c r="R505" s="21"/>
      <c r="S505" s="36">
        <f t="shared" si="111"/>
        <v>0</v>
      </c>
      <c r="T505" s="34">
        <f t="shared" si="105"/>
        <v>0</v>
      </c>
      <c r="U505" s="32">
        <f t="shared" si="106"/>
        <v>0</v>
      </c>
      <c r="V505" s="43"/>
      <c r="W505" s="32">
        <f t="shared" si="99"/>
        <v>0</v>
      </c>
      <c r="X505" s="34">
        <f t="shared" si="100"/>
        <v>0</v>
      </c>
      <c r="Y505" s="30">
        <f t="shared" si="101"/>
        <v>0</v>
      </c>
      <c r="Z505" s="34">
        <f t="shared" si="102"/>
        <v>0</v>
      </c>
      <c r="AA505" s="41">
        <f t="shared" si="103"/>
        <v>0</v>
      </c>
      <c r="AB505" s="31">
        <f t="shared" si="104"/>
        <v>0</v>
      </c>
    </row>
    <row r="506" spans="3:28" x14ac:dyDescent="0.7">
      <c r="C506" s="56"/>
      <c r="D506" s="56"/>
      <c r="E506" s="56"/>
      <c r="F506" s="56"/>
      <c r="G506" s="56"/>
      <c r="H506" s="56"/>
      <c r="O506" s="32" t="str">
        <f t="shared" si="98"/>
        <v/>
      </c>
      <c r="P506" s="21"/>
      <c r="Q506" s="21"/>
      <c r="R506" s="21"/>
      <c r="S506" s="36">
        <f t="shared" si="111"/>
        <v>0</v>
      </c>
      <c r="T506" s="34">
        <f t="shared" si="105"/>
        <v>0</v>
      </c>
      <c r="U506" s="32">
        <f t="shared" si="106"/>
        <v>0</v>
      </c>
      <c r="V506" s="43"/>
      <c r="W506" s="32">
        <f t="shared" si="99"/>
        <v>0</v>
      </c>
      <c r="X506" s="34">
        <f t="shared" si="100"/>
        <v>0</v>
      </c>
      <c r="Y506" s="30">
        <f t="shared" si="101"/>
        <v>0</v>
      </c>
      <c r="Z506" s="34">
        <f t="shared" si="102"/>
        <v>0</v>
      </c>
      <c r="AA506" s="41">
        <f t="shared" si="103"/>
        <v>0</v>
      </c>
      <c r="AB506" s="31">
        <f t="shared" si="104"/>
        <v>0</v>
      </c>
    </row>
    <row r="507" spans="3:28" x14ac:dyDescent="0.7">
      <c r="C507" s="56"/>
      <c r="D507" s="56"/>
      <c r="E507" s="56"/>
      <c r="F507" s="56"/>
      <c r="G507" s="56"/>
      <c r="H507" s="56"/>
      <c r="O507" s="32" t="str">
        <f t="shared" si="98"/>
        <v/>
      </c>
      <c r="P507" s="21"/>
      <c r="Q507" s="21"/>
      <c r="R507" s="21"/>
      <c r="S507" s="36">
        <f t="shared" si="111"/>
        <v>0</v>
      </c>
      <c r="T507" s="34">
        <f t="shared" si="105"/>
        <v>0</v>
      </c>
      <c r="U507" s="32">
        <f t="shared" si="106"/>
        <v>0</v>
      </c>
      <c r="V507" s="43"/>
      <c r="W507" s="32">
        <f t="shared" si="99"/>
        <v>0</v>
      </c>
      <c r="X507" s="34">
        <f t="shared" si="100"/>
        <v>0</v>
      </c>
      <c r="Y507" s="30">
        <f t="shared" si="101"/>
        <v>0</v>
      </c>
      <c r="Z507" s="34">
        <f t="shared" si="102"/>
        <v>0</v>
      </c>
      <c r="AA507" s="41">
        <f t="shared" si="103"/>
        <v>0</v>
      </c>
      <c r="AB507" s="31">
        <f t="shared" si="104"/>
        <v>0</v>
      </c>
    </row>
    <row r="508" spans="3:28" x14ac:dyDescent="0.7">
      <c r="C508" s="56"/>
      <c r="D508" s="56"/>
      <c r="E508" s="56"/>
      <c r="F508" s="56"/>
      <c r="G508" s="56"/>
      <c r="H508" s="56"/>
      <c r="O508" s="32" t="str">
        <f t="shared" si="98"/>
        <v/>
      </c>
      <c r="P508" s="21"/>
      <c r="Q508" s="21"/>
      <c r="R508" s="21"/>
      <c r="S508" s="36">
        <f t="shared" si="111"/>
        <v>0</v>
      </c>
      <c r="T508" s="34">
        <f t="shared" si="105"/>
        <v>0</v>
      </c>
      <c r="U508" s="32">
        <f t="shared" si="106"/>
        <v>0</v>
      </c>
      <c r="V508" s="43"/>
      <c r="W508" s="32">
        <f t="shared" si="99"/>
        <v>0</v>
      </c>
      <c r="X508" s="34">
        <f t="shared" si="100"/>
        <v>0</v>
      </c>
      <c r="Y508" s="30">
        <f t="shared" si="101"/>
        <v>0</v>
      </c>
      <c r="Z508" s="34">
        <f t="shared" si="102"/>
        <v>0</v>
      </c>
      <c r="AA508" s="41">
        <f t="shared" si="103"/>
        <v>0</v>
      </c>
      <c r="AB508" s="31">
        <f t="shared" si="104"/>
        <v>0</v>
      </c>
    </row>
    <row r="509" spans="3:28" x14ac:dyDescent="0.7">
      <c r="C509" s="56"/>
      <c r="D509" s="56"/>
      <c r="E509" s="56"/>
      <c r="F509" s="56"/>
      <c r="G509" s="56"/>
      <c r="H509" s="56"/>
      <c r="O509" s="32" t="str">
        <f t="shared" si="98"/>
        <v/>
      </c>
      <c r="P509" s="21"/>
      <c r="Q509" s="21"/>
      <c r="R509" s="21"/>
      <c r="S509" s="36">
        <f t="shared" si="111"/>
        <v>0</v>
      </c>
      <c r="T509" s="34">
        <f t="shared" si="105"/>
        <v>0</v>
      </c>
      <c r="U509" s="32">
        <f t="shared" si="106"/>
        <v>0</v>
      </c>
      <c r="V509" s="43"/>
      <c r="W509" s="32">
        <f t="shared" si="99"/>
        <v>0</v>
      </c>
      <c r="X509" s="34">
        <f t="shared" si="100"/>
        <v>0</v>
      </c>
      <c r="Y509" s="30">
        <f t="shared" si="101"/>
        <v>0</v>
      </c>
      <c r="Z509" s="34">
        <f t="shared" si="102"/>
        <v>0</v>
      </c>
      <c r="AA509" s="41">
        <f t="shared" si="103"/>
        <v>0</v>
      </c>
      <c r="AB509" s="31">
        <f t="shared" si="104"/>
        <v>0</v>
      </c>
    </row>
    <row r="510" spans="3:28" x14ac:dyDescent="0.7">
      <c r="C510" s="56"/>
      <c r="D510" s="56"/>
      <c r="E510" s="56"/>
      <c r="F510" s="56"/>
      <c r="G510" s="56"/>
      <c r="H510" s="56"/>
      <c r="O510" s="32" t="str">
        <f t="shared" si="98"/>
        <v/>
      </c>
      <c r="P510" s="21"/>
      <c r="Q510" s="21"/>
      <c r="R510" s="21"/>
      <c r="S510" s="36">
        <f t="shared" si="111"/>
        <v>0</v>
      </c>
      <c r="T510" s="34">
        <f t="shared" si="105"/>
        <v>0</v>
      </c>
      <c r="U510" s="32">
        <f t="shared" si="106"/>
        <v>0</v>
      </c>
      <c r="V510" s="43"/>
      <c r="W510" s="32">
        <f t="shared" si="99"/>
        <v>0</v>
      </c>
      <c r="X510" s="34">
        <f t="shared" si="100"/>
        <v>0</v>
      </c>
      <c r="Y510" s="30">
        <f t="shared" si="101"/>
        <v>0</v>
      </c>
      <c r="Z510" s="34">
        <f t="shared" si="102"/>
        <v>0</v>
      </c>
      <c r="AA510" s="41">
        <f t="shared" si="103"/>
        <v>0</v>
      </c>
      <c r="AB510" s="31">
        <f t="shared" si="104"/>
        <v>0</v>
      </c>
    </row>
    <row r="511" spans="3:28" x14ac:dyDescent="0.7">
      <c r="C511" s="56"/>
      <c r="D511" s="56"/>
      <c r="E511" s="56"/>
      <c r="F511" s="56"/>
      <c r="G511" s="56"/>
      <c r="H511" s="56"/>
      <c r="O511" s="32" t="str">
        <f t="shared" si="98"/>
        <v/>
      </c>
      <c r="P511" s="21"/>
      <c r="Q511" s="21"/>
      <c r="R511" s="21"/>
      <c r="S511" s="36">
        <f t="shared" si="111"/>
        <v>0</v>
      </c>
      <c r="T511" s="34">
        <f t="shared" si="105"/>
        <v>0</v>
      </c>
      <c r="U511" s="32">
        <f t="shared" si="106"/>
        <v>0</v>
      </c>
      <c r="V511" s="43"/>
      <c r="W511" s="32">
        <f t="shared" si="99"/>
        <v>0</v>
      </c>
      <c r="X511" s="34">
        <f t="shared" si="100"/>
        <v>0</v>
      </c>
      <c r="Y511" s="30">
        <f t="shared" si="101"/>
        <v>0</v>
      </c>
      <c r="Z511" s="34">
        <f t="shared" si="102"/>
        <v>0</v>
      </c>
      <c r="AA511" s="41">
        <f t="shared" si="103"/>
        <v>0</v>
      </c>
      <c r="AB511" s="31">
        <f t="shared" si="104"/>
        <v>0</v>
      </c>
    </row>
    <row r="512" spans="3:28" x14ac:dyDescent="0.7">
      <c r="C512" s="56"/>
      <c r="D512" s="56"/>
      <c r="E512" s="56"/>
      <c r="F512" s="56"/>
      <c r="G512" s="56"/>
      <c r="H512" s="56"/>
      <c r="O512" s="32" t="str">
        <f t="shared" si="98"/>
        <v/>
      </c>
      <c r="P512" s="21"/>
      <c r="Q512" s="21"/>
      <c r="R512" s="21"/>
      <c r="S512" s="36">
        <f t="shared" si="111"/>
        <v>0</v>
      </c>
      <c r="T512" s="34">
        <f t="shared" si="105"/>
        <v>0</v>
      </c>
      <c r="U512" s="32">
        <f t="shared" si="106"/>
        <v>0</v>
      </c>
      <c r="V512" s="43"/>
      <c r="W512" s="32">
        <f t="shared" si="99"/>
        <v>0</v>
      </c>
      <c r="X512" s="34">
        <f t="shared" si="100"/>
        <v>0</v>
      </c>
      <c r="Y512" s="30">
        <f t="shared" si="101"/>
        <v>0</v>
      </c>
      <c r="Z512" s="34">
        <f t="shared" si="102"/>
        <v>0</v>
      </c>
      <c r="AA512" s="41">
        <f t="shared" si="103"/>
        <v>0</v>
      </c>
      <c r="AB512" s="31">
        <f t="shared" si="104"/>
        <v>0</v>
      </c>
    </row>
    <row r="513" spans="3:28" x14ac:dyDescent="0.7">
      <c r="C513" s="56"/>
      <c r="D513" s="56"/>
      <c r="E513" s="56"/>
      <c r="F513" s="56"/>
      <c r="G513" s="56"/>
      <c r="H513" s="56"/>
      <c r="O513" s="32" t="str">
        <f t="shared" si="98"/>
        <v/>
      </c>
      <c r="P513" s="21"/>
      <c r="Q513" s="21"/>
      <c r="R513" s="21"/>
      <c r="S513" s="36">
        <f t="shared" si="111"/>
        <v>0</v>
      </c>
      <c r="T513" s="34">
        <f t="shared" si="105"/>
        <v>0</v>
      </c>
      <c r="U513" s="32">
        <f t="shared" si="106"/>
        <v>0</v>
      </c>
      <c r="V513" s="43"/>
      <c r="W513" s="32">
        <f t="shared" si="99"/>
        <v>0</v>
      </c>
      <c r="X513" s="34">
        <f t="shared" si="100"/>
        <v>0</v>
      </c>
      <c r="Y513" s="30">
        <f t="shared" si="101"/>
        <v>0</v>
      </c>
      <c r="Z513" s="34">
        <f t="shared" si="102"/>
        <v>0</v>
      </c>
      <c r="AA513" s="41">
        <f t="shared" si="103"/>
        <v>0</v>
      </c>
      <c r="AB513" s="31">
        <f t="shared" si="104"/>
        <v>0</v>
      </c>
    </row>
    <row r="514" spans="3:28" x14ac:dyDescent="0.7">
      <c r="C514" s="56"/>
      <c r="D514" s="56"/>
      <c r="E514" s="56"/>
      <c r="F514" s="56"/>
      <c r="G514" s="56"/>
      <c r="H514" s="56"/>
      <c r="O514" s="32" t="str">
        <f t="shared" si="98"/>
        <v/>
      </c>
      <c r="P514" s="21"/>
      <c r="Q514" s="21"/>
      <c r="R514" s="21"/>
      <c r="S514" s="36">
        <f t="shared" si="111"/>
        <v>0</v>
      </c>
      <c r="T514" s="34">
        <f t="shared" si="105"/>
        <v>0</v>
      </c>
      <c r="U514" s="32">
        <f t="shared" si="106"/>
        <v>0</v>
      </c>
      <c r="V514" s="43"/>
      <c r="W514" s="32">
        <f t="shared" si="99"/>
        <v>0</v>
      </c>
      <c r="X514" s="34">
        <f t="shared" si="100"/>
        <v>0</v>
      </c>
      <c r="Y514" s="30">
        <f t="shared" si="101"/>
        <v>0</v>
      </c>
      <c r="Z514" s="34">
        <f t="shared" si="102"/>
        <v>0</v>
      </c>
      <c r="AA514" s="41">
        <f t="shared" si="103"/>
        <v>0</v>
      </c>
      <c r="AB514" s="31">
        <f t="shared" si="104"/>
        <v>0</v>
      </c>
    </row>
    <row r="515" spans="3:28" x14ac:dyDescent="0.7">
      <c r="C515" s="56"/>
      <c r="D515" s="56"/>
      <c r="E515" s="56"/>
      <c r="F515" s="56"/>
      <c r="G515" s="56"/>
      <c r="H515" s="56"/>
      <c r="O515" s="32" t="str">
        <f t="shared" si="98"/>
        <v/>
      </c>
      <c r="P515" s="21"/>
      <c r="Q515" s="21"/>
      <c r="R515" s="21"/>
      <c r="S515" s="36">
        <f t="shared" si="111"/>
        <v>0</v>
      </c>
      <c r="T515" s="34">
        <f t="shared" si="105"/>
        <v>0</v>
      </c>
      <c r="U515" s="32">
        <f t="shared" si="106"/>
        <v>0</v>
      </c>
      <c r="V515" s="43"/>
      <c r="W515" s="32">
        <f t="shared" si="99"/>
        <v>0</v>
      </c>
      <c r="X515" s="34">
        <f t="shared" si="100"/>
        <v>0</v>
      </c>
      <c r="Y515" s="30">
        <f t="shared" si="101"/>
        <v>0</v>
      </c>
      <c r="Z515" s="34">
        <f t="shared" si="102"/>
        <v>0</v>
      </c>
      <c r="AA515" s="41">
        <f t="shared" si="103"/>
        <v>0</v>
      </c>
      <c r="AB515" s="31">
        <f t="shared" si="104"/>
        <v>0</v>
      </c>
    </row>
    <row r="516" spans="3:28" x14ac:dyDescent="0.7">
      <c r="C516" s="56"/>
      <c r="D516" s="56"/>
      <c r="E516" s="56"/>
      <c r="F516" s="56"/>
      <c r="G516" s="56"/>
      <c r="H516" s="56"/>
      <c r="O516" s="32" t="str">
        <f t="shared" si="98"/>
        <v/>
      </c>
      <c r="P516" s="21"/>
      <c r="Q516" s="21"/>
      <c r="R516" s="21"/>
      <c r="S516" s="36">
        <f t="shared" si="111"/>
        <v>0</v>
      </c>
      <c r="T516" s="34">
        <f t="shared" si="105"/>
        <v>0</v>
      </c>
      <c r="U516" s="32">
        <f t="shared" si="106"/>
        <v>0</v>
      </c>
      <c r="V516" s="43"/>
      <c r="W516" s="32">
        <f t="shared" si="99"/>
        <v>0</v>
      </c>
      <c r="X516" s="34">
        <f t="shared" si="100"/>
        <v>0</v>
      </c>
      <c r="Y516" s="30">
        <f t="shared" si="101"/>
        <v>0</v>
      </c>
      <c r="Z516" s="34">
        <f t="shared" si="102"/>
        <v>0</v>
      </c>
      <c r="AA516" s="41">
        <f t="shared" si="103"/>
        <v>0</v>
      </c>
      <c r="AB516" s="31">
        <f t="shared" si="104"/>
        <v>0</v>
      </c>
    </row>
    <row r="517" spans="3:28" x14ac:dyDescent="0.7">
      <c r="O517" s="32" t="str">
        <f t="shared" si="98"/>
        <v/>
      </c>
      <c r="P517" s="21"/>
      <c r="Q517" s="21"/>
      <c r="R517" s="21"/>
      <c r="S517" s="36">
        <f t="shared" si="111"/>
        <v>0</v>
      </c>
      <c r="T517" s="34">
        <f t="shared" si="105"/>
        <v>0</v>
      </c>
      <c r="U517" s="32">
        <f t="shared" si="106"/>
        <v>0</v>
      </c>
      <c r="V517" s="43"/>
      <c r="W517" s="32">
        <f t="shared" si="99"/>
        <v>0</v>
      </c>
      <c r="X517" s="34">
        <f t="shared" si="100"/>
        <v>0</v>
      </c>
      <c r="Y517" s="30">
        <f t="shared" si="101"/>
        <v>0</v>
      </c>
      <c r="Z517" s="34">
        <f t="shared" si="102"/>
        <v>0</v>
      </c>
      <c r="AA517" s="41">
        <f t="shared" si="103"/>
        <v>0</v>
      </c>
      <c r="AB517" s="31">
        <f t="shared" si="104"/>
        <v>0</v>
      </c>
    </row>
    <row r="518" spans="3:28" x14ac:dyDescent="0.7">
      <c r="O518" s="32" t="str">
        <f t="shared" si="98"/>
        <v/>
      </c>
      <c r="P518" s="21"/>
      <c r="Q518" s="21"/>
      <c r="R518" s="21"/>
      <c r="S518" s="36">
        <f t="shared" si="111"/>
        <v>0</v>
      </c>
      <c r="T518" s="34">
        <f t="shared" si="105"/>
        <v>0</v>
      </c>
      <c r="U518" s="32">
        <f t="shared" si="106"/>
        <v>0</v>
      </c>
      <c r="V518" s="43"/>
      <c r="W518" s="32">
        <f t="shared" si="99"/>
        <v>0</v>
      </c>
      <c r="X518" s="34">
        <f t="shared" si="100"/>
        <v>0</v>
      </c>
      <c r="Y518" s="30">
        <f t="shared" si="101"/>
        <v>0</v>
      </c>
      <c r="Z518" s="34">
        <f t="shared" si="102"/>
        <v>0</v>
      </c>
      <c r="AA518" s="41">
        <f t="shared" si="103"/>
        <v>0</v>
      </c>
      <c r="AB518" s="31">
        <f t="shared" si="104"/>
        <v>0</v>
      </c>
    </row>
    <row r="519" spans="3:28" x14ac:dyDescent="0.7">
      <c r="O519" s="32" t="str">
        <f t="shared" si="98"/>
        <v/>
      </c>
      <c r="P519" s="21"/>
      <c r="Q519" s="21"/>
      <c r="R519" s="21"/>
      <c r="S519" s="36">
        <f t="shared" si="111"/>
        <v>0</v>
      </c>
      <c r="T519" s="34">
        <f t="shared" si="105"/>
        <v>0</v>
      </c>
      <c r="U519" s="32">
        <f t="shared" si="106"/>
        <v>0</v>
      </c>
      <c r="V519" s="43"/>
      <c r="W519" s="32">
        <f t="shared" si="99"/>
        <v>0</v>
      </c>
      <c r="X519" s="34">
        <f t="shared" si="100"/>
        <v>0</v>
      </c>
      <c r="Y519" s="30">
        <f t="shared" si="101"/>
        <v>0</v>
      </c>
      <c r="Z519" s="34">
        <f t="shared" si="102"/>
        <v>0</v>
      </c>
      <c r="AA519" s="41">
        <f t="shared" si="103"/>
        <v>0</v>
      </c>
      <c r="AB519" s="31">
        <f t="shared" si="104"/>
        <v>0</v>
      </c>
    </row>
    <row r="520" spans="3:28" x14ac:dyDescent="0.7">
      <c r="O520" s="32" t="str">
        <f t="shared" ref="O520:O583" si="112">IF(P520="","",ROW()-ROW($O$6))</f>
        <v/>
      </c>
      <c r="P520" s="21"/>
      <c r="Q520" s="21"/>
      <c r="R520" s="21"/>
      <c r="S520" s="36">
        <f t="shared" si="111"/>
        <v>0</v>
      </c>
      <c r="T520" s="34">
        <f t="shared" si="105"/>
        <v>0</v>
      </c>
      <c r="U520" s="32">
        <f t="shared" si="106"/>
        <v>0</v>
      </c>
      <c r="V520" s="43"/>
      <c r="W520" s="32">
        <f t="shared" ref="W520:W583" si="113">U520-V520</f>
        <v>0</v>
      </c>
      <c r="X520" s="34">
        <f t="shared" ref="X520:X583" si="114">W520/5440</f>
        <v>0</v>
      </c>
      <c r="Y520" s="30">
        <f t="shared" ref="Y520:Y583" si="115">TRUNC(X520)</f>
        <v>0</v>
      </c>
      <c r="Z520" s="34">
        <f t="shared" ref="Z520:Z583" si="116">(X520-Y520)*20</f>
        <v>0</v>
      </c>
      <c r="AA520" s="41">
        <f t="shared" ref="AA520:AA583" si="117">TRUNC(Z520)</f>
        <v>0</v>
      </c>
      <c r="AB520" s="31">
        <f t="shared" ref="AB520:AB583" si="118">(Z520-AA520)*272</f>
        <v>0</v>
      </c>
    </row>
    <row r="521" spans="3:28" x14ac:dyDescent="0.7">
      <c r="O521" s="32" t="str">
        <f t="shared" si="112"/>
        <v/>
      </c>
      <c r="P521" s="21"/>
      <c r="Q521" s="21"/>
      <c r="R521" s="21"/>
      <c r="S521" s="36">
        <f t="shared" si="111"/>
        <v>0</v>
      </c>
      <c r="T521" s="34">
        <f t="shared" ref="T521:T584" si="119">(S521*R521)/100</f>
        <v>0</v>
      </c>
      <c r="U521" s="32">
        <f t="shared" ref="U521:U584" si="120">R521-T521</f>
        <v>0</v>
      </c>
      <c r="V521" s="43"/>
      <c r="W521" s="32">
        <f t="shared" si="113"/>
        <v>0</v>
      </c>
      <c r="X521" s="34">
        <f t="shared" si="114"/>
        <v>0</v>
      </c>
      <c r="Y521" s="30">
        <f t="shared" si="115"/>
        <v>0</v>
      </c>
      <c r="Z521" s="34">
        <f t="shared" si="116"/>
        <v>0</v>
      </c>
      <c r="AA521" s="41">
        <f t="shared" si="117"/>
        <v>0</v>
      </c>
      <c r="AB521" s="31">
        <f t="shared" si="118"/>
        <v>0</v>
      </c>
    </row>
    <row r="522" spans="3:28" x14ac:dyDescent="0.7">
      <c r="O522" s="32" t="str">
        <f t="shared" si="112"/>
        <v/>
      </c>
      <c r="P522" s="21"/>
      <c r="Q522" s="21"/>
      <c r="R522" s="21"/>
      <c r="S522" s="36">
        <f t="shared" si="111"/>
        <v>0</v>
      </c>
      <c r="T522" s="34">
        <f t="shared" si="119"/>
        <v>0</v>
      </c>
      <c r="U522" s="32">
        <f t="shared" si="120"/>
        <v>0</v>
      </c>
      <c r="V522" s="43"/>
      <c r="W522" s="32">
        <f t="shared" si="113"/>
        <v>0</v>
      </c>
      <c r="X522" s="34">
        <f t="shared" si="114"/>
        <v>0</v>
      </c>
      <c r="Y522" s="30">
        <f t="shared" si="115"/>
        <v>0</v>
      </c>
      <c r="Z522" s="34">
        <f t="shared" si="116"/>
        <v>0</v>
      </c>
      <c r="AA522" s="41">
        <f t="shared" si="117"/>
        <v>0</v>
      </c>
      <c r="AB522" s="31">
        <f t="shared" si="118"/>
        <v>0</v>
      </c>
    </row>
    <row r="523" spans="3:28" x14ac:dyDescent="0.7">
      <c r="O523" s="32" t="str">
        <f t="shared" si="112"/>
        <v/>
      </c>
      <c r="P523" s="21"/>
      <c r="Q523" s="21"/>
      <c r="R523" s="21"/>
      <c r="S523" s="36">
        <f t="shared" ref="S523:S586" si="121">S522</f>
        <v>0</v>
      </c>
      <c r="T523" s="34">
        <f t="shared" si="119"/>
        <v>0</v>
      </c>
      <c r="U523" s="32">
        <f t="shared" si="120"/>
        <v>0</v>
      </c>
      <c r="V523" s="43"/>
      <c r="W523" s="32">
        <f t="shared" si="113"/>
        <v>0</v>
      </c>
      <c r="X523" s="34">
        <f t="shared" si="114"/>
        <v>0</v>
      </c>
      <c r="Y523" s="30">
        <f t="shared" si="115"/>
        <v>0</v>
      </c>
      <c r="Z523" s="34">
        <f t="shared" si="116"/>
        <v>0</v>
      </c>
      <c r="AA523" s="41">
        <f t="shared" si="117"/>
        <v>0</v>
      </c>
      <c r="AB523" s="31">
        <f t="shared" si="118"/>
        <v>0</v>
      </c>
    </row>
    <row r="524" spans="3:28" x14ac:dyDescent="0.7">
      <c r="O524" s="32" t="str">
        <f t="shared" si="112"/>
        <v/>
      </c>
      <c r="P524" s="21"/>
      <c r="Q524" s="21"/>
      <c r="R524" s="21"/>
      <c r="S524" s="36">
        <f t="shared" si="121"/>
        <v>0</v>
      </c>
      <c r="T524" s="34">
        <f t="shared" si="119"/>
        <v>0</v>
      </c>
      <c r="U524" s="32">
        <f t="shared" si="120"/>
        <v>0</v>
      </c>
      <c r="V524" s="43"/>
      <c r="W524" s="32">
        <f t="shared" si="113"/>
        <v>0</v>
      </c>
      <c r="X524" s="34">
        <f t="shared" si="114"/>
        <v>0</v>
      </c>
      <c r="Y524" s="30">
        <f t="shared" si="115"/>
        <v>0</v>
      </c>
      <c r="Z524" s="34">
        <f t="shared" si="116"/>
        <v>0</v>
      </c>
      <c r="AA524" s="41">
        <f t="shared" si="117"/>
        <v>0</v>
      </c>
      <c r="AB524" s="31">
        <f t="shared" si="118"/>
        <v>0</v>
      </c>
    </row>
    <row r="525" spans="3:28" x14ac:dyDescent="0.7">
      <c r="O525" s="32" t="str">
        <f t="shared" si="112"/>
        <v/>
      </c>
      <c r="P525" s="21"/>
      <c r="Q525" s="21"/>
      <c r="R525" s="21"/>
      <c r="S525" s="36">
        <f t="shared" si="121"/>
        <v>0</v>
      </c>
      <c r="T525" s="34">
        <f t="shared" si="119"/>
        <v>0</v>
      </c>
      <c r="U525" s="32">
        <f t="shared" si="120"/>
        <v>0</v>
      </c>
      <c r="V525" s="43"/>
      <c r="W525" s="32">
        <f t="shared" si="113"/>
        <v>0</v>
      </c>
      <c r="X525" s="34">
        <f t="shared" si="114"/>
        <v>0</v>
      </c>
      <c r="Y525" s="30">
        <f t="shared" si="115"/>
        <v>0</v>
      </c>
      <c r="Z525" s="34">
        <f t="shared" si="116"/>
        <v>0</v>
      </c>
      <c r="AA525" s="41">
        <f t="shared" si="117"/>
        <v>0</v>
      </c>
      <c r="AB525" s="31">
        <f t="shared" si="118"/>
        <v>0</v>
      </c>
    </row>
    <row r="526" spans="3:28" x14ac:dyDescent="0.7">
      <c r="O526" s="32" t="str">
        <f t="shared" si="112"/>
        <v/>
      </c>
      <c r="P526" s="21"/>
      <c r="Q526" s="21"/>
      <c r="R526" s="21"/>
      <c r="S526" s="36">
        <f t="shared" si="121"/>
        <v>0</v>
      </c>
      <c r="T526" s="34">
        <f t="shared" si="119"/>
        <v>0</v>
      </c>
      <c r="U526" s="32">
        <f t="shared" si="120"/>
        <v>0</v>
      </c>
      <c r="V526" s="43"/>
      <c r="W526" s="32">
        <f t="shared" si="113"/>
        <v>0</v>
      </c>
      <c r="X526" s="34">
        <f t="shared" si="114"/>
        <v>0</v>
      </c>
      <c r="Y526" s="30">
        <f t="shared" si="115"/>
        <v>0</v>
      </c>
      <c r="Z526" s="34">
        <f t="shared" si="116"/>
        <v>0</v>
      </c>
      <c r="AA526" s="41">
        <f t="shared" si="117"/>
        <v>0</v>
      </c>
      <c r="AB526" s="31">
        <f t="shared" si="118"/>
        <v>0</v>
      </c>
    </row>
    <row r="527" spans="3:28" x14ac:dyDescent="0.7">
      <c r="O527" s="32" t="str">
        <f t="shared" si="112"/>
        <v/>
      </c>
      <c r="P527" s="21"/>
      <c r="Q527" s="21"/>
      <c r="R527" s="21"/>
      <c r="S527" s="36">
        <f t="shared" si="121"/>
        <v>0</v>
      </c>
      <c r="T527" s="34">
        <f t="shared" si="119"/>
        <v>0</v>
      </c>
      <c r="U527" s="32">
        <f t="shared" si="120"/>
        <v>0</v>
      </c>
      <c r="V527" s="43"/>
      <c r="W527" s="32">
        <f t="shared" si="113"/>
        <v>0</v>
      </c>
      <c r="X527" s="34">
        <f t="shared" si="114"/>
        <v>0</v>
      </c>
      <c r="Y527" s="30">
        <f t="shared" si="115"/>
        <v>0</v>
      </c>
      <c r="Z527" s="34">
        <f t="shared" si="116"/>
        <v>0</v>
      </c>
      <c r="AA527" s="41">
        <f t="shared" si="117"/>
        <v>0</v>
      </c>
      <c r="AB527" s="31">
        <f t="shared" si="118"/>
        <v>0</v>
      </c>
    </row>
    <row r="528" spans="3:28" x14ac:dyDescent="0.7">
      <c r="O528" s="32" t="str">
        <f t="shared" si="112"/>
        <v/>
      </c>
      <c r="P528" s="21"/>
      <c r="Q528" s="21"/>
      <c r="R528" s="21"/>
      <c r="S528" s="36">
        <f t="shared" si="121"/>
        <v>0</v>
      </c>
      <c r="T528" s="34">
        <f t="shared" si="119"/>
        <v>0</v>
      </c>
      <c r="U528" s="32">
        <f t="shared" si="120"/>
        <v>0</v>
      </c>
      <c r="V528" s="43"/>
      <c r="W528" s="32">
        <f t="shared" si="113"/>
        <v>0</v>
      </c>
      <c r="X528" s="34">
        <f t="shared" si="114"/>
        <v>0</v>
      </c>
      <c r="Y528" s="30">
        <f t="shared" si="115"/>
        <v>0</v>
      </c>
      <c r="Z528" s="34">
        <f t="shared" si="116"/>
        <v>0</v>
      </c>
      <c r="AA528" s="41">
        <f t="shared" si="117"/>
        <v>0</v>
      </c>
      <c r="AB528" s="31">
        <f t="shared" si="118"/>
        <v>0</v>
      </c>
    </row>
    <row r="529" spans="15:28" x14ac:dyDescent="0.7">
      <c r="O529" s="32" t="str">
        <f t="shared" si="112"/>
        <v/>
      </c>
      <c r="P529" s="21"/>
      <c r="Q529" s="21"/>
      <c r="R529" s="21"/>
      <c r="S529" s="36">
        <f t="shared" si="121"/>
        <v>0</v>
      </c>
      <c r="T529" s="34">
        <f t="shared" si="119"/>
        <v>0</v>
      </c>
      <c r="U529" s="32">
        <f t="shared" si="120"/>
        <v>0</v>
      </c>
      <c r="V529" s="43"/>
      <c r="W529" s="32">
        <f t="shared" si="113"/>
        <v>0</v>
      </c>
      <c r="X529" s="34">
        <f t="shared" si="114"/>
        <v>0</v>
      </c>
      <c r="Y529" s="30">
        <f t="shared" si="115"/>
        <v>0</v>
      </c>
      <c r="Z529" s="34">
        <f t="shared" si="116"/>
        <v>0</v>
      </c>
      <c r="AA529" s="41">
        <f t="shared" si="117"/>
        <v>0</v>
      </c>
      <c r="AB529" s="31">
        <f t="shared" si="118"/>
        <v>0</v>
      </c>
    </row>
    <row r="530" spans="15:28" x14ac:dyDescent="0.7">
      <c r="O530" s="32" t="str">
        <f t="shared" si="112"/>
        <v/>
      </c>
      <c r="P530" s="21"/>
      <c r="Q530" s="21"/>
      <c r="R530" s="21"/>
      <c r="S530" s="36">
        <f t="shared" si="121"/>
        <v>0</v>
      </c>
      <c r="T530" s="34">
        <f t="shared" si="119"/>
        <v>0</v>
      </c>
      <c r="U530" s="32">
        <f t="shared" si="120"/>
        <v>0</v>
      </c>
      <c r="V530" s="43"/>
      <c r="W530" s="32">
        <f t="shared" si="113"/>
        <v>0</v>
      </c>
      <c r="X530" s="34">
        <f t="shared" si="114"/>
        <v>0</v>
      </c>
      <c r="Y530" s="30">
        <f t="shared" si="115"/>
        <v>0</v>
      </c>
      <c r="Z530" s="34">
        <f t="shared" si="116"/>
        <v>0</v>
      </c>
      <c r="AA530" s="41">
        <f t="shared" si="117"/>
        <v>0</v>
      </c>
      <c r="AB530" s="31">
        <f t="shared" si="118"/>
        <v>0</v>
      </c>
    </row>
    <row r="531" spans="15:28" x14ac:dyDescent="0.7">
      <c r="O531" s="32" t="str">
        <f t="shared" si="112"/>
        <v/>
      </c>
      <c r="P531" s="21"/>
      <c r="Q531" s="21"/>
      <c r="R531" s="21"/>
      <c r="S531" s="36">
        <f t="shared" si="121"/>
        <v>0</v>
      </c>
      <c r="T531" s="34">
        <f t="shared" si="119"/>
        <v>0</v>
      </c>
      <c r="U531" s="32">
        <f t="shared" si="120"/>
        <v>0</v>
      </c>
      <c r="V531" s="43"/>
      <c r="W531" s="32">
        <f t="shared" si="113"/>
        <v>0</v>
      </c>
      <c r="X531" s="34">
        <f t="shared" si="114"/>
        <v>0</v>
      </c>
      <c r="Y531" s="30">
        <f t="shared" si="115"/>
        <v>0</v>
      </c>
      <c r="Z531" s="34">
        <f t="shared" si="116"/>
        <v>0</v>
      </c>
      <c r="AA531" s="41">
        <f t="shared" si="117"/>
        <v>0</v>
      </c>
      <c r="AB531" s="31">
        <f t="shared" si="118"/>
        <v>0</v>
      </c>
    </row>
    <row r="532" spans="15:28" x14ac:dyDescent="0.7">
      <c r="O532" s="32" t="str">
        <f t="shared" si="112"/>
        <v/>
      </c>
      <c r="P532" s="21"/>
      <c r="Q532" s="21"/>
      <c r="R532" s="21"/>
      <c r="S532" s="36">
        <f t="shared" si="121"/>
        <v>0</v>
      </c>
      <c r="T532" s="34">
        <f t="shared" si="119"/>
        <v>0</v>
      </c>
      <c r="U532" s="32">
        <f t="shared" si="120"/>
        <v>0</v>
      </c>
      <c r="V532" s="43"/>
      <c r="W532" s="32">
        <f t="shared" si="113"/>
        <v>0</v>
      </c>
      <c r="X532" s="34">
        <f t="shared" si="114"/>
        <v>0</v>
      </c>
      <c r="Y532" s="30">
        <f t="shared" si="115"/>
        <v>0</v>
      </c>
      <c r="Z532" s="34">
        <f t="shared" si="116"/>
        <v>0</v>
      </c>
      <c r="AA532" s="41">
        <f t="shared" si="117"/>
        <v>0</v>
      </c>
      <c r="AB532" s="31">
        <f t="shared" si="118"/>
        <v>0</v>
      </c>
    </row>
    <row r="533" spans="15:28" x14ac:dyDescent="0.7">
      <c r="O533" s="32" t="str">
        <f t="shared" si="112"/>
        <v/>
      </c>
      <c r="P533" s="21"/>
      <c r="Q533" s="21"/>
      <c r="R533" s="21"/>
      <c r="S533" s="36">
        <f t="shared" si="121"/>
        <v>0</v>
      </c>
      <c r="T533" s="34">
        <f t="shared" si="119"/>
        <v>0</v>
      </c>
      <c r="U533" s="32">
        <f t="shared" si="120"/>
        <v>0</v>
      </c>
      <c r="V533" s="43"/>
      <c r="W533" s="32">
        <f t="shared" si="113"/>
        <v>0</v>
      </c>
      <c r="X533" s="34">
        <f t="shared" si="114"/>
        <v>0</v>
      </c>
      <c r="Y533" s="30">
        <f t="shared" si="115"/>
        <v>0</v>
      </c>
      <c r="Z533" s="34">
        <f t="shared" si="116"/>
        <v>0</v>
      </c>
      <c r="AA533" s="41">
        <f t="shared" si="117"/>
        <v>0</v>
      </c>
      <c r="AB533" s="31">
        <f t="shared" si="118"/>
        <v>0</v>
      </c>
    </row>
    <row r="534" spans="15:28" x14ac:dyDescent="0.7">
      <c r="O534" s="32" t="str">
        <f t="shared" si="112"/>
        <v/>
      </c>
      <c r="P534" s="21"/>
      <c r="Q534" s="21"/>
      <c r="R534" s="33"/>
      <c r="S534" s="36">
        <f t="shared" si="121"/>
        <v>0</v>
      </c>
      <c r="T534" s="34">
        <f t="shared" si="119"/>
        <v>0</v>
      </c>
      <c r="U534" s="32">
        <f t="shared" si="120"/>
        <v>0</v>
      </c>
      <c r="V534" s="43"/>
      <c r="W534" s="32">
        <f t="shared" si="113"/>
        <v>0</v>
      </c>
      <c r="X534" s="34">
        <f t="shared" si="114"/>
        <v>0</v>
      </c>
      <c r="Y534" s="30">
        <f t="shared" si="115"/>
        <v>0</v>
      </c>
      <c r="Z534" s="34">
        <f t="shared" si="116"/>
        <v>0</v>
      </c>
      <c r="AA534" s="41">
        <f t="shared" si="117"/>
        <v>0</v>
      </c>
      <c r="AB534" s="31">
        <f t="shared" si="118"/>
        <v>0</v>
      </c>
    </row>
    <row r="535" spans="15:28" x14ac:dyDescent="0.7">
      <c r="O535" s="32" t="str">
        <f t="shared" si="112"/>
        <v/>
      </c>
      <c r="P535" s="21"/>
      <c r="Q535" s="21"/>
      <c r="R535" s="33"/>
      <c r="S535" s="36">
        <f t="shared" si="121"/>
        <v>0</v>
      </c>
      <c r="T535" s="34">
        <f t="shared" si="119"/>
        <v>0</v>
      </c>
      <c r="U535" s="32">
        <f t="shared" si="120"/>
        <v>0</v>
      </c>
      <c r="V535" s="43"/>
      <c r="W535" s="32">
        <f t="shared" si="113"/>
        <v>0</v>
      </c>
      <c r="X535" s="34">
        <f t="shared" si="114"/>
        <v>0</v>
      </c>
      <c r="Y535" s="30">
        <f t="shared" si="115"/>
        <v>0</v>
      </c>
      <c r="Z535" s="34">
        <f t="shared" si="116"/>
        <v>0</v>
      </c>
      <c r="AA535" s="41">
        <f t="shared" si="117"/>
        <v>0</v>
      </c>
      <c r="AB535" s="31">
        <f t="shared" si="118"/>
        <v>0</v>
      </c>
    </row>
    <row r="536" spans="15:28" x14ac:dyDescent="0.7">
      <c r="O536" s="32" t="str">
        <f t="shared" si="112"/>
        <v/>
      </c>
      <c r="P536" s="21"/>
      <c r="Q536" s="21"/>
      <c r="R536" s="33"/>
      <c r="S536" s="36">
        <f t="shared" si="121"/>
        <v>0</v>
      </c>
      <c r="T536" s="34">
        <f t="shared" si="119"/>
        <v>0</v>
      </c>
      <c r="U536" s="32">
        <f t="shared" si="120"/>
        <v>0</v>
      </c>
      <c r="V536" s="43"/>
      <c r="W536" s="32">
        <f t="shared" si="113"/>
        <v>0</v>
      </c>
      <c r="X536" s="34">
        <f t="shared" si="114"/>
        <v>0</v>
      </c>
      <c r="Y536" s="30">
        <f t="shared" si="115"/>
        <v>0</v>
      </c>
      <c r="Z536" s="34">
        <f t="shared" si="116"/>
        <v>0</v>
      </c>
      <c r="AA536" s="41">
        <f t="shared" si="117"/>
        <v>0</v>
      </c>
      <c r="AB536" s="31">
        <f t="shared" si="118"/>
        <v>0</v>
      </c>
    </row>
    <row r="537" spans="15:28" x14ac:dyDescent="0.7">
      <c r="O537" s="32" t="str">
        <f t="shared" si="112"/>
        <v/>
      </c>
      <c r="P537" s="21"/>
      <c r="Q537" s="21"/>
      <c r="R537" s="33"/>
      <c r="S537" s="36">
        <f t="shared" si="121"/>
        <v>0</v>
      </c>
      <c r="T537" s="34">
        <f t="shared" si="119"/>
        <v>0</v>
      </c>
      <c r="U537" s="32">
        <f t="shared" si="120"/>
        <v>0</v>
      </c>
      <c r="V537" s="43"/>
      <c r="W537" s="32">
        <f t="shared" si="113"/>
        <v>0</v>
      </c>
      <c r="X537" s="34">
        <f t="shared" si="114"/>
        <v>0</v>
      </c>
      <c r="Y537" s="30">
        <f t="shared" si="115"/>
        <v>0</v>
      </c>
      <c r="Z537" s="34">
        <f t="shared" si="116"/>
        <v>0</v>
      </c>
      <c r="AA537" s="41">
        <f t="shared" si="117"/>
        <v>0</v>
      </c>
      <c r="AB537" s="31">
        <f t="shared" si="118"/>
        <v>0</v>
      </c>
    </row>
    <row r="538" spans="15:28" x14ac:dyDescent="0.7">
      <c r="O538" s="32" t="str">
        <f t="shared" si="112"/>
        <v/>
      </c>
      <c r="P538" s="21"/>
      <c r="Q538" s="21"/>
      <c r="R538" s="33"/>
      <c r="S538" s="36">
        <f t="shared" si="121"/>
        <v>0</v>
      </c>
      <c r="T538" s="34">
        <f t="shared" si="119"/>
        <v>0</v>
      </c>
      <c r="U538" s="32">
        <f t="shared" si="120"/>
        <v>0</v>
      </c>
      <c r="V538" s="43"/>
      <c r="W538" s="32">
        <f t="shared" si="113"/>
        <v>0</v>
      </c>
      <c r="X538" s="34">
        <f t="shared" si="114"/>
        <v>0</v>
      </c>
      <c r="Y538" s="30">
        <f t="shared" si="115"/>
        <v>0</v>
      </c>
      <c r="Z538" s="34">
        <f t="shared" si="116"/>
        <v>0</v>
      </c>
      <c r="AA538" s="41">
        <f t="shared" si="117"/>
        <v>0</v>
      </c>
      <c r="AB538" s="31">
        <f t="shared" si="118"/>
        <v>0</v>
      </c>
    </row>
    <row r="539" spans="15:28" x14ac:dyDescent="0.7">
      <c r="O539" s="32" t="str">
        <f t="shared" si="112"/>
        <v/>
      </c>
      <c r="P539" s="21"/>
      <c r="Q539" s="21"/>
      <c r="R539" s="33"/>
      <c r="S539" s="36">
        <f t="shared" si="121"/>
        <v>0</v>
      </c>
      <c r="T539" s="34">
        <f t="shared" si="119"/>
        <v>0</v>
      </c>
      <c r="U539" s="32">
        <f t="shared" si="120"/>
        <v>0</v>
      </c>
      <c r="V539" s="43"/>
      <c r="W539" s="32">
        <f t="shared" si="113"/>
        <v>0</v>
      </c>
      <c r="X539" s="34">
        <f t="shared" si="114"/>
        <v>0</v>
      </c>
      <c r="Y539" s="30">
        <f t="shared" si="115"/>
        <v>0</v>
      </c>
      <c r="Z539" s="34">
        <f t="shared" si="116"/>
        <v>0</v>
      </c>
      <c r="AA539" s="41">
        <f t="shared" si="117"/>
        <v>0</v>
      </c>
      <c r="AB539" s="31">
        <f t="shared" si="118"/>
        <v>0</v>
      </c>
    </row>
    <row r="540" spans="15:28" x14ac:dyDescent="0.7">
      <c r="O540" s="32" t="str">
        <f t="shared" si="112"/>
        <v/>
      </c>
      <c r="P540" s="21"/>
      <c r="Q540" s="21"/>
      <c r="R540" s="33"/>
      <c r="S540" s="36">
        <f t="shared" si="121"/>
        <v>0</v>
      </c>
      <c r="T540" s="34">
        <f t="shared" si="119"/>
        <v>0</v>
      </c>
      <c r="U540" s="32">
        <f t="shared" si="120"/>
        <v>0</v>
      </c>
      <c r="V540" s="43"/>
      <c r="W540" s="32">
        <f t="shared" si="113"/>
        <v>0</v>
      </c>
      <c r="X540" s="34">
        <f t="shared" si="114"/>
        <v>0</v>
      </c>
      <c r="Y540" s="30">
        <f t="shared" si="115"/>
        <v>0</v>
      </c>
      <c r="Z540" s="34">
        <f t="shared" si="116"/>
        <v>0</v>
      </c>
      <c r="AA540" s="41">
        <f t="shared" si="117"/>
        <v>0</v>
      </c>
      <c r="AB540" s="31">
        <f t="shared" si="118"/>
        <v>0</v>
      </c>
    </row>
    <row r="541" spans="15:28" x14ac:dyDescent="0.7">
      <c r="O541" s="32" t="str">
        <f t="shared" si="112"/>
        <v/>
      </c>
      <c r="P541" s="21"/>
      <c r="Q541" s="21"/>
      <c r="R541" s="33"/>
      <c r="S541" s="36">
        <f t="shared" si="121"/>
        <v>0</v>
      </c>
      <c r="T541" s="34">
        <f t="shared" si="119"/>
        <v>0</v>
      </c>
      <c r="U541" s="32">
        <f t="shared" si="120"/>
        <v>0</v>
      </c>
      <c r="V541" s="43"/>
      <c r="W541" s="32">
        <f t="shared" si="113"/>
        <v>0</v>
      </c>
      <c r="X541" s="34">
        <f t="shared" si="114"/>
        <v>0</v>
      </c>
      <c r="Y541" s="30">
        <f t="shared" si="115"/>
        <v>0</v>
      </c>
      <c r="Z541" s="34">
        <f t="shared" si="116"/>
        <v>0</v>
      </c>
      <c r="AA541" s="41">
        <f t="shared" si="117"/>
        <v>0</v>
      </c>
      <c r="AB541" s="31">
        <f t="shared" si="118"/>
        <v>0</v>
      </c>
    </row>
    <row r="542" spans="15:28" x14ac:dyDescent="0.7">
      <c r="O542" s="32" t="str">
        <f t="shared" si="112"/>
        <v/>
      </c>
      <c r="P542" s="21"/>
      <c r="Q542" s="21"/>
      <c r="R542" s="33"/>
      <c r="S542" s="36">
        <f t="shared" si="121"/>
        <v>0</v>
      </c>
      <c r="T542" s="34">
        <f t="shared" si="119"/>
        <v>0</v>
      </c>
      <c r="U542" s="32">
        <f t="shared" si="120"/>
        <v>0</v>
      </c>
      <c r="V542" s="43"/>
      <c r="W542" s="32">
        <f t="shared" si="113"/>
        <v>0</v>
      </c>
      <c r="X542" s="34">
        <f t="shared" si="114"/>
        <v>0</v>
      </c>
      <c r="Y542" s="30">
        <f t="shared" si="115"/>
        <v>0</v>
      </c>
      <c r="Z542" s="34">
        <f t="shared" si="116"/>
        <v>0</v>
      </c>
      <c r="AA542" s="41">
        <f t="shared" si="117"/>
        <v>0</v>
      </c>
      <c r="AB542" s="31">
        <f t="shared" si="118"/>
        <v>0</v>
      </c>
    </row>
    <row r="543" spans="15:28" x14ac:dyDescent="0.7">
      <c r="O543" s="32" t="str">
        <f t="shared" si="112"/>
        <v/>
      </c>
      <c r="P543" s="21"/>
      <c r="Q543" s="21"/>
      <c r="R543" s="33"/>
      <c r="S543" s="36">
        <f t="shared" si="121"/>
        <v>0</v>
      </c>
      <c r="T543" s="34">
        <f t="shared" si="119"/>
        <v>0</v>
      </c>
      <c r="U543" s="32">
        <f t="shared" si="120"/>
        <v>0</v>
      </c>
      <c r="V543" s="43"/>
      <c r="W543" s="32">
        <f t="shared" si="113"/>
        <v>0</v>
      </c>
      <c r="X543" s="34">
        <f t="shared" si="114"/>
        <v>0</v>
      </c>
      <c r="Y543" s="30">
        <f t="shared" si="115"/>
        <v>0</v>
      </c>
      <c r="Z543" s="34">
        <f t="shared" si="116"/>
        <v>0</v>
      </c>
      <c r="AA543" s="41">
        <f t="shared" si="117"/>
        <v>0</v>
      </c>
      <c r="AB543" s="31">
        <f t="shared" si="118"/>
        <v>0</v>
      </c>
    </row>
    <row r="544" spans="15:28" x14ac:dyDescent="0.7">
      <c r="O544" s="32" t="str">
        <f t="shared" si="112"/>
        <v/>
      </c>
      <c r="P544" s="21"/>
      <c r="Q544" s="21"/>
      <c r="R544" s="33"/>
      <c r="S544" s="36">
        <f t="shared" si="121"/>
        <v>0</v>
      </c>
      <c r="T544" s="34">
        <f t="shared" si="119"/>
        <v>0</v>
      </c>
      <c r="U544" s="32">
        <f t="shared" si="120"/>
        <v>0</v>
      </c>
      <c r="V544" s="43"/>
      <c r="W544" s="32">
        <f t="shared" si="113"/>
        <v>0</v>
      </c>
      <c r="X544" s="34">
        <f t="shared" si="114"/>
        <v>0</v>
      </c>
      <c r="Y544" s="30">
        <f t="shared" si="115"/>
        <v>0</v>
      </c>
      <c r="Z544" s="34">
        <f t="shared" si="116"/>
        <v>0</v>
      </c>
      <c r="AA544" s="41">
        <f t="shared" si="117"/>
        <v>0</v>
      </c>
      <c r="AB544" s="31">
        <f t="shared" si="118"/>
        <v>0</v>
      </c>
    </row>
    <row r="545" spans="15:28" x14ac:dyDescent="0.7">
      <c r="O545" s="32" t="str">
        <f t="shared" si="112"/>
        <v/>
      </c>
      <c r="P545" s="21"/>
      <c r="Q545" s="21"/>
      <c r="R545" s="33"/>
      <c r="S545" s="36">
        <f t="shared" si="121"/>
        <v>0</v>
      </c>
      <c r="T545" s="34">
        <f t="shared" si="119"/>
        <v>0</v>
      </c>
      <c r="U545" s="32">
        <f t="shared" si="120"/>
        <v>0</v>
      </c>
      <c r="V545" s="43"/>
      <c r="W545" s="32">
        <f t="shared" si="113"/>
        <v>0</v>
      </c>
      <c r="X545" s="34">
        <f t="shared" si="114"/>
        <v>0</v>
      </c>
      <c r="Y545" s="30">
        <f t="shared" si="115"/>
        <v>0</v>
      </c>
      <c r="Z545" s="34">
        <f t="shared" si="116"/>
        <v>0</v>
      </c>
      <c r="AA545" s="41">
        <f t="shared" si="117"/>
        <v>0</v>
      </c>
      <c r="AB545" s="31">
        <f t="shared" si="118"/>
        <v>0</v>
      </c>
    </row>
    <row r="546" spans="15:28" x14ac:dyDescent="0.7">
      <c r="O546" s="32" t="str">
        <f t="shared" si="112"/>
        <v/>
      </c>
      <c r="P546" s="21"/>
      <c r="Q546" s="21"/>
      <c r="R546" s="33"/>
      <c r="S546" s="36">
        <f t="shared" si="121"/>
        <v>0</v>
      </c>
      <c r="T546" s="34">
        <f t="shared" si="119"/>
        <v>0</v>
      </c>
      <c r="U546" s="32">
        <f t="shared" si="120"/>
        <v>0</v>
      </c>
      <c r="V546" s="43"/>
      <c r="W546" s="32">
        <f t="shared" si="113"/>
        <v>0</v>
      </c>
      <c r="X546" s="34">
        <f t="shared" si="114"/>
        <v>0</v>
      </c>
      <c r="Y546" s="30">
        <f t="shared" si="115"/>
        <v>0</v>
      </c>
      <c r="Z546" s="34">
        <f t="shared" si="116"/>
        <v>0</v>
      </c>
      <c r="AA546" s="41">
        <f t="shared" si="117"/>
        <v>0</v>
      </c>
      <c r="AB546" s="31">
        <f t="shared" si="118"/>
        <v>0</v>
      </c>
    </row>
    <row r="547" spans="15:28" x14ac:dyDescent="0.7">
      <c r="O547" s="32" t="str">
        <f t="shared" si="112"/>
        <v/>
      </c>
      <c r="P547" s="21"/>
      <c r="Q547" s="21"/>
      <c r="R547" s="33"/>
      <c r="S547" s="36">
        <f t="shared" si="121"/>
        <v>0</v>
      </c>
      <c r="T547" s="34">
        <f t="shared" si="119"/>
        <v>0</v>
      </c>
      <c r="U547" s="32">
        <f t="shared" si="120"/>
        <v>0</v>
      </c>
      <c r="V547" s="43"/>
      <c r="W547" s="32">
        <f t="shared" si="113"/>
        <v>0</v>
      </c>
      <c r="X547" s="34">
        <f t="shared" si="114"/>
        <v>0</v>
      </c>
      <c r="Y547" s="30">
        <f t="shared" si="115"/>
        <v>0</v>
      </c>
      <c r="Z547" s="34">
        <f t="shared" si="116"/>
        <v>0</v>
      </c>
      <c r="AA547" s="41">
        <f t="shared" si="117"/>
        <v>0</v>
      </c>
      <c r="AB547" s="31">
        <f t="shared" si="118"/>
        <v>0</v>
      </c>
    </row>
    <row r="548" spans="15:28" x14ac:dyDescent="0.7">
      <c r="O548" s="32" t="str">
        <f t="shared" si="112"/>
        <v/>
      </c>
      <c r="P548" s="21"/>
      <c r="Q548" s="21"/>
      <c r="R548" s="33"/>
      <c r="S548" s="36">
        <f t="shared" si="121"/>
        <v>0</v>
      </c>
      <c r="T548" s="34">
        <f t="shared" si="119"/>
        <v>0</v>
      </c>
      <c r="U548" s="32">
        <f t="shared" si="120"/>
        <v>0</v>
      </c>
      <c r="V548" s="43"/>
      <c r="W548" s="32">
        <f t="shared" si="113"/>
        <v>0</v>
      </c>
      <c r="X548" s="34">
        <f t="shared" si="114"/>
        <v>0</v>
      </c>
      <c r="Y548" s="30">
        <f t="shared" si="115"/>
        <v>0</v>
      </c>
      <c r="Z548" s="34">
        <f t="shared" si="116"/>
        <v>0</v>
      </c>
      <c r="AA548" s="41">
        <f t="shared" si="117"/>
        <v>0</v>
      </c>
      <c r="AB548" s="31">
        <f t="shared" si="118"/>
        <v>0</v>
      </c>
    </row>
    <row r="549" spans="15:28" x14ac:dyDescent="0.7">
      <c r="O549" s="32" t="str">
        <f t="shared" si="112"/>
        <v/>
      </c>
      <c r="P549" s="21"/>
      <c r="Q549" s="21"/>
      <c r="R549" s="33"/>
      <c r="S549" s="36">
        <f t="shared" si="121"/>
        <v>0</v>
      </c>
      <c r="T549" s="34">
        <f t="shared" si="119"/>
        <v>0</v>
      </c>
      <c r="U549" s="32">
        <f t="shared" si="120"/>
        <v>0</v>
      </c>
      <c r="V549" s="43"/>
      <c r="W549" s="32">
        <f t="shared" si="113"/>
        <v>0</v>
      </c>
      <c r="X549" s="34">
        <f t="shared" si="114"/>
        <v>0</v>
      </c>
      <c r="Y549" s="30">
        <f t="shared" si="115"/>
        <v>0</v>
      </c>
      <c r="Z549" s="34">
        <f t="shared" si="116"/>
        <v>0</v>
      </c>
      <c r="AA549" s="41">
        <f t="shared" si="117"/>
        <v>0</v>
      </c>
      <c r="AB549" s="31">
        <f t="shared" si="118"/>
        <v>0</v>
      </c>
    </row>
    <row r="550" spans="15:28" x14ac:dyDescent="0.7">
      <c r="O550" s="32" t="str">
        <f t="shared" si="112"/>
        <v/>
      </c>
      <c r="P550" s="21"/>
      <c r="Q550" s="21"/>
      <c r="R550" s="33"/>
      <c r="S550" s="36">
        <f t="shared" si="121"/>
        <v>0</v>
      </c>
      <c r="T550" s="34">
        <f t="shared" si="119"/>
        <v>0</v>
      </c>
      <c r="U550" s="32">
        <f t="shared" si="120"/>
        <v>0</v>
      </c>
      <c r="V550" s="43"/>
      <c r="W550" s="32">
        <f t="shared" si="113"/>
        <v>0</v>
      </c>
      <c r="X550" s="34">
        <f t="shared" si="114"/>
        <v>0</v>
      </c>
      <c r="Y550" s="30">
        <f t="shared" si="115"/>
        <v>0</v>
      </c>
      <c r="Z550" s="34">
        <f t="shared" si="116"/>
        <v>0</v>
      </c>
      <c r="AA550" s="41">
        <f t="shared" si="117"/>
        <v>0</v>
      </c>
      <c r="AB550" s="31">
        <f t="shared" si="118"/>
        <v>0</v>
      </c>
    </row>
    <row r="551" spans="15:28" x14ac:dyDescent="0.7">
      <c r="O551" s="32" t="str">
        <f t="shared" si="112"/>
        <v/>
      </c>
      <c r="P551" s="21"/>
      <c r="Q551" s="21"/>
      <c r="R551" s="33"/>
      <c r="S551" s="36">
        <f t="shared" si="121"/>
        <v>0</v>
      </c>
      <c r="T551" s="34">
        <f t="shared" si="119"/>
        <v>0</v>
      </c>
      <c r="U551" s="32">
        <f t="shared" si="120"/>
        <v>0</v>
      </c>
      <c r="V551" s="43"/>
      <c r="W551" s="32">
        <f t="shared" si="113"/>
        <v>0</v>
      </c>
      <c r="X551" s="34">
        <f t="shared" si="114"/>
        <v>0</v>
      </c>
      <c r="Y551" s="30">
        <f t="shared" si="115"/>
        <v>0</v>
      </c>
      <c r="Z551" s="34">
        <f t="shared" si="116"/>
        <v>0</v>
      </c>
      <c r="AA551" s="41">
        <f t="shared" si="117"/>
        <v>0</v>
      </c>
      <c r="AB551" s="31">
        <f t="shared" si="118"/>
        <v>0</v>
      </c>
    </row>
    <row r="552" spans="15:28" x14ac:dyDescent="0.7">
      <c r="O552" s="32" t="str">
        <f t="shared" si="112"/>
        <v/>
      </c>
      <c r="P552" s="21"/>
      <c r="Q552" s="21"/>
      <c r="R552" s="33"/>
      <c r="S552" s="36">
        <f t="shared" si="121"/>
        <v>0</v>
      </c>
      <c r="T552" s="34">
        <f t="shared" si="119"/>
        <v>0</v>
      </c>
      <c r="U552" s="32">
        <f t="shared" si="120"/>
        <v>0</v>
      </c>
      <c r="V552" s="43"/>
      <c r="W552" s="32">
        <f t="shared" si="113"/>
        <v>0</v>
      </c>
      <c r="X552" s="34">
        <f t="shared" si="114"/>
        <v>0</v>
      </c>
      <c r="Y552" s="30">
        <f t="shared" si="115"/>
        <v>0</v>
      </c>
      <c r="Z552" s="34">
        <f t="shared" si="116"/>
        <v>0</v>
      </c>
      <c r="AA552" s="41">
        <f t="shared" si="117"/>
        <v>0</v>
      </c>
      <c r="AB552" s="31">
        <f t="shared" si="118"/>
        <v>0</v>
      </c>
    </row>
    <row r="553" spans="15:28" x14ac:dyDescent="0.7">
      <c r="O553" s="32" t="str">
        <f t="shared" si="112"/>
        <v/>
      </c>
      <c r="P553" s="21"/>
      <c r="Q553" s="21"/>
      <c r="R553" s="33"/>
      <c r="S553" s="36">
        <f t="shared" si="121"/>
        <v>0</v>
      </c>
      <c r="T553" s="34">
        <f t="shared" si="119"/>
        <v>0</v>
      </c>
      <c r="U553" s="32">
        <f t="shared" si="120"/>
        <v>0</v>
      </c>
      <c r="V553" s="43"/>
      <c r="W553" s="32">
        <f t="shared" si="113"/>
        <v>0</v>
      </c>
      <c r="X553" s="34">
        <f t="shared" si="114"/>
        <v>0</v>
      </c>
      <c r="Y553" s="30">
        <f t="shared" si="115"/>
        <v>0</v>
      </c>
      <c r="Z553" s="34">
        <f t="shared" si="116"/>
        <v>0</v>
      </c>
      <c r="AA553" s="41">
        <f t="shared" si="117"/>
        <v>0</v>
      </c>
      <c r="AB553" s="31">
        <f t="shared" si="118"/>
        <v>0</v>
      </c>
    </row>
    <row r="554" spans="15:28" x14ac:dyDescent="0.7">
      <c r="O554" s="32" t="str">
        <f t="shared" si="112"/>
        <v/>
      </c>
      <c r="P554" s="21"/>
      <c r="Q554" s="21"/>
      <c r="R554" s="33"/>
      <c r="S554" s="36">
        <f t="shared" si="121"/>
        <v>0</v>
      </c>
      <c r="T554" s="34">
        <f t="shared" si="119"/>
        <v>0</v>
      </c>
      <c r="U554" s="32">
        <f t="shared" si="120"/>
        <v>0</v>
      </c>
      <c r="V554" s="43"/>
      <c r="W554" s="32">
        <f t="shared" si="113"/>
        <v>0</v>
      </c>
      <c r="X554" s="34">
        <f t="shared" si="114"/>
        <v>0</v>
      </c>
      <c r="Y554" s="30">
        <f t="shared" si="115"/>
        <v>0</v>
      </c>
      <c r="Z554" s="34">
        <f t="shared" si="116"/>
        <v>0</v>
      </c>
      <c r="AA554" s="41">
        <f t="shared" si="117"/>
        <v>0</v>
      </c>
      <c r="AB554" s="31">
        <f t="shared" si="118"/>
        <v>0</v>
      </c>
    </row>
    <row r="555" spans="15:28" x14ac:dyDescent="0.7">
      <c r="O555" s="32" t="str">
        <f t="shared" si="112"/>
        <v/>
      </c>
      <c r="P555" s="21"/>
      <c r="Q555" s="21"/>
      <c r="R555" s="33"/>
      <c r="S555" s="36">
        <f t="shared" si="121"/>
        <v>0</v>
      </c>
      <c r="T555" s="34">
        <f t="shared" si="119"/>
        <v>0</v>
      </c>
      <c r="U555" s="32">
        <f t="shared" si="120"/>
        <v>0</v>
      </c>
      <c r="V555" s="43"/>
      <c r="W555" s="32">
        <f t="shared" si="113"/>
        <v>0</v>
      </c>
      <c r="X555" s="34">
        <f t="shared" si="114"/>
        <v>0</v>
      </c>
      <c r="Y555" s="30">
        <f t="shared" si="115"/>
        <v>0</v>
      </c>
      <c r="Z555" s="34">
        <f t="shared" si="116"/>
        <v>0</v>
      </c>
      <c r="AA555" s="41">
        <f t="shared" si="117"/>
        <v>0</v>
      </c>
      <c r="AB555" s="31">
        <f t="shared" si="118"/>
        <v>0</v>
      </c>
    </row>
    <row r="556" spans="15:28" x14ac:dyDescent="0.7">
      <c r="O556" s="32" t="str">
        <f t="shared" si="112"/>
        <v/>
      </c>
      <c r="P556" s="21"/>
      <c r="Q556" s="21"/>
      <c r="R556" s="33"/>
      <c r="S556" s="36">
        <f t="shared" si="121"/>
        <v>0</v>
      </c>
      <c r="T556" s="34">
        <f t="shared" si="119"/>
        <v>0</v>
      </c>
      <c r="U556" s="32">
        <f t="shared" si="120"/>
        <v>0</v>
      </c>
      <c r="V556" s="43"/>
      <c r="W556" s="32">
        <f t="shared" si="113"/>
        <v>0</v>
      </c>
      <c r="X556" s="34">
        <f t="shared" si="114"/>
        <v>0</v>
      </c>
      <c r="Y556" s="30">
        <f t="shared" si="115"/>
        <v>0</v>
      </c>
      <c r="Z556" s="34">
        <f t="shared" si="116"/>
        <v>0</v>
      </c>
      <c r="AA556" s="41">
        <f t="shared" si="117"/>
        <v>0</v>
      </c>
      <c r="AB556" s="31">
        <f t="shared" si="118"/>
        <v>0</v>
      </c>
    </row>
    <row r="557" spans="15:28" x14ac:dyDescent="0.7">
      <c r="O557" s="32" t="str">
        <f t="shared" si="112"/>
        <v/>
      </c>
      <c r="P557" s="21"/>
      <c r="Q557" s="21"/>
      <c r="R557" s="33"/>
      <c r="S557" s="36">
        <f t="shared" si="121"/>
        <v>0</v>
      </c>
      <c r="T557" s="34">
        <f t="shared" si="119"/>
        <v>0</v>
      </c>
      <c r="U557" s="32">
        <f t="shared" si="120"/>
        <v>0</v>
      </c>
      <c r="V557" s="43"/>
      <c r="W557" s="32">
        <f t="shared" si="113"/>
        <v>0</v>
      </c>
      <c r="X557" s="34">
        <f t="shared" si="114"/>
        <v>0</v>
      </c>
      <c r="Y557" s="30">
        <f t="shared" si="115"/>
        <v>0</v>
      </c>
      <c r="Z557" s="34">
        <f t="shared" si="116"/>
        <v>0</v>
      </c>
      <c r="AA557" s="41">
        <f t="shared" si="117"/>
        <v>0</v>
      </c>
      <c r="AB557" s="31">
        <f t="shared" si="118"/>
        <v>0</v>
      </c>
    </row>
    <row r="558" spans="15:28" x14ac:dyDescent="0.7">
      <c r="O558" s="32" t="str">
        <f t="shared" si="112"/>
        <v/>
      </c>
      <c r="P558" s="21"/>
      <c r="Q558" s="21"/>
      <c r="R558" s="33"/>
      <c r="S558" s="36">
        <f t="shared" si="121"/>
        <v>0</v>
      </c>
      <c r="T558" s="34">
        <f t="shared" si="119"/>
        <v>0</v>
      </c>
      <c r="U558" s="32">
        <f t="shared" si="120"/>
        <v>0</v>
      </c>
      <c r="V558" s="43"/>
      <c r="W558" s="32">
        <f t="shared" si="113"/>
        <v>0</v>
      </c>
      <c r="X558" s="34">
        <f t="shared" si="114"/>
        <v>0</v>
      </c>
      <c r="Y558" s="30">
        <f t="shared" si="115"/>
        <v>0</v>
      </c>
      <c r="Z558" s="34">
        <f t="shared" si="116"/>
        <v>0</v>
      </c>
      <c r="AA558" s="41">
        <f t="shared" si="117"/>
        <v>0</v>
      </c>
      <c r="AB558" s="31">
        <f t="shared" si="118"/>
        <v>0</v>
      </c>
    </row>
    <row r="559" spans="15:28" x14ac:dyDescent="0.7">
      <c r="O559" s="32" t="str">
        <f t="shared" si="112"/>
        <v/>
      </c>
      <c r="P559" s="21"/>
      <c r="Q559" s="21"/>
      <c r="R559" s="33"/>
      <c r="S559" s="36">
        <f t="shared" si="121"/>
        <v>0</v>
      </c>
      <c r="T559" s="34">
        <f t="shared" si="119"/>
        <v>0</v>
      </c>
      <c r="U559" s="32">
        <f t="shared" si="120"/>
        <v>0</v>
      </c>
      <c r="V559" s="43"/>
      <c r="W559" s="32">
        <f t="shared" si="113"/>
        <v>0</v>
      </c>
      <c r="X559" s="34">
        <f t="shared" si="114"/>
        <v>0</v>
      </c>
      <c r="Y559" s="30">
        <f t="shared" si="115"/>
        <v>0</v>
      </c>
      <c r="Z559" s="34">
        <f t="shared" si="116"/>
        <v>0</v>
      </c>
      <c r="AA559" s="41">
        <f t="shared" si="117"/>
        <v>0</v>
      </c>
      <c r="AB559" s="31">
        <f t="shared" si="118"/>
        <v>0</v>
      </c>
    </row>
    <row r="560" spans="15:28" x14ac:dyDescent="0.7">
      <c r="O560" s="32" t="str">
        <f t="shared" si="112"/>
        <v/>
      </c>
      <c r="P560" s="21"/>
      <c r="Q560" s="21"/>
      <c r="R560" s="33"/>
      <c r="S560" s="36">
        <f t="shared" si="121"/>
        <v>0</v>
      </c>
      <c r="T560" s="34">
        <f t="shared" si="119"/>
        <v>0</v>
      </c>
      <c r="U560" s="32">
        <f t="shared" si="120"/>
        <v>0</v>
      </c>
      <c r="V560" s="43"/>
      <c r="W560" s="32">
        <f t="shared" si="113"/>
        <v>0</v>
      </c>
      <c r="X560" s="34">
        <f t="shared" si="114"/>
        <v>0</v>
      </c>
      <c r="Y560" s="30">
        <f t="shared" si="115"/>
        <v>0</v>
      </c>
      <c r="Z560" s="34">
        <f t="shared" si="116"/>
        <v>0</v>
      </c>
      <c r="AA560" s="41">
        <f t="shared" si="117"/>
        <v>0</v>
      </c>
      <c r="AB560" s="31">
        <f t="shared" si="118"/>
        <v>0</v>
      </c>
    </row>
    <row r="561" spans="15:28" x14ac:dyDescent="0.7">
      <c r="O561" s="32" t="str">
        <f t="shared" si="112"/>
        <v/>
      </c>
      <c r="P561" s="21"/>
      <c r="Q561" s="21"/>
      <c r="R561" s="33"/>
      <c r="S561" s="36">
        <f t="shared" si="121"/>
        <v>0</v>
      </c>
      <c r="T561" s="34">
        <f t="shared" si="119"/>
        <v>0</v>
      </c>
      <c r="U561" s="32">
        <f t="shared" si="120"/>
        <v>0</v>
      </c>
      <c r="V561" s="43"/>
      <c r="W561" s="32">
        <f t="shared" si="113"/>
        <v>0</v>
      </c>
      <c r="X561" s="34">
        <f t="shared" si="114"/>
        <v>0</v>
      </c>
      <c r="Y561" s="30">
        <f t="shared" si="115"/>
        <v>0</v>
      </c>
      <c r="Z561" s="34">
        <f t="shared" si="116"/>
        <v>0</v>
      </c>
      <c r="AA561" s="41">
        <f t="shared" si="117"/>
        <v>0</v>
      </c>
      <c r="AB561" s="31">
        <f t="shared" si="118"/>
        <v>0</v>
      </c>
    </row>
    <row r="562" spans="15:28" x14ac:dyDescent="0.7">
      <c r="O562" s="32" t="str">
        <f t="shared" si="112"/>
        <v/>
      </c>
      <c r="P562" s="21"/>
      <c r="Q562" s="21"/>
      <c r="R562" s="33"/>
      <c r="S562" s="36">
        <f t="shared" si="121"/>
        <v>0</v>
      </c>
      <c r="T562" s="34">
        <f t="shared" si="119"/>
        <v>0</v>
      </c>
      <c r="U562" s="32">
        <f t="shared" si="120"/>
        <v>0</v>
      </c>
      <c r="V562" s="43"/>
      <c r="W562" s="32">
        <f t="shared" si="113"/>
        <v>0</v>
      </c>
      <c r="X562" s="34">
        <f t="shared" si="114"/>
        <v>0</v>
      </c>
      <c r="Y562" s="30">
        <f t="shared" si="115"/>
        <v>0</v>
      </c>
      <c r="Z562" s="34">
        <f t="shared" si="116"/>
        <v>0</v>
      </c>
      <c r="AA562" s="41">
        <f t="shared" si="117"/>
        <v>0</v>
      </c>
      <c r="AB562" s="31">
        <f t="shared" si="118"/>
        <v>0</v>
      </c>
    </row>
    <row r="563" spans="15:28" x14ac:dyDescent="0.7">
      <c r="O563" s="32" t="str">
        <f t="shared" si="112"/>
        <v/>
      </c>
      <c r="P563" s="21"/>
      <c r="Q563" s="21"/>
      <c r="R563" s="33"/>
      <c r="S563" s="36">
        <f t="shared" si="121"/>
        <v>0</v>
      </c>
      <c r="T563" s="34">
        <f t="shared" si="119"/>
        <v>0</v>
      </c>
      <c r="U563" s="32">
        <f t="shared" si="120"/>
        <v>0</v>
      </c>
      <c r="V563" s="43"/>
      <c r="W563" s="32">
        <f t="shared" si="113"/>
        <v>0</v>
      </c>
      <c r="X563" s="34">
        <f t="shared" si="114"/>
        <v>0</v>
      </c>
      <c r="Y563" s="30">
        <f t="shared" si="115"/>
        <v>0</v>
      </c>
      <c r="Z563" s="34">
        <f t="shared" si="116"/>
        <v>0</v>
      </c>
      <c r="AA563" s="41">
        <f t="shared" si="117"/>
        <v>0</v>
      </c>
      <c r="AB563" s="31">
        <f t="shared" si="118"/>
        <v>0</v>
      </c>
    </row>
    <row r="564" spans="15:28" x14ac:dyDescent="0.7">
      <c r="O564" s="32" t="str">
        <f t="shared" si="112"/>
        <v/>
      </c>
      <c r="P564" s="21"/>
      <c r="Q564" s="21"/>
      <c r="R564" s="33"/>
      <c r="S564" s="36">
        <f t="shared" si="121"/>
        <v>0</v>
      </c>
      <c r="T564" s="34">
        <f t="shared" si="119"/>
        <v>0</v>
      </c>
      <c r="U564" s="32">
        <f t="shared" si="120"/>
        <v>0</v>
      </c>
      <c r="V564" s="43"/>
      <c r="W564" s="32">
        <f t="shared" si="113"/>
        <v>0</v>
      </c>
      <c r="X564" s="34">
        <f t="shared" si="114"/>
        <v>0</v>
      </c>
      <c r="Y564" s="30">
        <f t="shared" si="115"/>
        <v>0</v>
      </c>
      <c r="Z564" s="34">
        <f t="shared" si="116"/>
        <v>0</v>
      </c>
      <c r="AA564" s="41">
        <f t="shared" si="117"/>
        <v>0</v>
      </c>
      <c r="AB564" s="31">
        <f t="shared" si="118"/>
        <v>0</v>
      </c>
    </row>
    <row r="565" spans="15:28" x14ac:dyDescent="0.7">
      <c r="O565" s="32" t="str">
        <f t="shared" si="112"/>
        <v/>
      </c>
      <c r="P565" s="21"/>
      <c r="Q565" s="21"/>
      <c r="R565" s="33"/>
      <c r="S565" s="36">
        <f t="shared" si="121"/>
        <v>0</v>
      </c>
      <c r="T565" s="34">
        <f t="shared" si="119"/>
        <v>0</v>
      </c>
      <c r="U565" s="32">
        <f t="shared" si="120"/>
        <v>0</v>
      </c>
      <c r="V565" s="43"/>
      <c r="W565" s="32">
        <f t="shared" si="113"/>
        <v>0</v>
      </c>
      <c r="X565" s="34">
        <f t="shared" si="114"/>
        <v>0</v>
      </c>
      <c r="Y565" s="30">
        <f t="shared" si="115"/>
        <v>0</v>
      </c>
      <c r="Z565" s="34">
        <f t="shared" si="116"/>
        <v>0</v>
      </c>
      <c r="AA565" s="41">
        <f t="shared" si="117"/>
        <v>0</v>
      </c>
      <c r="AB565" s="31">
        <f t="shared" si="118"/>
        <v>0</v>
      </c>
    </row>
    <row r="566" spans="15:28" x14ac:dyDescent="0.7">
      <c r="O566" s="32" t="str">
        <f t="shared" si="112"/>
        <v/>
      </c>
      <c r="P566" s="21"/>
      <c r="Q566" s="21"/>
      <c r="R566" s="33"/>
      <c r="S566" s="36">
        <f t="shared" si="121"/>
        <v>0</v>
      </c>
      <c r="T566" s="34">
        <f t="shared" si="119"/>
        <v>0</v>
      </c>
      <c r="U566" s="32">
        <f t="shared" si="120"/>
        <v>0</v>
      </c>
      <c r="V566" s="43"/>
      <c r="W566" s="32">
        <f t="shared" si="113"/>
        <v>0</v>
      </c>
      <c r="X566" s="34">
        <f t="shared" si="114"/>
        <v>0</v>
      </c>
      <c r="Y566" s="30">
        <f t="shared" si="115"/>
        <v>0</v>
      </c>
      <c r="Z566" s="34">
        <f t="shared" si="116"/>
        <v>0</v>
      </c>
      <c r="AA566" s="41">
        <f t="shared" si="117"/>
        <v>0</v>
      </c>
      <c r="AB566" s="31">
        <f t="shared" si="118"/>
        <v>0</v>
      </c>
    </row>
    <row r="567" spans="15:28" x14ac:dyDescent="0.7">
      <c r="O567" s="32" t="str">
        <f t="shared" si="112"/>
        <v/>
      </c>
      <c r="P567" s="21"/>
      <c r="Q567" s="21"/>
      <c r="R567" s="33"/>
      <c r="S567" s="36">
        <f t="shared" si="121"/>
        <v>0</v>
      </c>
      <c r="T567" s="34">
        <f t="shared" si="119"/>
        <v>0</v>
      </c>
      <c r="U567" s="32">
        <f t="shared" si="120"/>
        <v>0</v>
      </c>
      <c r="V567" s="43"/>
      <c r="W567" s="32">
        <f t="shared" si="113"/>
        <v>0</v>
      </c>
      <c r="X567" s="34">
        <f t="shared" si="114"/>
        <v>0</v>
      </c>
      <c r="Y567" s="30">
        <f t="shared" si="115"/>
        <v>0</v>
      </c>
      <c r="Z567" s="34">
        <f t="shared" si="116"/>
        <v>0</v>
      </c>
      <c r="AA567" s="41">
        <f t="shared" si="117"/>
        <v>0</v>
      </c>
      <c r="AB567" s="31">
        <f t="shared" si="118"/>
        <v>0</v>
      </c>
    </row>
    <row r="568" spans="15:28" x14ac:dyDescent="0.7">
      <c r="O568" s="32" t="str">
        <f t="shared" si="112"/>
        <v/>
      </c>
      <c r="P568" s="21"/>
      <c r="Q568" s="21"/>
      <c r="R568" s="33"/>
      <c r="S568" s="36">
        <f t="shared" si="121"/>
        <v>0</v>
      </c>
      <c r="T568" s="34">
        <f t="shared" si="119"/>
        <v>0</v>
      </c>
      <c r="U568" s="32">
        <f t="shared" si="120"/>
        <v>0</v>
      </c>
      <c r="V568" s="43"/>
      <c r="W568" s="32">
        <f t="shared" si="113"/>
        <v>0</v>
      </c>
      <c r="X568" s="34">
        <f t="shared" si="114"/>
        <v>0</v>
      </c>
      <c r="Y568" s="30">
        <f t="shared" si="115"/>
        <v>0</v>
      </c>
      <c r="Z568" s="34">
        <f t="shared" si="116"/>
        <v>0</v>
      </c>
      <c r="AA568" s="41">
        <f t="shared" si="117"/>
        <v>0</v>
      </c>
      <c r="AB568" s="31">
        <f t="shared" si="118"/>
        <v>0</v>
      </c>
    </row>
    <row r="569" spans="15:28" x14ac:dyDescent="0.7">
      <c r="O569" s="32" t="str">
        <f t="shared" si="112"/>
        <v/>
      </c>
      <c r="P569" s="21"/>
      <c r="Q569" s="21"/>
      <c r="R569" s="33"/>
      <c r="S569" s="36">
        <f t="shared" si="121"/>
        <v>0</v>
      </c>
      <c r="T569" s="34">
        <f t="shared" si="119"/>
        <v>0</v>
      </c>
      <c r="U569" s="32">
        <f t="shared" si="120"/>
        <v>0</v>
      </c>
      <c r="V569" s="43"/>
      <c r="W569" s="32">
        <f t="shared" si="113"/>
        <v>0</v>
      </c>
      <c r="X569" s="34">
        <f t="shared" si="114"/>
        <v>0</v>
      </c>
      <c r="Y569" s="30">
        <f t="shared" si="115"/>
        <v>0</v>
      </c>
      <c r="Z569" s="34">
        <f t="shared" si="116"/>
        <v>0</v>
      </c>
      <c r="AA569" s="41">
        <f t="shared" si="117"/>
        <v>0</v>
      </c>
      <c r="AB569" s="31">
        <f t="shared" si="118"/>
        <v>0</v>
      </c>
    </row>
    <row r="570" spans="15:28" x14ac:dyDescent="0.7">
      <c r="O570" s="32" t="str">
        <f t="shared" si="112"/>
        <v/>
      </c>
      <c r="P570" s="21"/>
      <c r="Q570" s="21"/>
      <c r="R570" s="33"/>
      <c r="S570" s="36">
        <f t="shared" si="121"/>
        <v>0</v>
      </c>
      <c r="T570" s="34">
        <f t="shared" si="119"/>
        <v>0</v>
      </c>
      <c r="U570" s="32">
        <f t="shared" si="120"/>
        <v>0</v>
      </c>
      <c r="V570" s="43"/>
      <c r="W570" s="32">
        <f t="shared" si="113"/>
        <v>0</v>
      </c>
      <c r="X570" s="34">
        <f t="shared" si="114"/>
        <v>0</v>
      </c>
      <c r="Y570" s="30">
        <f t="shared" si="115"/>
        <v>0</v>
      </c>
      <c r="Z570" s="34">
        <f t="shared" si="116"/>
        <v>0</v>
      </c>
      <c r="AA570" s="41">
        <f t="shared" si="117"/>
        <v>0</v>
      </c>
      <c r="AB570" s="31">
        <f t="shared" si="118"/>
        <v>0</v>
      </c>
    </row>
    <row r="571" spans="15:28" x14ac:dyDescent="0.7">
      <c r="O571" s="32" t="str">
        <f t="shared" si="112"/>
        <v/>
      </c>
      <c r="P571" s="21"/>
      <c r="Q571" s="21"/>
      <c r="R571" s="33"/>
      <c r="S571" s="36">
        <f t="shared" si="121"/>
        <v>0</v>
      </c>
      <c r="T571" s="34">
        <f t="shared" si="119"/>
        <v>0</v>
      </c>
      <c r="U571" s="32">
        <f t="shared" si="120"/>
        <v>0</v>
      </c>
      <c r="V571" s="43"/>
      <c r="W571" s="32">
        <f t="shared" si="113"/>
        <v>0</v>
      </c>
      <c r="X571" s="34">
        <f t="shared" si="114"/>
        <v>0</v>
      </c>
      <c r="Y571" s="30">
        <f t="shared" si="115"/>
        <v>0</v>
      </c>
      <c r="Z571" s="34">
        <f t="shared" si="116"/>
        <v>0</v>
      </c>
      <c r="AA571" s="41">
        <f t="shared" si="117"/>
        <v>0</v>
      </c>
      <c r="AB571" s="31">
        <f t="shared" si="118"/>
        <v>0</v>
      </c>
    </row>
    <row r="572" spans="15:28" x14ac:dyDescent="0.7">
      <c r="O572" s="32" t="str">
        <f t="shared" si="112"/>
        <v/>
      </c>
      <c r="P572" s="21"/>
      <c r="Q572" s="21"/>
      <c r="R572" s="33"/>
      <c r="S572" s="36">
        <f t="shared" si="121"/>
        <v>0</v>
      </c>
      <c r="T572" s="34">
        <f t="shared" si="119"/>
        <v>0</v>
      </c>
      <c r="U572" s="32">
        <f t="shared" si="120"/>
        <v>0</v>
      </c>
      <c r="V572" s="43"/>
      <c r="W572" s="32">
        <f t="shared" si="113"/>
        <v>0</v>
      </c>
      <c r="X572" s="34">
        <f t="shared" si="114"/>
        <v>0</v>
      </c>
      <c r="Y572" s="30">
        <f t="shared" si="115"/>
        <v>0</v>
      </c>
      <c r="Z572" s="34">
        <f t="shared" si="116"/>
        <v>0</v>
      </c>
      <c r="AA572" s="41">
        <f t="shared" si="117"/>
        <v>0</v>
      </c>
      <c r="AB572" s="31">
        <f t="shared" si="118"/>
        <v>0</v>
      </c>
    </row>
    <row r="573" spans="15:28" x14ac:dyDescent="0.7">
      <c r="O573" s="32" t="str">
        <f t="shared" si="112"/>
        <v/>
      </c>
      <c r="P573" s="21"/>
      <c r="Q573" s="21"/>
      <c r="R573" s="33"/>
      <c r="S573" s="36">
        <f t="shared" si="121"/>
        <v>0</v>
      </c>
      <c r="T573" s="34">
        <f t="shared" si="119"/>
        <v>0</v>
      </c>
      <c r="U573" s="32">
        <f t="shared" si="120"/>
        <v>0</v>
      </c>
      <c r="V573" s="43"/>
      <c r="W573" s="32">
        <f t="shared" si="113"/>
        <v>0</v>
      </c>
      <c r="X573" s="34">
        <f t="shared" si="114"/>
        <v>0</v>
      </c>
      <c r="Y573" s="30">
        <f t="shared" si="115"/>
        <v>0</v>
      </c>
      <c r="Z573" s="34">
        <f t="shared" si="116"/>
        <v>0</v>
      </c>
      <c r="AA573" s="41">
        <f t="shared" si="117"/>
        <v>0</v>
      </c>
      <c r="AB573" s="31">
        <f t="shared" si="118"/>
        <v>0</v>
      </c>
    </row>
    <row r="574" spans="15:28" x14ac:dyDescent="0.7">
      <c r="O574" s="32" t="str">
        <f t="shared" si="112"/>
        <v/>
      </c>
      <c r="P574" s="21"/>
      <c r="Q574" s="21"/>
      <c r="R574" s="33"/>
      <c r="S574" s="36">
        <f t="shared" si="121"/>
        <v>0</v>
      </c>
      <c r="T574" s="34">
        <f t="shared" si="119"/>
        <v>0</v>
      </c>
      <c r="U574" s="32">
        <f t="shared" si="120"/>
        <v>0</v>
      </c>
      <c r="V574" s="43"/>
      <c r="W574" s="32">
        <f t="shared" si="113"/>
        <v>0</v>
      </c>
      <c r="X574" s="34">
        <f t="shared" si="114"/>
        <v>0</v>
      </c>
      <c r="Y574" s="30">
        <f t="shared" si="115"/>
        <v>0</v>
      </c>
      <c r="Z574" s="34">
        <f t="shared" si="116"/>
        <v>0</v>
      </c>
      <c r="AA574" s="41">
        <f t="shared" si="117"/>
        <v>0</v>
      </c>
      <c r="AB574" s="31">
        <f t="shared" si="118"/>
        <v>0</v>
      </c>
    </row>
    <row r="575" spans="15:28" x14ac:dyDescent="0.7">
      <c r="O575" s="32" t="str">
        <f t="shared" si="112"/>
        <v/>
      </c>
      <c r="P575" s="21"/>
      <c r="Q575" s="21"/>
      <c r="R575" s="33"/>
      <c r="S575" s="36">
        <f t="shared" si="121"/>
        <v>0</v>
      </c>
      <c r="T575" s="34">
        <f t="shared" si="119"/>
        <v>0</v>
      </c>
      <c r="U575" s="32">
        <f t="shared" si="120"/>
        <v>0</v>
      </c>
      <c r="V575" s="43"/>
      <c r="W575" s="32">
        <f t="shared" si="113"/>
        <v>0</v>
      </c>
      <c r="X575" s="34">
        <f t="shared" si="114"/>
        <v>0</v>
      </c>
      <c r="Y575" s="30">
        <f t="shared" si="115"/>
        <v>0</v>
      </c>
      <c r="Z575" s="34">
        <f t="shared" si="116"/>
        <v>0</v>
      </c>
      <c r="AA575" s="41">
        <f t="shared" si="117"/>
        <v>0</v>
      </c>
      <c r="AB575" s="31">
        <f t="shared" si="118"/>
        <v>0</v>
      </c>
    </row>
    <row r="576" spans="15:28" x14ac:dyDescent="0.7">
      <c r="O576" s="32" t="str">
        <f t="shared" si="112"/>
        <v/>
      </c>
      <c r="P576" s="21"/>
      <c r="Q576" s="21"/>
      <c r="R576" s="33"/>
      <c r="S576" s="36">
        <f t="shared" si="121"/>
        <v>0</v>
      </c>
      <c r="T576" s="34">
        <f t="shared" si="119"/>
        <v>0</v>
      </c>
      <c r="U576" s="32">
        <f t="shared" si="120"/>
        <v>0</v>
      </c>
      <c r="V576" s="43"/>
      <c r="W576" s="32">
        <f t="shared" si="113"/>
        <v>0</v>
      </c>
      <c r="X576" s="34">
        <f t="shared" si="114"/>
        <v>0</v>
      </c>
      <c r="Y576" s="30">
        <f t="shared" si="115"/>
        <v>0</v>
      </c>
      <c r="Z576" s="34">
        <f t="shared" si="116"/>
        <v>0</v>
      </c>
      <c r="AA576" s="41">
        <f t="shared" si="117"/>
        <v>0</v>
      </c>
      <c r="AB576" s="31">
        <f t="shared" si="118"/>
        <v>0</v>
      </c>
    </row>
    <row r="577" spans="15:28" x14ac:dyDescent="0.7">
      <c r="O577" s="32" t="str">
        <f t="shared" si="112"/>
        <v/>
      </c>
      <c r="P577" s="21"/>
      <c r="Q577" s="21"/>
      <c r="R577" s="33"/>
      <c r="S577" s="36">
        <f t="shared" si="121"/>
        <v>0</v>
      </c>
      <c r="T577" s="34">
        <f t="shared" si="119"/>
        <v>0</v>
      </c>
      <c r="U577" s="32">
        <f t="shared" si="120"/>
        <v>0</v>
      </c>
      <c r="V577" s="43"/>
      <c r="W577" s="32">
        <f t="shared" si="113"/>
        <v>0</v>
      </c>
      <c r="X577" s="34">
        <f t="shared" si="114"/>
        <v>0</v>
      </c>
      <c r="Y577" s="30">
        <f t="shared" si="115"/>
        <v>0</v>
      </c>
      <c r="Z577" s="34">
        <f t="shared" si="116"/>
        <v>0</v>
      </c>
      <c r="AA577" s="41">
        <f t="shared" si="117"/>
        <v>0</v>
      </c>
      <c r="AB577" s="31">
        <f t="shared" si="118"/>
        <v>0</v>
      </c>
    </row>
    <row r="578" spans="15:28" x14ac:dyDescent="0.7">
      <c r="O578" s="32" t="str">
        <f t="shared" si="112"/>
        <v/>
      </c>
      <c r="P578" s="21"/>
      <c r="Q578" s="21"/>
      <c r="R578" s="33"/>
      <c r="S578" s="36">
        <f t="shared" si="121"/>
        <v>0</v>
      </c>
      <c r="T578" s="34">
        <f t="shared" si="119"/>
        <v>0</v>
      </c>
      <c r="U578" s="32">
        <f t="shared" si="120"/>
        <v>0</v>
      </c>
      <c r="V578" s="43"/>
      <c r="W578" s="32">
        <f t="shared" si="113"/>
        <v>0</v>
      </c>
      <c r="X578" s="34">
        <f t="shared" si="114"/>
        <v>0</v>
      </c>
      <c r="Y578" s="30">
        <f t="shared" si="115"/>
        <v>0</v>
      </c>
      <c r="Z578" s="34">
        <f t="shared" si="116"/>
        <v>0</v>
      </c>
      <c r="AA578" s="41">
        <f t="shared" si="117"/>
        <v>0</v>
      </c>
      <c r="AB578" s="31">
        <f t="shared" si="118"/>
        <v>0</v>
      </c>
    </row>
    <row r="579" spans="15:28" x14ac:dyDescent="0.7">
      <c r="O579" s="32" t="str">
        <f t="shared" si="112"/>
        <v/>
      </c>
      <c r="P579" s="21"/>
      <c r="Q579" s="21"/>
      <c r="R579" s="33"/>
      <c r="S579" s="36">
        <f t="shared" si="121"/>
        <v>0</v>
      </c>
      <c r="T579" s="34">
        <f t="shared" si="119"/>
        <v>0</v>
      </c>
      <c r="U579" s="32">
        <f t="shared" si="120"/>
        <v>0</v>
      </c>
      <c r="V579" s="43"/>
      <c r="W579" s="32">
        <f t="shared" si="113"/>
        <v>0</v>
      </c>
      <c r="X579" s="34">
        <f t="shared" si="114"/>
        <v>0</v>
      </c>
      <c r="Y579" s="30">
        <f t="shared" si="115"/>
        <v>0</v>
      </c>
      <c r="Z579" s="34">
        <f t="shared" si="116"/>
        <v>0</v>
      </c>
      <c r="AA579" s="41">
        <f t="shared" si="117"/>
        <v>0</v>
      </c>
      <c r="AB579" s="31">
        <f t="shared" si="118"/>
        <v>0</v>
      </c>
    </row>
    <row r="580" spans="15:28" x14ac:dyDescent="0.7">
      <c r="O580" s="32" t="str">
        <f t="shared" si="112"/>
        <v/>
      </c>
      <c r="P580" s="21"/>
      <c r="Q580" s="21"/>
      <c r="R580" s="33"/>
      <c r="S580" s="36">
        <f t="shared" si="121"/>
        <v>0</v>
      </c>
      <c r="T580" s="34">
        <f t="shared" si="119"/>
        <v>0</v>
      </c>
      <c r="U580" s="32">
        <f t="shared" si="120"/>
        <v>0</v>
      </c>
      <c r="V580" s="43"/>
      <c r="W580" s="32">
        <f t="shared" si="113"/>
        <v>0</v>
      </c>
      <c r="X580" s="34">
        <f t="shared" si="114"/>
        <v>0</v>
      </c>
      <c r="Y580" s="30">
        <f t="shared" si="115"/>
        <v>0</v>
      </c>
      <c r="Z580" s="34">
        <f t="shared" si="116"/>
        <v>0</v>
      </c>
      <c r="AA580" s="41">
        <f t="shared" si="117"/>
        <v>0</v>
      </c>
      <c r="AB580" s="31">
        <f t="shared" si="118"/>
        <v>0</v>
      </c>
    </row>
    <row r="581" spans="15:28" x14ac:dyDescent="0.7">
      <c r="O581" s="32" t="str">
        <f t="shared" si="112"/>
        <v/>
      </c>
      <c r="P581" s="21"/>
      <c r="Q581" s="21"/>
      <c r="R581" s="33"/>
      <c r="S581" s="36">
        <f t="shared" si="121"/>
        <v>0</v>
      </c>
      <c r="T581" s="34">
        <f t="shared" si="119"/>
        <v>0</v>
      </c>
      <c r="U581" s="32">
        <f t="shared" si="120"/>
        <v>0</v>
      </c>
      <c r="V581" s="43"/>
      <c r="W581" s="32">
        <f t="shared" si="113"/>
        <v>0</v>
      </c>
      <c r="X581" s="34">
        <f t="shared" si="114"/>
        <v>0</v>
      </c>
      <c r="Y581" s="30">
        <f t="shared" si="115"/>
        <v>0</v>
      </c>
      <c r="Z581" s="34">
        <f t="shared" si="116"/>
        <v>0</v>
      </c>
      <c r="AA581" s="41">
        <f t="shared" si="117"/>
        <v>0</v>
      </c>
      <c r="AB581" s="31">
        <f t="shared" si="118"/>
        <v>0</v>
      </c>
    </row>
    <row r="582" spans="15:28" x14ac:dyDescent="0.7">
      <c r="O582" s="32" t="str">
        <f t="shared" si="112"/>
        <v/>
      </c>
      <c r="P582" s="21"/>
      <c r="Q582" s="21"/>
      <c r="R582" s="33"/>
      <c r="S582" s="36">
        <f t="shared" si="121"/>
        <v>0</v>
      </c>
      <c r="T582" s="34">
        <f t="shared" si="119"/>
        <v>0</v>
      </c>
      <c r="U582" s="32">
        <f t="shared" si="120"/>
        <v>0</v>
      </c>
      <c r="V582" s="43"/>
      <c r="W582" s="32">
        <f t="shared" si="113"/>
        <v>0</v>
      </c>
      <c r="X582" s="34">
        <f t="shared" si="114"/>
        <v>0</v>
      </c>
      <c r="Y582" s="30">
        <f t="shared" si="115"/>
        <v>0</v>
      </c>
      <c r="Z582" s="34">
        <f t="shared" si="116"/>
        <v>0</v>
      </c>
      <c r="AA582" s="41">
        <f t="shared" si="117"/>
        <v>0</v>
      </c>
      <c r="AB582" s="31">
        <f t="shared" si="118"/>
        <v>0</v>
      </c>
    </row>
    <row r="583" spans="15:28" x14ac:dyDescent="0.7">
      <c r="O583" s="32" t="str">
        <f t="shared" si="112"/>
        <v/>
      </c>
      <c r="P583" s="21"/>
      <c r="Q583" s="21"/>
      <c r="R583" s="33"/>
      <c r="S583" s="36">
        <f t="shared" si="121"/>
        <v>0</v>
      </c>
      <c r="T583" s="34">
        <f t="shared" si="119"/>
        <v>0</v>
      </c>
      <c r="U583" s="32">
        <f t="shared" si="120"/>
        <v>0</v>
      </c>
      <c r="V583" s="43"/>
      <c r="W583" s="32">
        <f t="shared" si="113"/>
        <v>0</v>
      </c>
      <c r="X583" s="34">
        <f t="shared" si="114"/>
        <v>0</v>
      </c>
      <c r="Y583" s="30">
        <f t="shared" si="115"/>
        <v>0</v>
      </c>
      <c r="Z583" s="34">
        <f t="shared" si="116"/>
        <v>0</v>
      </c>
      <c r="AA583" s="41">
        <f t="shared" si="117"/>
        <v>0</v>
      </c>
      <c r="AB583" s="31">
        <f t="shared" si="118"/>
        <v>0</v>
      </c>
    </row>
    <row r="584" spans="15:28" x14ac:dyDescent="0.7">
      <c r="O584" s="32" t="str">
        <f t="shared" ref="O584:O647" si="122">IF(P584="","",ROW()-ROW($O$6))</f>
        <v/>
      </c>
      <c r="P584" s="21"/>
      <c r="Q584" s="21"/>
      <c r="R584" s="33"/>
      <c r="S584" s="36">
        <f t="shared" si="121"/>
        <v>0</v>
      </c>
      <c r="T584" s="34">
        <f t="shared" si="119"/>
        <v>0</v>
      </c>
      <c r="U584" s="32">
        <f t="shared" si="120"/>
        <v>0</v>
      </c>
      <c r="V584" s="43"/>
      <c r="W584" s="32">
        <f t="shared" ref="W584:W647" si="123">U584-V584</f>
        <v>0</v>
      </c>
      <c r="X584" s="34">
        <f t="shared" ref="X584:X647" si="124">W584/5440</f>
        <v>0</v>
      </c>
      <c r="Y584" s="30">
        <f t="shared" ref="Y584:Y647" si="125">TRUNC(X584)</f>
        <v>0</v>
      </c>
      <c r="Z584" s="34">
        <f t="shared" ref="Z584:Z647" si="126">(X584-Y584)*20</f>
        <v>0</v>
      </c>
      <c r="AA584" s="41">
        <f t="shared" ref="AA584:AA647" si="127">TRUNC(Z584)</f>
        <v>0</v>
      </c>
      <c r="AB584" s="31">
        <f t="shared" ref="AB584:AB647" si="128">(Z584-AA584)*272</f>
        <v>0</v>
      </c>
    </row>
    <row r="585" spans="15:28" x14ac:dyDescent="0.7">
      <c r="O585" s="32" t="str">
        <f t="shared" si="122"/>
        <v/>
      </c>
      <c r="P585" s="21"/>
      <c r="Q585" s="21"/>
      <c r="R585" s="33"/>
      <c r="S585" s="36">
        <f t="shared" si="121"/>
        <v>0</v>
      </c>
      <c r="T585" s="34">
        <f t="shared" ref="T585:T648" si="129">(S585*R585)/100</f>
        <v>0</v>
      </c>
      <c r="U585" s="32">
        <f t="shared" ref="U585:U648" si="130">R585-T585</f>
        <v>0</v>
      </c>
      <c r="V585" s="43"/>
      <c r="W585" s="32">
        <f t="shared" si="123"/>
        <v>0</v>
      </c>
      <c r="X585" s="34">
        <f t="shared" si="124"/>
        <v>0</v>
      </c>
      <c r="Y585" s="30">
        <f t="shared" si="125"/>
        <v>0</v>
      </c>
      <c r="Z585" s="34">
        <f t="shared" si="126"/>
        <v>0</v>
      </c>
      <c r="AA585" s="41">
        <f t="shared" si="127"/>
        <v>0</v>
      </c>
      <c r="AB585" s="31">
        <f t="shared" si="128"/>
        <v>0</v>
      </c>
    </row>
    <row r="586" spans="15:28" x14ac:dyDescent="0.7">
      <c r="O586" s="32" t="str">
        <f t="shared" si="122"/>
        <v/>
      </c>
      <c r="P586" s="21"/>
      <c r="Q586" s="21"/>
      <c r="R586" s="33"/>
      <c r="S586" s="36">
        <f t="shared" si="121"/>
        <v>0</v>
      </c>
      <c r="T586" s="34">
        <f t="shared" si="129"/>
        <v>0</v>
      </c>
      <c r="U586" s="32">
        <f t="shared" si="130"/>
        <v>0</v>
      </c>
      <c r="V586" s="43"/>
      <c r="W586" s="32">
        <f t="shared" si="123"/>
        <v>0</v>
      </c>
      <c r="X586" s="34">
        <f t="shared" si="124"/>
        <v>0</v>
      </c>
      <c r="Y586" s="30">
        <f t="shared" si="125"/>
        <v>0</v>
      </c>
      <c r="Z586" s="34">
        <f t="shared" si="126"/>
        <v>0</v>
      </c>
      <c r="AA586" s="41">
        <f t="shared" si="127"/>
        <v>0</v>
      </c>
      <c r="AB586" s="31">
        <f t="shared" si="128"/>
        <v>0</v>
      </c>
    </row>
    <row r="587" spans="15:28" x14ac:dyDescent="0.7">
      <c r="O587" s="32" t="str">
        <f t="shared" si="122"/>
        <v/>
      </c>
      <c r="P587" s="21"/>
      <c r="Q587" s="21"/>
      <c r="R587" s="33"/>
      <c r="S587" s="36">
        <f t="shared" ref="S587:S650" si="131">S586</f>
        <v>0</v>
      </c>
      <c r="T587" s="34">
        <f t="shared" si="129"/>
        <v>0</v>
      </c>
      <c r="U587" s="32">
        <f t="shared" si="130"/>
        <v>0</v>
      </c>
      <c r="V587" s="43"/>
      <c r="W587" s="32">
        <f t="shared" si="123"/>
        <v>0</v>
      </c>
      <c r="X587" s="34">
        <f t="shared" si="124"/>
        <v>0</v>
      </c>
      <c r="Y587" s="30">
        <f t="shared" si="125"/>
        <v>0</v>
      </c>
      <c r="Z587" s="34">
        <f t="shared" si="126"/>
        <v>0</v>
      </c>
      <c r="AA587" s="41">
        <f t="shared" si="127"/>
        <v>0</v>
      </c>
      <c r="AB587" s="31">
        <f t="shared" si="128"/>
        <v>0</v>
      </c>
    </row>
    <row r="588" spans="15:28" x14ac:dyDescent="0.7">
      <c r="O588" s="32" t="str">
        <f t="shared" si="122"/>
        <v/>
      </c>
      <c r="P588" s="21"/>
      <c r="Q588" s="21"/>
      <c r="R588" s="33"/>
      <c r="S588" s="36">
        <f t="shared" si="131"/>
        <v>0</v>
      </c>
      <c r="T588" s="34">
        <f t="shared" si="129"/>
        <v>0</v>
      </c>
      <c r="U588" s="32">
        <f t="shared" si="130"/>
        <v>0</v>
      </c>
      <c r="V588" s="43"/>
      <c r="W588" s="32">
        <f t="shared" si="123"/>
        <v>0</v>
      </c>
      <c r="X588" s="34">
        <f t="shared" si="124"/>
        <v>0</v>
      </c>
      <c r="Y588" s="30">
        <f t="shared" si="125"/>
        <v>0</v>
      </c>
      <c r="Z588" s="34">
        <f t="shared" si="126"/>
        <v>0</v>
      </c>
      <c r="AA588" s="41">
        <f t="shared" si="127"/>
        <v>0</v>
      </c>
      <c r="AB588" s="31">
        <f t="shared" si="128"/>
        <v>0</v>
      </c>
    </row>
    <row r="589" spans="15:28" x14ac:dyDescent="0.7">
      <c r="O589" s="32" t="str">
        <f t="shared" si="122"/>
        <v/>
      </c>
      <c r="P589" s="21"/>
      <c r="Q589" s="21"/>
      <c r="R589" s="33"/>
      <c r="S589" s="36">
        <f t="shared" si="131"/>
        <v>0</v>
      </c>
      <c r="T589" s="34">
        <f t="shared" si="129"/>
        <v>0</v>
      </c>
      <c r="U589" s="32">
        <f t="shared" si="130"/>
        <v>0</v>
      </c>
      <c r="V589" s="43"/>
      <c r="W589" s="32">
        <f t="shared" si="123"/>
        <v>0</v>
      </c>
      <c r="X589" s="34">
        <f t="shared" si="124"/>
        <v>0</v>
      </c>
      <c r="Y589" s="30">
        <f t="shared" si="125"/>
        <v>0</v>
      </c>
      <c r="Z589" s="34">
        <f t="shared" si="126"/>
        <v>0</v>
      </c>
      <c r="AA589" s="41">
        <f t="shared" si="127"/>
        <v>0</v>
      </c>
      <c r="AB589" s="31">
        <f t="shared" si="128"/>
        <v>0</v>
      </c>
    </row>
    <row r="590" spans="15:28" x14ac:dyDescent="0.7">
      <c r="O590" s="32" t="str">
        <f t="shared" si="122"/>
        <v/>
      </c>
      <c r="P590" s="21"/>
      <c r="Q590" s="21"/>
      <c r="R590" s="33"/>
      <c r="S590" s="36">
        <f t="shared" si="131"/>
        <v>0</v>
      </c>
      <c r="T590" s="34">
        <f t="shared" si="129"/>
        <v>0</v>
      </c>
      <c r="U590" s="32">
        <f t="shared" si="130"/>
        <v>0</v>
      </c>
      <c r="V590" s="43"/>
      <c r="W590" s="32">
        <f t="shared" si="123"/>
        <v>0</v>
      </c>
      <c r="X590" s="34">
        <f t="shared" si="124"/>
        <v>0</v>
      </c>
      <c r="Y590" s="30">
        <f t="shared" si="125"/>
        <v>0</v>
      </c>
      <c r="Z590" s="34">
        <f t="shared" si="126"/>
        <v>0</v>
      </c>
      <c r="AA590" s="41">
        <f t="shared" si="127"/>
        <v>0</v>
      </c>
      <c r="AB590" s="31">
        <f t="shared" si="128"/>
        <v>0</v>
      </c>
    </row>
    <row r="591" spans="15:28" x14ac:dyDescent="0.7">
      <c r="O591" s="32" t="str">
        <f t="shared" si="122"/>
        <v/>
      </c>
      <c r="P591" s="21"/>
      <c r="Q591" s="21"/>
      <c r="R591" s="33"/>
      <c r="S591" s="36">
        <f t="shared" si="131"/>
        <v>0</v>
      </c>
      <c r="T591" s="34">
        <f t="shared" si="129"/>
        <v>0</v>
      </c>
      <c r="U591" s="32">
        <f t="shared" si="130"/>
        <v>0</v>
      </c>
      <c r="V591" s="43"/>
      <c r="W591" s="32">
        <f t="shared" si="123"/>
        <v>0</v>
      </c>
      <c r="X591" s="34">
        <f t="shared" si="124"/>
        <v>0</v>
      </c>
      <c r="Y591" s="30">
        <f t="shared" si="125"/>
        <v>0</v>
      </c>
      <c r="Z591" s="34">
        <f t="shared" si="126"/>
        <v>0</v>
      </c>
      <c r="AA591" s="41">
        <f t="shared" si="127"/>
        <v>0</v>
      </c>
      <c r="AB591" s="31">
        <f t="shared" si="128"/>
        <v>0</v>
      </c>
    </row>
    <row r="592" spans="15:28" x14ac:dyDescent="0.7">
      <c r="O592" s="32" t="str">
        <f t="shared" si="122"/>
        <v/>
      </c>
      <c r="P592" s="21"/>
      <c r="Q592" s="21"/>
      <c r="R592" s="33"/>
      <c r="S592" s="36">
        <f t="shared" si="131"/>
        <v>0</v>
      </c>
      <c r="T592" s="34">
        <f t="shared" si="129"/>
        <v>0</v>
      </c>
      <c r="U592" s="32">
        <f t="shared" si="130"/>
        <v>0</v>
      </c>
      <c r="V592" s="43"/>
      <c r="W592" s="32">
        <f t="shared" si="123"/>
        <v>0</v>
      </c>
      <c r="X592" s="34">
        <f t="shared" si="124"/>
        <v>0</v>
      </c>
      <c r="Y592" s="30">
        <f t="shared" si="125"/>
        <v>0</v>
      </c>
      <c r="Z592" s="34">
        <f t="shared" si="126"/>
        <v>0</v>
      </c>
      <c r="AA592" s="41">
        <f t="shared" si="127"/>
        <v>0</v>
      </c>
      <c r="AB592" s="31">
        <f t="shared" si="128"/>
        <v>0</v>
      </c>
    </row>
    <row r="593" spans="15:28" x14ac:dyDescent="0.7">
      <c r="O593" s="32" t="str">
        <f t="shared" si="122"/>
        <v/>
      </c>
      <c r="P593" s="21"/>
      <c r="Q593" s="21"/>
      <c r="R593" s="33"/>
      <c r="S593" s="36">
        <f t="shared" si="131"/>
        <v>0</v>
      </c>
      <c r="T593" s="34">
        <f t="shared" si="129"/>
        <v>0</v>
      </c>
      <c r="U593" s="32">
        <f t="shared" si="130"/>
        <v>0</v>
      </c>
      <c r="V593" s="43"/>
      <c r="W593" s="32">
        <f t="shared" si="123"/>
        <v>0</v>
      </c>
      <c r="X593" s="34">
        <f t="shared" si="124"/>
        <v>0</v>
      </c>
      <c r="Y593" s="30">
        <f t="shared" si="125"/>
        <v>0</v>
      </c>
      <c r="Z593" s="34">
        <f t="shared" si="126"/>
        <v>0</v>
      </c>
      <c r="AA593" s="41">
        <f t="shared" si="127"/>
        <v>0</v>
      </c>
      <c r="AB593" s="31">
        <f t="shared" si="128"/>
        <v>0</v>
      </c>
    </row>
    <row r="594" spans="15:28" x14ac:dyDescent="0.7">
      <c r="O594" s="32" t="str">
        <f t="shared" si="122"/>
        <v/>
      </c>
      <c r="P594" s="21"/>
      <c r="Q594" s="21"/>
      <c r="R594" s="33"/>
      <c r="S594" s="36">
        <f t="shared" si="131"/>
        <v>0</v>
      </c>
      <c r="T594" s="34">
        <f t="shared" si="129"/>
        <v>0</v>
      </c>
      <c r="U594" s="32">
        <f t="shared" si="130"/>
        <v>0</v>
      </c>
      <c r="V594" s="43"/>
      <c r="W594" s="32">
        <f t="shared" si="123"/>
        <v>0</v>
      </c>
      <c r="X594" s="34">
        <f t="shared" si="124"/>
        <v>0</v>
      </c>
      <c r="Y594" s="30">
        <f t="shared" si="125"/>
        <v>0</v>
      </c>
      <c r="Z594" s="34">
        <f t="shared" si="126"/>
        <v>0</v>
      </c>
      <c r="AA594" s="41">
        <f t="shared" si="127"/>
        <v>0</v>
      </c>
      <c r="AB594" s="31">
        <f t="shared" si="128"/>
        <v>0</v>
      </c>
    </row>
    <row r="595" spans="15:28" x14ac:dyDescent="0.7">
      <c r="O595" s="32" t="str">
        <f t="shared" si="122"/>
        <v/>
      </c>
      <c r="P595" s="21"/>
      <c r="Q595" s="21"/>
      <c r="R595" s="33"/>
      <c r="S595" s="36">
        <f t="shared" si="131"/>
        <v>0</v>
      </c>
      <c r="T595" s="34">
        <f t="shared" si="129"/>
        <v>0</v>
      </c>
      <c r="U595" s="32">
        <f t="shared" si="130"/>
        <v>0</v>
      </c>
      <c r="V595" s="43"/>
      <c r="W595" s="32">
        <f t="shared" si="123"/>
        <v>0</v>
      </c>
      <c r="X595" s="34">
        <f t="shared" si="124"/>
        <v>0</v>
      </c>
      <c r="Y595" s="30">
        <f t="shared" si="125"/>
        <v>0</v>
      </c>
      <c r="Z595" s="34">
        <f t="shared" si="126"/>
        <v>0</v>
      </c>
      <c r="AA595" s="41">
        <f t="shared" si="127"/>
        <v>0</v>
      </c>
      <c r="AB595" s="31">
        <f t="shared" si="128"/>
        <v>0</v>
      </c>
    </row>
    <row r="596" spans="15:28" x14ac:dyDescent="0.7">
      <c r="O596" s="32" t="str">
        <f t="shared" si="122"/>
        <v/>
      </c>
      <c r="P596" s="21"/>
      <c r="Q596" s="21"/>
      <c r="R596" s="33"/>
      <c r="S596" s="36">
        <f t="shared" si="131"/>
        <v>0</v>
      </c>
      <c r="T596" s="34">
        <f t="shared" si="129"/>
        <v>0</v>
      </c>
      <c r="U596" s="32">
        <f t="shared" si="130"/>
        <v>0</v>
      </c>
      <c r="V596" s="43"/>
      <c r="W596" s="32">
        <f t="shared" si="123"/>
        <v>0</v>
      </c>
      <c r="X596" s="34">
        <f t="shared" si="124"/>
        <v>0</v>
      </c>
      <c r="Y596" s="30">
        <f t="shared" si="125"/>
        <v>0</v>
      </c>
      <c r="Z596" s="34">
        <f t="shared" si="126"/>
        <v>0</v>
      </c>
      <c r="AA596" s="41">
        <f t="shared" si="127"/>
        <v>0</v>
      </c>
      <c r="AB596" s="31">
        <f t="shared" si="128"/>
        <v>0</v>
      </c>
    </row>
    <row r="597" spans="15:28" x14ac:dyDescent="0.7">
      <c r="O597" s="32" t="str">
        <f t="shared" si="122"/>
        <v/>
      </c>
      <c r="P597" s="21"/>
      <c r="Q597" s="21"/>
      <c r="R597" s="33"/>
      <c r="S597" s="36">
        <f t="shared" si="131"/>
        <v>0</v>
      </c>
      <c r="T597" s="34">
        <f t="shared" si="129"/>
        <v>0</v>
      </c>
      <c r="U597" s="32">
        <f t="shared" si="130"/>
        <v>0</v>
      </c>
      <c r="V597" s="43"/>
      <c r="W597" s="32">
        <f t="shared" si="123"/>
        <v>0</v>
      </c>
      <c r="X597" s="34">
        <f t="shared" si="124"/>
        <v>0</v>
      </c>
      <c r="Y597" s="30">
        <f t="shared" si="125"/>
        <v>0</v>
      </c>
      <c r="Z597" s="34">
        <f t="shared" si="126"/>
        <v>0</v>
      </c>
      <c r="AA597" s="41">
        <f t="shared" si="127"/>
        <v>0</v>
      </c>
      <c r="AB597" s="31">
        <f t="shared" si="128"/>
        <v>0</v>
      </c>
    </row>
    <row r="598" spans="15:28" x14ac:dyDescent="0.7">
      <c r="O598" s="32" t="str">
        <f t="shared" si="122"/>
        <v/>
      </c>
      <c r="P598" s="21"/>
      <c r="Q598" s="21"/>
      <c r="R598" s="33"/>
      <c r="S598" s="36">
        <f t="shared" si="131"/>
        <v>0</v>
      </c>
      <c r="T598" s="34">
        <f t="shared" si="129"/>
        <v>0</v>
      </c>
      <c r="U598" s="32">
        <f t="shared" si="130"/>
        <v>0</v>
      </c>
      <c r="V598" s="43"/>
      <c r="W598" s="32">
        <f t="shared" si="123"/>
        <v>0</v>
      </c>
      <c r="X598" s="34">
        <f t="shared" si="124"/>
        <v>0</v>
      </c>
      <c r="Y598" s="30">
        <f t="shared" si="125"/>
        <v>0</v>
      </c>
      <c r="Z598" s="34">
        <f t="shared" si="126"/>
        <v>0</v>
      </c>
      <c r="AA598" s="41">
        <f t="shared" si="127"/>
        <v>0</v>
      </c>
      <c r="AB598" s="31">
        <f t="shared" si="128"/>
        <v>0</v>
      </c>
    </row>
    <row r="599" spans="15:28" x14ac:dyDescent="0.7">
      <c r="O599" s="32" t="str">
        <f t="shared" si="122"/>
        <v/>
      </c>
      <c r="P599" s="21"/>
      <c r="Q599" s="21"/>
      <c r="R599" s="33"/>
      <c r="S599" s="36">
        <f t="shared" si="131"/>
        <v>0</v>
      </c>
      <c r="T599" s="34">
        <f t="shared" si="129"/>
        <v>0</v>
      </c>
      <c r="U599" s="32">
        <f t="shared" si="130"/>
        <v>0</v>
      </c>
      <c r="V599" s="43"/>
      <c r="W599" s="32">
        <f t="shared" si="123"/>
        <v>0</v>
      </c>
      <c r="X599" s="34">
        <f t="shared" si="124"/>
        <v>0</v>
      </c>
      <c r="Y599" s="30">
        <f t="shared" si="125"/>
        <v>0</v>
      </c>
      <c r="Z599" s="34">
        <f t="shared" si="126"/>
        <v>0</v>
      </c>
      <c r="AA599" s="41">
        <f t="shared" si="127"/>
        <v>0</v>
      </c>
      <c r="AB599" s="31">
        <f t="shared" si="128"/>
        <v>0</v>
      </c>
    </row>
    <row r="600" spans="15:28" x14ac:dyDescent="0.7">
      <c r="O600" s="32" t="str">
        <f t="shared" si="122"/>
        <v/>
      </c>
      <c r="P600" s="21"/>
      <c r="Q600" s="21"/>
      <c r="R600" s="33"/>
      <c r="S600" s="36">
        <f t="shared" si="131"/>
        <v>0</v>
      </c>
      <c r="T600" s="34">
        <f t="shared" si="129"/>
        <v>0</v>
      </c>
      <c r="U600" s="32">
        <f t="shared" si="130"/>
        <v>0</v>
      </c>
      <c r="V600" s="43"/>
      <c r="W600" s="32">
        <f t="shared" si="123"/>
        <v>0</v>
      </c>
      <c r="X600" s="34">
        <f t="shared" si="124"/>
        <v>0</v>
      </c>
      <c r="Y600" s="30">
        <f t="shared" si="125"/>
        <v>0</v>
      </c>
      <c r="Z600" s="34">
        <f t="shared" si="126"/>
        <v>0</v>
      </c>
      <c r="AA600" s="41">
        <f t="shared" si="127"/>
        <v>0</v>
      </c>
      <c r="AB600" s="31">
        <f t="shared" si="128"/>
        <v>0</v>
      </c>
    </row>
    <row r="601" spans="15:28" x14ac:dyDescent="0.7">
      <c r="O601" s="32" t="str">
        <f t="shared" si="122"/>
        <v/>
      </c>
      <c r="P601" s="21"/>
      <c r="Q601" s="21"/>
      <c r="R601" s="33"/>
      <c r="S601" s="36">
        <f t="shared" si="131"/>
        <v>0</v>
      </c>
      <c r="T601" s="34">
        <f t="shared" si="129"/>
        <v>0</v>
      </c>
      <c r="U601" s="32">
        <f t="shared" si="130"/>
        <v>0</v>
      </c>
      <c r="V601" s="43"/>
      <c r="W601" s="32">
        <f t="shared" si="123"/>
        <v>0</v>
      </c>
      <c r="X601" s="34">
        <f t="shared" si="124"/>
        <v>0</v>
      </c>
      <c r="Y601" s="30">
        <f t="shared" si="125"/>
        <v>0</v>
      </c>
      <c r="Z601" s="34">
        <f t="shared" si="126"/>
        <v>0</v>
      </c>
      <c r="AA601" s="41">
        <f t="shared" si="127"/>
        <v>0</v>
      </c>
      <c r="AB601" s="31">
        <f t="shared" si="128"/>
        <v>0</v>
      </c>
    </row>
    <row r="602" spans="15:28" x14ac:dyDescent="0.7">
      <c r="O602" s="32" t="str">
        <f t="shared" si="122"/>
        <v/>
      </c>
      <c r="P602" s="21"/>
      <c r="Q602" s="21"/>
      <c r="R602" s="33"/>
      <c r="S602" s="36">
        <f t="shared" si="131"/>
        <v>0</v>
      </c>
      <c r="T602" s="34">
        <f t="shared" si="129"/>
        <v>0</v>
      </c>
      <c r="U602" s="32">
        <f t="shared" si="130"/>
        <v>0</v>
      </c>
      <c r="V602" s="43"/>
      <c r="W602" s="32">
        <f t="shared" si="123"/>
        <v>0</v>
      </c>
      <c r="X602" s="34">
        <f t="shared" si="124"/>
        <v>0</v>
      </c>
      <c r="Y602" s="30">
        <f t="shared" si="125"/>
        <v>0</v>
      </c>
      <c r="Z602" s="34">
        <f t="shared" si="126"/>
        <v>0</v>
      </c>
      <c r="AA602" s="41">
        <f t="shared" si="127"/>
        <v>0</v>
      </c>
      <c r="AB602" s="31">
        <f t="shared" si="128"/>
        <v>0</v>
      </c>
    </row>
    <row r="603" spans="15:28" x14ac:dyDescent="0.7">
      <c r="O603" s="32" t="str">
        <f t="shared" si="122"/>
        <v/>
      </c>
      <c r="P603" s="21"/>
      <c r="Q603" s="21"/>
      <c r="R603" s="33"/>
      <c r="S603" s="36">
        <f t="shared" si="131"/>
        <v>0</v>
      </c>
      <c r="T603" s="34">
        <f t="shared" si="129"/>
        <v>0</v>
      </c>
      <c r="U603" s="32">
        <f t="shared" si="130"/>
        <v>0</v>
      </c>
      <c r="V603" s="43"/>
      <c r="W603" s="32">
        <f t="shared" si="123"/>
        <v>0</v>
      </c>
      <c r="X603" s="34">
        <f t="shared" si="124"/>
        <v>0</v>
      </c>
      <c r="Y603" s="30">
        <f t="shared" si="125"/>
        <v>0</v>
      </c>
      <c r="Z603" s="34">
        <f t="shared" si="126"/>
        <v>0</v>
      </c>
      <c r="AA603" s="41">
        <f t="shared" si="127"/>
        <v>0</v>
      </c>
      <c r="AB603" s="31">
        <f t="shared" si="128"/>
        <v>0</v>
      </c>
    </row>
    <row r="604" spans="15:28" x14ac:dyDescent="0.7">
      <c r="O604" s="32" t="str">
        <f t="shared" si="122"/>
        <v/>
      </c>
      <c r="P604" s="21"/>
      <c r="Q604" s="21"/>
      <c r="R604" s="33"/>
      <c r="S604" s="36">
        <f t="shared" si="131"/>
        <v>0</v>
      </c>
      <c r="T604" s="34">
        <f t="shared" si="129"/>
        <v>0</v>
      </c>
      <c r="U604" s="32">
        <f t="shared" si="130"/>
        <v>0</v>
      </c>
      <c r="V604" s="43"/>
      <c r="W604" s="32">
        <f t="shared" si="123"/>
        <v>0</v>
      </c>
      <c r="X604" s="34">
        <f t="shared" si="124"/>
        <v>0</v>
      </c>
      <c r="Y604" s="30">
        <f t="shared" si="125"/>
        <v>0</v>
      </c>
      <c r="Z604" s="34">
        <f t="shared" si="126"/>
        <v>0</v>
      </c>
      <c r="AA604" s="41">
        <f t="shared" si="127"/>
        <v>0</v>
      </c>
      <c r="AB604" s="31">
        <f t="shared" si="128"/>
        <v>0</v>
      </c>
    </row>
    <row r="605" spans="15:28" x14ac:dyDescent="0.7">
      <c r="O605" s="32" t="str">
        <f t="shared" si="122"/>
        <v/>
      </c>
      <c r="P605" s="21"/>
      <c r="Q605" s="21"/>
      <c r="R605" s="33"/>
      <c r="S605" s="36">
        <f t="shared" si="131"/>
        <v>0</v>
      </c>
      <c r="T605" s="34">
        <f t="shared" si="129"/>
        <v>0</v>
      </c>
      <c r="U605" s="32">
        <f t="shared" si="130"/>
        <v>0</v>
      </c>
      <c r="V605" s="43"/>
      <c r="W605" s="32">
        <f t="shared" si="123"/>
        <v>0</v>
      </c>
      <c r="X605" s="34">
        <f t="shared" si="124"/>
        <v>0</v>
      </c>
      <c r="Y605" s="30">
        <f t="shared" si="125"/>
        <v>0</v>
      </c>
      <c r="Z605" s="34">
        <f t="shared" si="126"/>
        <v>0</v>
      </c>
      <c r="AA605" s="41">
        <f t="shared" si="127"/>
        <v>0</v>
      </c>
      <c r="AB605" s="31">
        <f t="shared" si="128"/>
        <v>0</v>
      </c>
    </row>
    <row r="606" spans="15:28" x14ac:dyDescent="0.7">
      <c r="O606" s="32" t="str">
        <f t="shared" si="122"/>
        <v/>
      </c>
      <c r="P606" s="21"/>
      <c r="Q606" s="21"/>
      <c r="R606" s="33"/>
      <c r="S606" s="36">
        <f t="shared" si="131"/>
        <v>0</v>
      </c>
      <c r="T606" s="34">
        <f t="shared" si="129"/>
        <v>0</v>
      </c>
      <c r="U606" s="32">
        <f t="shared" si="130"/>
        <v>0</v>
      </c>
      <c r="V606" s="43"/>
      <c r="W606" s="32">
        <f t="shared" si="123"/>
        <v>0</v>
      </c>
      <c r="X606" s="34">
        <f t="shared" si="124"/>
        <v>0</v>
      </c>
      <c r="Y606" s="30">
        <f t="shared" si="125"/>
        <v>0</v>
      </c>
      <c r="Z606" s="34">
        <f t="shared" si="126"/>
        <v>0</v>
      </c>
      <c r="AA606" s="41">
        <f t="shared" si="127"/>
        <v>0</v>
      </c>
      <c r="AB606" s="31">
        <f t="shared" si="128"/>
        <v>0</v>
      </c>
    </row>
    <row r="607" spans="15:28" x14ac:dyDescent="0.7">
      <c r="O607" s="32" t="str">
        <f t="shared" si="122"/>
        <v/>
      </c>
      <c r="P607" s="21"/>
      <c r="Q607" s="21"/>
      <c r="R607" s="33"/>
      <c r="S607" s="36">
        <f t="shared" si="131"/>
        <v>0</v>
      </c>
      <c r="T607" s="34">
        <f t="shared" si="129"/>
        <v>0</v>
      </c>
      <c r="U607" s="32">
        <f t="shared" si="130"/>
        <v>0</v>
      </c>
      <c r="V607" s="43"/>
      <c r="W607" s="32">
        <f t="shared" si="123"/>
        <v>0</v>
      </c>
      <c r="X607" s="34">
        <f t="shared" si="124"/>
        <v>0</v>
      </c>
      <c r="Y607" s="30">
        <f t="shared" si="125"/>
        <v>0</v>
      </c>
      <c r="Z607" s="34">
        <f t="shared" si="126"/>
        <v>0</v>
      </c>
      <c r="AA607" s="41">
        <f t="shared" si="127"/>
        <v>0</v>
      </c>
      <c r="AB607" s="31">
        <f t="shared" si="128"/>
        <v>0</v>
      </c>
    </row>
    <row r="608" spans="15:28" x14ac:dyDescent="0.7">
      <c r="O608" s="32" t="str">
        <f t="shared" si="122"/>
        <v/>
      </c>
      <c r="P608" s="21"/>
      <c r="Q608" s="21"/>
      <c r="R608" s="33"/>
      <c r="S608" s="36">
        <f t="shared" si="131"/>
        <v>0</v>
      </c>
      <c r="T608" s="34">
        <f t="shared" si="129"/>
        <v>0</v>
      </c>
      <c r="U608" s="32">
        <f t="shared" si="130"/>
        <v>0</v>
      </c>
      <c r="V608" s="43"/>
      <c r="W608" s="32">
        <f t="shared" si="123"/>
        <v>0</v>
      </c>
      <c r="X608" s="34">
        <f t="shared" si="124"/>
        <v>0</v>
      </c>
      <c r="Y608" s="30">
        <f t="shared" si="125"/>
        <v>0</v>
      </c>
      <c r="Z608" s="34">
        <f t="shared" si="126"/>
        <v>0</v>
      </c>
      <c r="AA608" s="41">
        <f t="shared" si="127"/>
        <v>0</v>
      </c>
      <c r="AB608" s="31">
        <f t="shared" si="128"/>
        <v>0</v>
      </c>
    </row>
    <row r="609" spans="15:28" x14ac:dyDescent="0.7">
      <c r="O609" s="32" t="str">
        <f t="shared" si="122"/>
        <v/>
      </c>
      <c r="P609" s="21"/>
      <c r="Q609" s="21"/>
      <c r="R609" s="33"/>
      <c r="S609" s="36">
        <f t="shared" si="131"/>
        <v>0</v>
      </c>
      <c r="T609" s="34">
        <f t="shared" si="129"/>
        <v>0</v>
      </c>
      <c r="U609" s="32">
        <f t="shared" si="130"/>
        <v>0</v>
      </c>
      <c r="V609" s="43"/>
      <c r="W609" s="32">
        <f t="shared" si="123"/>
        <v>0</v>
      </c>
      <c r="X609" s="34">
        <f t="shared" si="124"/>
        <v>0</v>
      </c>
      <c r="Y609" s="30">
        <f t="shared" si="125"/>
        <v>0</v>
      </c>
      <c r="Z609" s="34">
        <f t="shared" si="126"/>
        <v>0</v>
      </c>
      <c r="AA609" s="41">
        <f t="shared" si="127"/>
        <v>0</v>
      </c>
      <c r="AB609" s="31">
        <f t="shared" si="128"/>
        <v>0</v>
      </c>
    </row>
    <row r="610" spans="15:28" x14ac:dyDescent="0.7">
      <c r="O610" s="32" t="str">
        <f t="shared" si="122"/>
        <v/>
      </c>
      <c r="P610" s="21"/>
      <c r="Q610" s="21"/>
      <c r="R610" s="33"/>
      <c r="S610" s="36">
        <f t="shared" si="131"/>
        <v>0</v>
      </c>
      <c r="T610" s="34">
        <f t="shared" si="129"/>
        <v>0</v>
      </c>
      <c r="U610" s="32">
        <f t="shared" si="130"/>
        <v>0</v>
      </c>
      <c r="V610" s="43"/>
      <c r="W610" s="32">
        <f t="shared" si="123"/>
        <v>0</v>
      </c>
      <c r="X610" s="34">
        <f t="shared" si="124"/>
        <v>0</v>
      </c>
      <c r="Y610" s="30">
        <f t="shared" si="125"/>
        <v>0</v>
      </c>
      <c r="Z610" s="34">
        <f t="shared" si="126"/>
        <v>0</v>
      </c>
      <c r="AA610" s="41">
        <f t="shared" si="127"/>
        <v>0</v>
      </c>
      <c r="AB610" s="31">
        <f t="shared" si="128"/>
        <v>0</v>
      </c>
    </row>
    <row r="611" spans="15:28" x14ac:dyDescent="0.7">
      <c r="O611" s="32" t="str">
        <f t="shared" si="122"/>
        <v/>
      </c>
      <c r="P611" s="21"/>
      <c r="Q611" s="21"/>
      <c r="R611" s="33"/>
      <c r="S611" s="36">
        <f t="shared" si="131"/>
        <v>0</v>
      </c>
      <c r="T611" s="34">
        <f t="shared" si="129"/>
        <v>0</v>
      </c>
      <c r="U611" s="32">
        <f t="shared" si="130"/>
        <v>0</v>
      </c>
      <c r="V611" s="43"/>
      <c r="W611" s="32">
        <f t="shared" si="123"/>
        <v>0</v>
      </c>
      <c r="X611" s="34">
        <f t="shared" si="124"/>
        <v>0</v>
      </c>
      <c r="Y611" s="30">
        <f t="shared" si="125"/>
        <v>0</v>
      </c>
      <c r="Z611" s="34">
        <f t="shared" si="126"/>
        <v>0</v>
      </c>
      <c r="AA611" s="41">
        <f t="shared" si="127"/>
        <v>0</v>
      </c>
      <c r="AB611" s="31">
        <f t="shared" si="128"/>
        <v>0</v>
      </c>
    </row>
    <row r="612" spans="15:28" x14ac:dyDescent="0.7">
      <c r="O612" s="32" t="str">
        <f t="shared" si="122"/>
        <v/>
      </c>
      <c r="P612" s="21"/>
      <c r="Q612" s="21"/>
      <c r="R612" s="33"/>
      <c r="S612" s="36">
        <f t="shared" si="131"/>
        <v>0</v>
      </c>
      <c r="T612" s="34">
        <f t="shared" si="129"/>
        <v>0</v>
      </c>
      <c r="U612" s="32">
        <f t="shared" si="130"/>
        <v>0</v>
      </c>
      <c r="V612" s="43"/>
      <c r="W612" s="32">
        <f t="shared" si="123"/>
        <v>0</v>
      </c>
      <c r="X612" s="34">
        <f t="shared" si="124"/>
        <v>0</v>
      </c>
      <c r="Y612" s="30">
        <f t="shared" si="125"/>
        <v>0</v>
      </c>
      <c r="Z612" s="34">
        <f t="shared" si="126"/>
        <v>0</v>
      </c>
      <c r="AA612" s="41">
        <f t="shared" si="127"/>
        <v>0</v>
      </c>
      <c r="AB612" s="31">
        <f t="shared" si="128"/>
        <v>0</v>
      </c>
    </row>
    <row r="613" spans="15:28" x14ac:dyDescent="0.7">
      <c r="O613" s="32" t="str">
        <f t="shared" si="122"/>
        <v/>
      </c>
      <c r="P613" s="21"/>
      <c r="Q613" s="21"/>
      <c r="R613" s="33"/>
      <c r="S613" s="36">
        <f t="shared" si="131"/>
        <v>0</v>
      </c>
      <c r="T613" s="34">
        <f t="shared" si="129"/>
        <v>0</v>
      </c>
      <c r="U613" s="32">
        <f t="shared" si="130"/>
        <v>0</v>
      </c>
      <c r="V613" s="43"/>
      <c r="W613" s="32">
        <f t="shared" si="123"/>
        <v>0</v>
      </c>
      <c r="X613" s="34">
        <f t="shared" si="124"/>
        <v>0</v>
      </c>
      <c r="Y613" s="30">
        <f t="shared" si="125"/>
        <v>0</v>
      </c>
      <c r="Z613" s="34">
        <f t="shared" si="126"/>
        <v>0</v>
      </c>
      <c r="AA613" s="41">
        <f t="shared" si="127"/>
        <v>0</v>
      </c>
      <c r="AB613" s="31">
        <f t="shared" si="128"/>
        <v>0</v>
      </c>
    </row>
    <row r="614" spans="15:28" x14ac:dyDescent="0.7">
      <c r="O614" s="32" t="str">
        <f t="shared" si="122"/>
        <v/>
      </c>
      <c r="P614" s="21"/>
      <c r="Q614" s="21"/>
      <c r="R614" s="33"/>
      <c r="S614" s="36">
        <f t="shared" si="131"/>
        <v>0</v>
      </c>
      <c r="T614" s="34">
        <f t="shared" si="129"/>
        <v>0</v>
      </c>
      <c r="U614" s="32">
        <f t="shared" si="130"/>
        <v>0</v>
      </c>
      <c r="V614" s="43"/>
      <c r="W614" s="32">
        <f t="shared" si="123"/>
        <v>0</v>
      </c>
      <c r="X614" s="34">
        <f t="shared" si="124"/>
        <v>0</v>
      </c>
      <c r="Y614" s="30">
        <f t="shared" si="125"/>
        <v>0</v>
      </c>
      <c r="Z614" s="34">
        <f t="shared" si="126"/>
        <v>0</v>
      </c>
      <c r="AA614" s="41">
        <f t="shared" si="127"/>
        <v>0</v>
      </c>
      <c r="AB614" s="31">
        <f t="shared" si="128"/>
        <v>0</v>
      </c>
    </row>
    <row r="615" spans="15:28" x14ac:dyDescent="0.7">
      <c r="O615" s="32" t="str">
        <f t="shared" si="122"/>
        <v/>
      </c>
      <c r="P615" s="21"/>
      <c r="Q615" s="21"/>
      <c r="R615" s="33"/>
      <c r="S615" s="36">
        <f t="shared" si="131"/>
        <v>0</v>
      </c>
      <c r="T615" s="34">
        <f t="shared" si="129"/>
        <v>0</v>
      </c>
      <c r="U615" s="32">
        <f t="shared" si="130"/>
        <v>0</v>
      </c>
      <c r="V615" s="43"/>
      <c r="W615" s="32">
        <f t="shared" si="123"/>
        <v>0</v>
      </c>
      <c r="X615" s="34">
        <f t="shared" si="124"/>
        <v>0</v>
      </c>
      <c r="Y615" s="30">
        <f t="shared" si="125"/>
        <v>0</v>
      </c>
      <c r="Z615" s="34">
        <f t="shared" si="126"/>
        <v>0</v>
      </c>
      <c r="AA615" s="41">
        <f t="shared" si="127"/>
        <v>0</v>
      </c>
      <c r="AB615" s="31">
        <f t="shared" si="128"/>
        <v>0</v>
      </c>
    </row>
    <row r="616" spans="15:28" x14ac:dyDescent="0.7">
      <c r="O616" s="32" t="str">
        <f t="shared" si="122"/>
        <v/>
      </c>
      <c r="P616" s="21"/>
      <c r="Q616" s="21"/>
      <c r="R616" s="33"/>
      <c r="S616" s="36">
        <f t="shared" si="131"/>
        <v>0</v>
      </c>
      <c r="T616" s="34">
        <f t="shared" si="129"/>
        <v>0</v>
      </c>
      <c r="U616" s="32">
        <f t="shared" si="130"/>
        <v>0</v>
      </c>
      <c r="V616" s="43"/>
      <c r="W616" s="32">
        <f t="shared" si="123"/>
        <v>0</v>
      </c>
      <c r="X616" s="34">
        <f t="shared" si="124"/>
        <v>0</v>
      </c>
      <c r="Y616" s="30">
        <f t="shared" si="125"/>
        <v>0</v>
      </c>
      <c r="Z616" s="34">
        <f t="shared" si="126"/>
        <v>0</v>
      </c>
      <c r="AA616" s="41">
        <f t="shared" si="127"/>
        <v>0</v>
      </c>
      <c r="AB616" s="31">
        <f t="shared" si="128"/>
        <v>0</v>
      </c>
    </row>
    <row r="617" spans="15:28" x14ac:dyDescent="0.7">
      <c r="O617" s="32" t="str">
        <f t="shared" si="122"/>
        <v/>
      </c>
      <c r="P617" s="21"/>
      <c r="Q617" s="21"/>
      <c r="R617" s="33"/>
      <c r="S617" s="36">
        <f t="shared" si="131"/>
        <v>0</v>
      </c>
      <c r="T617" s="34">
        <f t="shared" si="129"/>
        <v>0</v>
      </c>
      <c r="U617" s="32">
        <f t="shared" si="130"/>
        <v>0</v>
      </c>
      <c r="V617" s="43"/>
      <c r="W617" s="32">
        <f t="shared" si="123"/>
        <v>0</v>
      </c>
      <c r="X617" s="34">
        <f t="shared" si="124"/>
        <v>0</v>
      </c>
      <c r="Y617" s="30">
        <f t="shared" si="125"/>
        <v>0</v>
      </c>
      <c r="Z617" s="34">
        <f t="shared" si="126"/>
        <v>0</v>
      </c>
      <c r="AA617" s="41">
        <f t="shared" si="127"/>
        <v>0</v>
      </c>
      <c r="AB617" s="31">
        <f t="shared" si="128"/>
        <v>0</v>
      </c>
    </row>
    <row r="618" spans="15:28" x14ac:dyDescent="0.7">
      <c r="O618" s="32" t="str">
        <f t="shared" si="122"/>
        <v/>
      </c>
      <c r="P618" s="21"/>
      <c r="Q618" s="21"/>
      <c r="R618" s="33"/>
      <c r="S618" s="36">
        <f t="shared" si="131"/>
        <v>0</v>
      </c>
      <c r="T618" s="34">
        <f t="shared" si="129"/>
        <v>0</v>
      </c>
      <c r="U618" s="32">
        <f t="shared" si="130"/>
        <v>0</v>
      </c>
      <c r="V618" s="43"/>
      <c r="W618" s="32">
        <f t="shared" si="123"/>
        <v>0</v>
      </c>
      <c r="X618" s="34">
        <f t="shared" si="124"/>
        <v>0</v>
      </c>
      <c r="Y618" s="30">
        <f t="shared" si="125"/>
        <v>0</v>
      </c>
      <c r="Z618" s="34">
        <f t="shared" si="126"/>
        <v>0</v>
      </c>
      <c r="AA618" s="41">
        <f t="shared" si="127"/>
        <v>0</v>
      </c>
      <c r="AB618" s="31">
        <f t="shared" si="128"/>
        <v>0</v>
      </c>
    </row>
    <row r="619" spans="15:28" x14ac:dyDescent="0.7">
      <c r="O619" s="32" t="str">
        <f t="shared" si="122"/>
        <v/>
      </c>
      <c r="P619" s="21"/>
      <c r="Q619" s="21"/>
      <c r="R619" s="33"/>
      <c r="S619" s="36">
        <f t="shared" si="131"/>
        <v>0</v>
      </c>
      <c r="T619" s="34">
        <f t="shared" si="129"/>
        <v>0</v>
      </c>
      <c r="U619" s="32">
        <f t="shared" si="130"/>
        <v>0</v>
      </c>
      <c r="V619" s="43"/>
      <c r="W619" s="32">
        <f t="shared" si="123"/>
        <v>0</v>
      </c>
      <c r="X619" s="34">
        <f t="shared" si="124"/>
        <v>0</v>
      </c>
      <c r="Y619" s="30">
        <f t="shared" si="125"/>
        <v>0</v>
      </c>
      <c r="Z619" s="34">
        <f t="shared" si="126"/>
        <v>0</v>
      </c>
      <c r="AA619" s="41">
        <f t="shared" si="127"/>
        <v>0</v>
      </c>
      <c r="AB619" s="31">
        <f t="shared" si="128"/>
        <v>0</v>
      </c>
    </row>
    <row r="620" spans="15:28" x14ac:dyDescent="0.7">
      <c r="O620" s="32" t="str">
        <f t="shared" si="122"/>
        <v/>
      </c>
      <c r="P620" s="21"/>
      <c r="Q620" s="21"/>
      <c r="R620" s="33"/>
      <c r="S620" s="36">
        <f t="shared" si="131"/>
        <v>0</v>
      </c>
      <c r="T620" s="34">
        <f t="shared" si="129"/>
        <v>0</v>
      </c>
      <c r="U620" s="32">
        <f t="shared" si="130"/>
        <v>0</v>
      </c>
      <c r="V620" s="43"/>
      <c r="W620" s="32">
        <f t="shared" si="123"/>
        <v>0</v>
      </c>
      <c r="X620" s="34">
        <f t="shared" si="124"/>
        <v>0</v>
      </c>
      <c r="Y620" s="30">
        <f t="shared" si="125"/>
        <v>0</v>
      </c>
      <c r="Z620" s="34">
        <f t="shared" si="126"/>
        <v>0</v>
      </c>
      <c r="AA620" s="41">
        <f t="shared" si="127"/>
        <v>0</v>
      </c>
      <c r="AB620" s="31">
        <f t="shared" si="128"/>
        <v>0</v>
      </c>
    </row>
    <row r="621" spans="15:28" x14ac:dyDescent="0.7">
      <c r="O621" s="32" t="str">
        <f t="shared" si="122"/>
        <v/>
      </c>
      <c r="P621" s="21"/>
      <c r="Q621" s="21"/>
      <c r="R621" s="33"/>
      <c r="S621" s="36">
        <f t="shared" si="131"/>
        <v>0</v>
      </c>
      <c r="T621" s="34">
        <f t="shared" si="129"/>
        <v>0</v>
      </c>
      <c r="U621" s="32">
        <f t="shared" si="130"/>
        <v>0</v>
      </c>
      <c r="V621" s="43"/>
      <c r="W621" s="32">
        <f t="shared" si="123"/>
        <v>0</v>
      </c>
      <c r="X621" s="34">
        <f t="shared" si="124"/>
        <v>0</v>
      </c>
      <c r="Y621" s="30">
        <f t="shared" si="125"/>
        <v>0</v>
      </c>
      <c r="Z621" s="34">
        <f t="shared" si="126"/>
        <v>0</v>
      </c>
      <c r="AA621" s="41">
        <f t="shared" si="127"/>
        <v>0</v>
      </c>
      <c r="AB621" s="31">
        <f t="shared" si="128"/>
        <v>0</v>
      </c>
    </row>
    <row r="622" spans="15:28" x14ac:dyDescent="0.7">
      <c r="O622" s="32" t="str">
        <f t="shared" si="122"/>
        <v/>
      </c>
      <c r="P622" s="21"/>
      <c r="Q622" s="21"/>
      <c r="R622" s="33"/>
      <c r="S622" s="36">
        <f t="shared" si="131"/>
        <v>0</v>
      </c>
      <c r="T622" s="34">
        <f t="shared" si="129"/>
        <v>0</v>
      </c>
      <c r="U622" s="32">
        <f t="shared" si="130"/>
        <v>0</v>
      </c>
      <c r="V622" s="43"/>
      <c r="W622" s="32">
        <f t="shared" si="123"/>
        <v>0</v>
      </c>
      <c r="X622" s="34">
        <f t="shared" si="124"/>
        <v>0</v>
      </c>
      <c r="Y622" s="30">
        <f t="shared" si="125"/>
        <v>0</v>
      </c>
      <c r="Z622" s="34">
        <f t="shared" si="126"/>
        <v>0</v>
      </c>
      <c r="AA622" s="41">
        <f t="shared" si="127"/>
        <v>0</v>
      </c>
      <c r="AB622" s="31">
        <f t="shared" si="128"/>
        <v>0</v>
      </c>
    </row>
    <row r="623" spans="15:28" x14ac:dyDescent="0.7">
      <c r="O623" s="32" t="str">
        <f t="shared" si="122"/>
        <v/>
      </c>
      <c r="P623" s="21"/>
      <c r="Q623" s="21"/>
      <c r="R623" s="33"/>
      <c r="S623" s="36">
        <f t="shared" si="131"/>
        <v>0</v>
      </c>
      <c r="T623" s="34">
        <f t="shared" si="129"/>
        <v>0</v>
      </c>
      <c r="U623" s="32">
        <f t="shared" si="130"/>
        <v>0</v>
      </c>
      <c r="V623" s="43"/>
      <c r="W623" s="32">
        <f t="shared" si="123"/>
        <v>0</v>
      </c>
      <c r="X623" s="34">
        <f t="shared" si="124"/>
        <v>0</v>
      </c>
      <c r="Y623" s="30">
        <f t="shared" si="125"/>
        <v>0</v>
      </c>
      <c r="Z623" s="34">
        <f t="shared" si="126"/>
        <v>0</v>
      </c>
      <c r="AA623" s="41">
        <f t="shared" si="127"/>
        <v>0</v>
      </c>
      <c r="AB623" s="31">
        <f t="shared" si="128"/>
        <v>0</v>
      </c>
    </row>
    <row r="624" spans="15:28" x14ac:dyDescent="0.7">
      <c r="O624" s="32" t="str">
        <f t="shared" si="122"/>
        <v/>
      </c>
      <c r="P624" s="21"/>
      <c r="Q624" s="21"/>
      <c r="R624" s="33"/>
      <c r="S624" s="36">
        <f t="shared" si="131"/>
        <v>0</v>
      </c>
      <c r="T624" s="34">
        <f t="shared" si="129"/>
        <v>0</v>
      </c>
      <c r="U624" s="32">
        <f t="shared" si="130"/>
        <v>0</v>
      </c>
      <c r="V624" s="43"/>
      <c r="W624" s="32">
        <f t="shared" si="123"/>
        <v>0</v>
      </c>
      <c r="X624" s="34">
        <f t="shared" si="124"/>
        <v>0</v>
      </c>
      <c r="Y624" s="30">
        <f t="shared" si="125"/>
        <v>0</v>
      </c>
      <c r="Z624" s="34">
        <f t="shared" si="126"/>
        <v>0</v>
      </c>
      <c r="AA624" s="41">
        <f t="shared" si="127"/>
        <v>0</v>
      </c>
      <c r="AB624" s="31">
        <f t="shared" si="128"/>
        <v>0</v>
      </c>
    </row>
    <row r="625" spans="15:28" x14ac:dyDescent="0.7">
      <c r="O625" s="32" t="str">
        <f t="shared" si="122"/>
        <v/>
      </c>
      <c r="P625" s="21"/>
      <c r="Q625" s="21"/>
      <c r="R625" s="33"/>
      <c r="S625" s="36">
        <f t="shared" si="131"/>
        <v>0</v>
      </c>
      <c r="T625" s="34">
        <f t="shared" si="129"/>
        <v>0</v>
      </c>
      <c r="U625" s="32">
        <f t="shared" si="130"/>
        <v>0</v>
      </c>
      <c r="V625" s="43"/>
      <c r="W625" s="32">
        <f t="shared" si="123"/>
        <v>0</v>
      </c>
      <c r="X625" s="34">
        <f t="shared" si="124"/>
        <v>0</v>
      </c>
      <c r="Y625" s="30">
        <f t="shared" si="125"/>
        <v>0</v>
      </c>
      <c r="Z625" s="34">
        <f t="shared" si="126"/>
        <v>0</v>
      </c>
      <c r="AA625" s="41">
        <f t="shared" si="127"/>
        <v>0</v>
      </c>
      <c r="AB625" s="31">
        <f t="shared" si="128"/>
        <v>0</v>
      </c>
    </row>
    <row r="626" spans="15:28" x14ac:dyDescent="0.7">
      <c r="O626" s="32" t="str">
        <f t="shared" si="122"/>
        <v/>
      </c>
      <c r="P626" s="21"/>
      <c r="Q626" s="21"/>
      <c r="R626" s="33"/>
      <c r="S626" s="36">
        <f t="shared" si="131"/>
        <v>0</v>
      </c>
      <c r="T626" s="34">
        <f t="shared" si="129"/>
        <v>0</v>
      </c>
      <c r="U626" s="32">
        <f t="shared" si="130"/>
        <v>0</v>
      </c>
      <c r="V626" s="43"/>
      <c r="W626" s="32">
        <f t="shared" si="123"/>
        <v>0</v>
      </c>
      <c r="X626" s="34">
        <f t="shared" si="124"/>
        <v>0</v>
      </c>
      <c r="Y626" s="30">
        <f t="shared" si="125"/>
        <v>0</v>
      </c>
      <c r="Z626" s="34">
        <f t="shared" si="126"/>
        <v>0</v>
      </c>
      <c r="AA626" s="41">
        <f t="shared" si="127"/>
        <v>0</v>
      </c>
      <c r="AB626" s="31">
        <f t="shared" si="128"/>
        <v>0</v>
      </c>
    </row>
    <row r="627" spans="15:28" x14ac:dyDescent="0.7">
      <c r="O627" s="32" t="str">
        <f t="shared" si="122"/>
        <v/>
      </c>
      <c r="P627" s="21"/>
      <c r="Q627" s="21"/>
      <c r="R627" s="33"/>
      <c r="S627" s="36">
        <f t="shared" si="131"/>
        <v>0</v>
      </c>
      <c r="T627" s="34">
        <f t="shared" si="129"/>
        <v>0</v>
      </c>
      <c r="U627" s="32">
        <f t="shared" si="130"/>
        <v>0</v>
      </c>
      <c r="V627" s="43"/>
      <c r="W627" s="32">
        <f t="shared" si="123"/>
        <v>0</v>
      </c>
      <c r="X627" s="34">
        <f t="shared" si="124"/>
        <v>0</v>
      </c>
      <c r="Y627" s="30">
        <f t="shared" si="125"/>
        <v>0</v>
      </c>
      <c r="Z627" s="34">
        <f t="shared" si="126"/>
        <v>0</v>
      </c>
      <c r="AA627" s="41">
        <f t="shared" si="127"/>
        <v>0</v>
      </c>
      <c r="AB627" s="31">
        <f t="shared" si="128"/>
        <v>0</v>
      </c>
    </row>
    <row r="628" spans="15:28" x14ac:dyDescent="0.7">
      <c r="O628" s="32" t="str">
        <f t="shared" si="122"/>
        <v/>
      </c>
      <c r="P628" s="21"/>
      <c r="Q628" s="21"/>
      <c r="R628" s="33"/>
      <c r="S628" s="36">
        <f t="shared" si="131"/>
        <v>0</v>
      </c>
      <c r="T628" s="34">
        <f t="shared" si="129"/>
        <v>0</v>
      </c>
      <c r="U628" s="32">
        <f t="shared" si="130"/>
        <v>0</v>
      </c>
      <c r="V628" s="43"/>
      <c r="W628" s="32">
        <f t="shared" si="123"/>
        <v>0</v>
      </c>
      <c r="X628" s="34">
        <f t="shared" si="124"/>
        <v>0</v>
      </c>
      <c r="Y628" s="30">
        <f t="shared" si="125"/>
        <v>0</v>
      </c>
      <c r="Z628" s="34">
        <f t="shared" si="126"/>
        <v>0</v>
      </c>
      <c r="AA628" s="41">
        <f t="shared" si="127"/>
        <v>0</v>
      </c>
      <c r="AB628" s="31">
        <f t="shared" si="128"/>
        <v>0</v>
      </c>
    </row>
    <row r="629" spans="15:28" x14ac:dyDescent="0.7">
      <c r="O629" s="32" t="str">
        <f t="shared" si="122"/>
        <v/>
      </c>
      <c r="P629" s="21"/>
      <c r="Q629" s="21"/>
      <c r="R629" s="33"/>
      <c r="S629" s="36">
        <f t="shared" si="131"/>
        <v>0</v>
      </c>
      <c r="T629" s="34">
        <f t="shared" si="129"/>
        <v>0</v>
      </c>
      <c r="U629" s="32">
        <f t="shared" si="130"/>
        <v>0</v>
      </c>
      <c r="V629" s="43"/>
      <c r="W629" s="32">
        <f t="shared" si="123"/>
        <v>0</v>
      </c>
      <c r="X629" s="34">
        <f t="shared" si="124"/>
        <v>0</v>
      </c>
      <c r="Y629" s="30">
        <f t="shared" si="125"/>
        <v>0</v>
      </c>
      <c r="Z629" s="34">
        <f t="shared" si="126"/>
        <v>0</v>
      </c>
      <c r="AA629" s="41">
        <f t="shared" si="127"/>
        <v>0</v>
      </c>
      <c r="AB629" s="31">
        <f t="shared" si="128"/>
        <v>0</v>
      </c>
    </row>
    <row r="630" spans="15:28" x14ac:dyDescent="0.7">
      <c r="O630" s="32" t="str">
        <f t="shared" si="122"/>
        <v/>
      </c>
      <c r="P630" s="21"/>
      <c r="Q630" s="21"/>
      <c r="R630" s="33"/>
      <c r="S630" s="36">
        <f t="shared" si="131"/>
        <v>0</v>
      </c>
      <c r="T630" s="34">
        <f t="shared" si="129"/>
        <v>0</v>
      </c>
      <c r="U630" s="32">
        <f t="shared" si="130"/>
        <v>0</v>
      </c>
      <c r="V630" s="43"/>
      <c r="W630" s="32">
        <f t="shared" si="123"/>
        <v>0</v>
      </c>
      <c r="X630" s="34">
        <f t="shared" si="124"/>
        <v>0</v>
      </c>
      <c r="Y630" s="30">
        <f t="shared" si="125"/>
        <v>0</v>
      </c>
      <c r="Z630" s="34">
        <f t="shared" si="126"/>
        <v>0</v>
      </c>
      <c r="AA630" s="41">
        <f t="shared" si="127"/>
        <v>0</v>
      </c>
      <c r="AB630" s="31">
        <f t="shared" si="128"/>
        <v>0</v>
      </c>
    </row>
    <row r="631" spans="15:28" x14ac:dyDescent="0.7">
      <c r="O631" s="32" t="str">
        <f t="shared" si="122"/>
        <v/>
      </c>
      <c r="P631" s="21"/>
      <c r="Q631" s="21"/>
      <c r="R631" s="33"/>
      <c r="S631" s="36">
        <f t="shared" si="131"/>
        <v>0</v>
      </c>
      <c r="T631" s="34">
        <f t="shared" si="129"/>
        <v>0</v>
      </c>
      <c r="U631" s="32">
        <f t="shared" si="130"/>
        <v>0</v>
      </c>
      <c r="V631" s="43"/>
      <c r="W631" s="32">
        <f t="shared" si="123"/>
        <v>0</v>
      </c>
      <c r="X631" s="34">
        <f t="shared" si="124"/>
        <v>0</v>
      </c>
      <c r="Y631" s="30">
        <f t="shared" si="125"/>
        <v>0</v>
      </c>
      <c r="Z631" s="34">
        <f t="shared" si="126"/>
        <v>0</v>
      </c>
      <c r="AA631" s="41">
        <f t="shared" si="127"/>
        <v>0</v>
      </c>
      <c r="AB631" s="31">
        <f t="shared" si="128"/>
        <v>0</v>
      </c>
    </row>
    <row r="632" spans="15:28" x14ac:dyDescent="0.7">
      <c r="O632" s="32" t="str">
        <f t="shared" si="122"/>
        <v/>
      </c>
      <c r="P632" s="21"/>
      <c r="Q632" s="21"/>
      <c r="R632" s="33"/>
      <c r="S632" s="36">
        <f t="shared" si="131"/>
        <v>0</v>
      </c>
      <c r="T632" s="34">
        <f t="shared" si="129"/>
        <v>0</v>
      </c>
      <c r="U632" s="32">
        <f t="shared" si="130"/>
        <v>0</v>
      </c>
      <c r="V632" s="43"/>
      <c r="W632" s="32">
        <f t="shared" si="123"/>
        <v>0</v>
      </c>
      <c r="X632" s="34">
        <f t="shared" si="124"/>
        <v>0</v>
      </c>
      <c r="Y632" s="30">
        <f t="shared" si="125"/>
        <v>0</v>
      </c>
      <c r="Z632" s="34">
        <f t="shared" si="126"/>
        <v>0</v>
      </c>
      <c r="AA632" s="41">
        <f t="shared" si="127"/>
        <v>0</v>
      </c>
      <c r="AB632" s="31">
        <f t="shared" si="128"/>
        <v>0</v>
      </c>
    </row>
    <row r="633" spans="15:28" x14ac:dyDescent="0.7">
      <c r="O633" s="32" t="str">
        <f t="shared" si="122"/>
        <v/>
      </c>
      <c r="P633" s="21"/>
      <c r="Q633" s="21"/>
      <c r="R633" s="33"/>
      <c r="S633" s="36">
        <f t="shared" si="131"/>
        <v>0</v>
      </c>
      <c r="T633" s="34">
        <f t="shared" si="129"/>
        <v>0</v>
      </c>
      <c r="U633" s="32">
        <f t="shared" si="130"/>
        <v>0</v>
      </c>
      <c r="V633" s="43"/>
      <c r="W633" s="32">
        <f t="shared" si="123"/>
        <v>0</v>
      </c>
      <c r="X633" s="34">
        <f t="shared" si="124"/>
        <v>0</v>
      </c>
      <c r="Y633" s="30">
        <f t="shared" si="125"/>
        <v>0</v>
      </c>
      <c r="Z633" s="34">
        <f t="shared" si="126"/>
        <v>0</v>
      </c>
      <c r="AA633" s="41">
        <f t="shared" si="127"/>
        <v>0</v>
      </c>
      <c r="AB633" s="31">
        <f t="shared" si="128"/>
        <v>0</v>
      </c>
    </row>
    <row r="634" spans="15:28" x14ac:dyDescent="0.7">
      <c r="O634" s="32" t="str">
        <f t="shared" si="122"/>
        <v/>
      </c>
      <c r="P634" s="21"/>
      <c r="Q634" s="21"/>
      <c r="R634" s="33"/>
      <c r="S634" s="36">
        <f t="shared" si="131"/>
        <v>0</v>
      </c>
      <c r="T634" s="34">
        <f t="shared" si="129"/>
        <v>0</v>
      </c>
      <c r="U634" s="32">
        <f t="shared" si="130"/>
        <v>0</v>
      </c>
      <c r="V634" s="43"/>
      <c r="W634" s="32">
        <f t="shared" si="123"/>
        <v>0</v>
      </c>
      <c r="X634" s="34">
        <f t="shared" si="124"/>
        <v>0</v>
      </c>
      <c r="Y634" s="30">
        <f t="shared" si="125"/>
        <v>0</v>
      </c>
      <c r="Z634" s="34">
        <f t="shared" si="126"/>
        <v>0</v>
      </c>
      <c r="AA634" s="41">
        <f t="shared" si="127"/>
        <v>0</v>
      </c>
      <c r="AB634" s="31">
        <f t="shared" si="128"/>
        <v>0</v>
      </c>
    </row>
    <row r="635" spans="15:28" x14ac:dyDescent="0.7">
      <c r="O635" s="32" t="str">
        <f t="shared" si="122"/>
        <v/>
      </c>
      <c r="P635" s="21"/>
      <c r="Q635" s="21"/>
      <c r="R635" s="33"/>
      <c r="S635" s="36">
        <f t="shared" si="131"/>
        <v>0</v>
      </c>
      <c r="T635" s="34">
        <f t="shared" si="129"/>
        <v>0</v>
      </c>
      <c r="U635" s="32">
        <f t="shared" si="130"/>
        <v>0</v>
      </c>
      <c r="V635" s="43"/>
      <c r="W635" s="32">
        <f t="shared" si="123"/>
        <v>0</v>
      </c>
      <c r="X635" s="34">
        <f t="shared" si="124"/>
        <v>0</v>
      </c>
      <c r="Y635" s="30">
        <f t="shared" si="125"/>
        <v>0</v>
      </c>
      <c r="Z635" s="34">
        <f t="shared" si="126"/>
        <v>0</v>
      </c>
      <c r="AA635" s="41">
        <f t="shared" si="127"/>
        <v>0</v>
      </c>
      <c r="AB635" s="31">
        <f t="shared" si="128"/>
        <v>0</v>
      </c>
    </row>
    <row r="636" spans="15:28" x14ac:dyDescent="0.7">
      <c r="O636" s="32" t="str">
        <f t="shared" si="122"/>
        <v/>
      </c>
      <c r="P636" s="21"/>
      <c r="Q636" s="21"/>
      <c r="R636" s="33"/>
      <c r="S636" s="36">
        <f t="shared" si="131"/>
        <v>0</v>
      </c>
      <c r="T636" s="34">
        <f t="shared" si="129"/>
        <v>0</v>
      </c>
      <c r="U636" s="32">
        <f t="shared" si="130"/>
        <v>0</v>
      </c>
      <c r="V636" s="43"/>
      <c r="W636" s="32">
        <f t="shared" si="123"/>
        <v>0</v>
      </c>
      <c r="X636" s="34">
        <f t="shared" si="124"/>
        <v>0</v>
      </c>
      <c r="Y636" s="30">
        <f t="shared" si="125"/>
        <v>0</v>
      </c>
      <c r="Z636" s="34">
        <f t="shared" si="126"/>
        <v>0</v>
      </c>
      <c r="AA636" s="41">
        <f t="shared" si="127"/>
        <v>0</v>
      </c>
      <c r="AB636" s="31">
        <f t="shared" si="128"/>
        <v>0</v>
      </c>
    </row>
    <row r="637" spans="15:28" x14ac:dyDescent="0.7">
      <c r="O637" s="32" t="str">
        <f t="shared" si="122"/>
        <v/>
      </c>
      <c r="P637" s="21"/>
      <c r="Q637" s="21"/>
      <c r="R637" s="33"/>
      <c r="S637" s="36">
        <f t="shared" si="131"/>
        <v>0</v>
      </c>
      <c r="T637" s="34">
        <f t="shared" si="129"/>
        <v>0</v>
      </c>
      <c r="U637" s="32">
        <f t="shared" si="130"/>
        <v>0</v>
      </c>
      <c r="V637" s="43"/>
      <c r="W637" s="32">
        <f t="shared" si="123"/>
        <v>0</v>
      </c>
      <c r="X637" s="34">
        <f t="shared" si="124"/>
        <v>0</v>
      </c>
      <c r="Y637" s="30">
        <f t="shared" si="125"/>
        <v>0</v>
      </c>
      <c r="Z637" s="34">
        <f t="shared" si="126"/>
        <v>0</v>
      </c>
      <c r="AA637" s="41">
        <f t="shared" si="127"/>
        <v>0</v>
      </c>
      <c r="AB637" s="31">
        <f t="shared" si="128"/>
        <v>0</v>
      </c>
    </row>
    <row r="638" spans="15:28" x14ac:dyDescent="0.7">
      <c r="O638" s="32" t="str">
        <f t="shared" si="122"/>
        <v/>
      </c>
      <c r="P638" s="21"/>
      <c r="Q638" s="21"/>
      <c r="R638" s="33"/>
      <c r="S638" s="36">
        <f t="shared" si="131"/>
        <v>0</v>
      </c>
      <c r="T638" s="34">
        <f t="shared" si="129"/>
        <v>0</v>
      </c>
      <c r="U638" s="32">
        <f t="shared" si="130"/>
        <v>0</v>
      </c>
      <c r="V638" s="43"/>
      <c r="W638" s="32">
        <f t="shared" si="123"/>
        <v>0</v>
      </c>
      <c r="X638" s="34">
        <f t="shared" si="124"/>
        <v>0</v>
      </c>
      <c r="Y638" s="30">
        <f t="shared" si="125"/>
        <v>0</v>
      </c>
      <c r="Z638" s="34">
        <f t="shared" si="126"/>
        <v>0</v>
      </c>
      <c r="AA638" s="41">
        <f t="shared" si="127"/>
        <v>0</v>
      </c>
      <c r="AB638" s="31">
        <f t="shared" si="128"/>
        <v>0</v>
      </c>
    </row>
    <row r="639" spans="15:28" x14ac:dyDescent="0.7">
      <c r="O639" s="32" t="str">
        <f t="shared" si="122"/>
        <v/>
      </c>
      <c r="P639" s="21"/>
      <c r="Q639" s="21"/>
      <c r="R639" s="33"/>
      <c r="S639" s="36">
        <f t="shared" si="131"/>
        <v>0</v>
      </c>
      <c r="T639" s="34">
        <f t="shared" si="129"/>
        <v>0</v>
      </c>
      <c r="U639" s="32">
        <f t="shared" si="130"/>
        <v>0</v>
      </c>
      <c r="V639" s="43"/>
      <c r="W639" s="32">
        <f t="shared" si="123"/>
        <v>0</v>
      </c>
      <c r="X639" s="34">
        <f t="shared" si="124"/>
        <v>0</v>
      </c>
      <c r="Y639" s="30">
        <f t="shared" si="125"/>
        <v>0</v>
      </c>
      <c r="Z639" s="34">
        <f t="shared" si="126"/>
        <v>0</v>
      </c>
      <c r="AA639" s="41">
        <f t="shared" si="127"/>
        <v>0</v>
      </c>
      <c r="AB639" s="31">
        <f t="shared" si="128"/>
        <v>0</v>
      </c>
    </row>
    <row r="640" spans="15:28" x14ac:dyDescent="0.7">
      <c r="O640" s="32" t="str">
        <f t="shared" si="122"/>
        <v/>
      </c>
      <c r="P640" s="21"/>
      <c r="Q640" s="21"/>
      <c r="R640" s="33"/>
      <c r="S640" s="36">
        <f t="shared" si="131"/>
        <v>0</v>
      </c>
      <c r="T640" s="34">
        <f t="shared" si="129"/>
        <v>0</v>
      </c>
      <c r="U640" s="32">
        <f t="shared" si="130"/>
        <v>0</v>
      </c>
      <c r="V640" s="43"/>
      <c r="W640" s="32">
        <f t="shared" si="123"/>
        <v>0</v>
      </c>
      <c r="X640" s="34">
        <f t="shared" si="124"/>
        <v>0</v>
      </c>
      <c r="Y640" s="30">
        <f t="shared" si="125"/>
        <v>0</v>
      </c>
      <c r="Z640" s="34">
        <f t="shared" si="126"/>
        <v>0</v>
      </c>
      <c r="AA640" s="41">
        <f t="shared" si="127"/>
        <v>0</v>
      </c>
      <c r="AB640" s="31">
        <f t="shared" si="128"/>
        <v>0</v>
      </c>
    </row>
    <row r="641" spans="15:28" x14ac:dyDescent="0.7">
      <c r="O641" s="32" t="str">
        <f t="shared" si="122"/>
        <v/>
      </c>
      <c r="P641" s="21"/>
      <c r="Q641" s="21"/>
      <c r="R641" s="33"/>
      <c r="S641" s="36">
        <f t="shared" si="131"/>
        <v>0</v>
      </c>
      <c r="T641" s="34">
        <f t="shared" si="129"/>
        <v>0</v>
      </c>
      <c r="U641" s="32">
        <f t="shared" si="130"/>
        <v>0</v>
      </c>
      <c r="V641" s="43"/>
      <c r="W641" s="32">
        <f t="shared" si="123"/>
        <v>0</v>
      </c>
      <c r="X641" s="34">
        <f t="shared" si="124"/>
        <v>0</v>
      </c>
      <c r="Y641" s="30">
        <f t="shared" si="125"/>
        <v>0</v>
      </c>
      <c r="Z641" s="34">
        <f t="shared" si="126"/>
        <v>0</v>
      </c>
      <c r="AA641" s="41">
        <f t="shared" si="127"/>
        <v>0</v>
      </c>
      <c r="AB641" s="31">
        <f t="shared" si="128"/>
        <v>0</v>
      </c>
    </row>
    <row r="642" spans="15:28" x14ac:dyDescent="0.7">
      <c r="O642" s="32" t="str">
        <f t="shared" si="122"/>
        <v/>
      </c>
      <c r="P642" s="21"/>
      <c r="Q642" s="21"/>
      <c r="R642" s="33"/>
      <c r="S642" s="36">
        <f t="shared" si="131"/>
        <v>0</v>
      </c>
      <c r="T642" s="34">
        <f t="shared" si="129"/>
        <v>0</v>
      </c>
      <c r="U642" s="32">
        <f t="shared" si="130"/>
        <v>0</v>
      </c>
      <c r="V642" s="43"/>
      <c r="W642" s="32">
        <f t="shared" si="123"/>
        <v>0</v>
      </c>
      <c r="X642" s="34">
        <f t="shared" si="124"/>
        <v>0</v>
      </c>
      <c r="Y642" s="30">
        <f t="shared" si="125"/>
        <v>0</v>
      </c>
      <c r="Z642" s="34">
        <f t="shared" si="126"/>
        <v>0</v>
      </c>
      <c r="AA642" s="41">
        <f t="shared" si="127"/>
        <v>0</v>
      </c>
      <c r="AB642" s="31">
        <f t="shared" si="128"/>
        <v>0</v>
      </c>
    </row>
    <row r="643" spans="15:28" x14ac:dyDescent="0.7">
      <c r="O643" s="32" t="str">
        <f t="shared" si="122"/>
        <v/>
      </c>
      <c r="P643" s="21"/>
      <c r="Q643" s="21"/>
      <c r="R643" s="33"/>
      <c r="S643" s="36">
        <f t="shared" si="131"/>
        <v>0</v>
      </c>
      <c r="T643" s="34">
        <f t="shared" si="129"/>
        <v>0</v>
      </c>
      <c r="U643" s="32">
        <f t="shared" si="130"/>
        <v>0</v>
      </c>
      <c r="V643" s="43"/>
      <c r="W643" s="32">
        <f t="shared" si="123"/>
        <v>0</v>
      </c>
      <c r="X643" s="34">
        <f t="shared" si="124"/>
        <v>0</v>
      </c>
      <c r="Y643" s="30">
        <f t="shared" si="125"/>
        <v>0</v>
      </c>
      <c r="Z643" s="34">
        <f t="shared" si="126"/>
        <v>0</v>
      </c>
      <c r="AA643" s="41">
        <f t="shared" si="127"/>
        <v>0</v>
      </c>
      <c r="AB643" s="31">
        <f t="shared" si="128"/>
        <v>0</v>
      </c>
    </row>
    <row r="644" spans="15:28" x14ac:dyDescent="0.7">
      <c r="O644" s="32" t="str">
        <f t="shared" si="122"/>
        <v/>
      </c>
      <c r="P644" s="21"/>
      <c r="Q644" s="21"/>
      <c r="R644" s="33"/>
      <c r="S644" s="36">
        <f t="shared" si="131"/>
        <v>0</v>
      </c>
      <c r="T644" s="34">
        <f t="shared" si="129"/>
        <v>0</v>
      </c>
      <c r="U644" s="32">
        <f t="shared" si="130"/>
        <v>0</v>
      </c>
      <c r="V644" s="43"/>
      <c r="W644" s="32">
        <f t="shared" si="123"/>
        <v>0</v>
      </c>
      <c r="X644" s="34">
        <f t="shared" si="124"/>
        <v>0</v>
      </c>
      <c r="Y644" s="30">
        <f t="shared" si="125"/>
        <v>0</v>
      </c>
      <c r="Z644" s="34">
        <f t="shared" si="126"/>
        <v>0</v>
      </c>
      <c r="AA644" s="41">
        <f t="shared" si="127"/>
        <v>0</v>
      </c>
      <c r="AB644" s="31">
        <f t="shared" si="128"/>
        <v>0</v>
      </c>
    </row>
    <row r="645" spans="15:28" x14ac:dyDescent="0.7">
      <c r="O645" s="32" t="str">
        <f t="shared" si="122"/>
        <v/>
      </c>
      <c r="P645" s="21"/>
      <c r="Q645" s="21"/>
      <c r="R645" s="33"/>
      <c r="S645" s="36">
        <f t="shared" si="131"/>
        <v>0</v>
      </c>
      <c r="T645" s="34">
        <f t="shared" si="129"/>
        <v>0</v>
      </c>
      <c r="U645" s="32">
        <f t="shared" si="130"/>
        <v>0</v>
      </c>
      <c r="V645" s="43"/>
      <c r="W645" s="32">
        <f t="shared" si="123"/>
        <v>0</v>
      </c>
      <c r="X645" s="34">
        <f t="shared" si="124"/>
        <v>0</v>
      </c>
      <c r="Y645" s="30">
        <f t="shared" si="125"/>
        <v>0</v>
      </c>
      <c r="Z645" s="34">
        <f t="shared" si="126"/>
        <v>0</v>
      </c>
      <c r="AA645" s="41">
        <f t="shared" si="127"/>
        <v>0</v>
      </c>
      <c r="AB645" s="31">
        <f t="shared" si="128"/>
        <v>0</v>
      </c>
    </row>
    <row r="646" spans="15:28" x14ac:dyDescent="0.7">
      <c r="O646" s="32" t="str">
        <f t="shared" si="122"/>
        <v/>
      </c>
      <c r="P646" s="21"/>
      <c r="Q646" s="21"/>
      <c r="R646" s="33"/>
      <c r="S646" s="36">
        <f t="shared" si="131"/>
        <v>0</v>
      </c>
      <c r="T646" s="34">
        <f t="shared" si="129"/>
        <v>0</v>
      </c>
      <c r="U646" s="32">
        <f t="shared" si="130"/>
        <v>0</v>
      </c>
      <c r="V646" s="43"/>
      <c r="W646" s="32">
        <f t="shared" si="123"/>
        <v>0</v>
      </c>
      <c r="X646" s="34">
        <f t="shared" si="124"/>
        <v>0</v>
      </c>
      <c r="Y646" s="30">
        <f t="shared" si="125"/>
        <v>0</v>
      </c>
      <c r="Z646" s="34">
        <f t="shared" si="126"/>
        <v>0</v>
      </c>
      <c r="AA646" s="41">
        <f t="shared" si="127"/>
        <v>0</v>
      </c>
      <c r="AB646" s="31">
        <f t="shared" si="128"/>
        <v>0</v>
      </c>
    </row>
    <row r="647" spans="15:28" x14ac:dyDescent="0.7">
      <c r="O647" s="32" t="str">
        <f t="shared" si="122"/>
        <v/>
      </c>
      <c r="P647" s="21"/>
      <c r="Q647" s="21"/>
      <c r="R647" s="33"/>
      <c r="S647" s="36">
        <f t="shared" si="131"/>
        <v>0</v>
      </c>
      <c r="T647" s="34">
        <f t="shared" si="129"/>
        <v>0</v>
      </c>
      <c r="U647" s="32">
        <f t="shared" si="130"/>
        <v>0</v>
      </c>
      <c r="V647" s="43"/>
      <c r="W647" s="32">
        <f t="shared" si="123"/>
        <v>0</v>
      </c>
      <c r="X647" s="34">
        <f t="shared" si="124"/>
        <v>0</v>
      </c>
      <c r="Y647" s="30">
        <f t="shared" si="125"/>
        <v>0</v>
      </c>
      <c r="Z647" s="34">
        <f t="shared" si="126"/>
        <v>0</v>
      </c>
      <c r="AA647" s="41">
        <f t="shared" si="127"/>
        <v>0</v>
      </c>
      <c r="AB647" s="31">
        <f t="shared" si="128"/>
        <v>0</v>
      </c>
    </row>
    <row r="648" spans="15:28" x14ac:dyDescent="0.7">
      <c r="O648" s="32" t="str">
        <f t="shared" ref="O648:O711" si="132">IF(P648="","",ROW()-ROW($O$6))</f>
        <v/>
      </c>
      <c r="P648" s="21"/>
      <c r="Q648" s="21"/>
      <c r="R648" s="33"/>
      <c r="S648" s="36">
        <f t="shared" si="131"/>
        <v>0</v>
      </c>
      <c r="T648" s="34">
        <f t="shared" si="129"/>
        <v>0</v>
      </c>
      <c r="U648" s="32">
        <f t="shared" si="130"/>
        <v>0</v>
      </c>
      <c r="V648" s="43"/>
      <c r="W648" s="32">
        <f t="shared" ref="W648:W711" si="133">U648-V648</f>
        <v>0</v>
      </c>
      <c r="X648" s="34">
        <f t="shared" ref="X648:X711" si="134">W648/5440</f>
        <v>0</v>
      </c>
      <c r="Y648" s="30">
        <f t="shared" ref="Y648:Y711" si="135">TRUNC(X648)</f>
        <v>0</v>
      </c>
      <c r="Z648" s="34">
        <f t="shared" ref="Z648:Z711" si="136">(X648-Y648)*20</f>
        <v>0</v>
      </c>
      <c r="AA648" s="41">
        <f t="shared" ref="AA648:AA711" si="137">TRUNC(Z648)</f>
        <v>0</v>
      </c>
      <c r="AB648" s="31">
        <f t="shared" ref="AB648:AB711" si="138">(Z648-AA648)*272</f>
        <v>0</v>
      </c>
    </row>
    <row r="649" spans="15:28" x14ac:dyDescent="0.7">
      <c r="O649" s="32" t="str">
        <f t="shared" si="132"/>
        <v/>
      </c>
      <c r="P649" s="21"/>
      <c r="Q649" s="21"/>
      <c r="R649" s="33"/>
      <c r="S649" s="36">
        <f t="shared" si="131"/>
        <v>0</v>
      </c>
      <c r="T649" s="34">
        <f t="shared" ref="T649:T712" si="139">(S649*R649)/100</f>
        <v>0</v>
      </c>
      <c r="U649" s="32">
        <f t="shared" ref="U649:U712" si="140">R649-T649</f>
        <v>0</v>
      </c>
      <c r="V649" s="43"/>
      <c r="W649" s="32">
        <f t="shared" si="133"/>
        <v>0</v>
      </c>
      <c r="X649" s="34">
        <f t="shared" si="134"/>
        <v>0</v>
      </c>
      <c r="Y649" s="30">
        <f t="shared" si="135"/>
        <v>0</v>
      </c>
      <c r="Z649" s="34">
        <f t="shared" si="136"/>
        <v>0</v>
      </c>
      <c r="AA649" s="41">
        <f t="shared" si="137"/>
        <v>0</v>
      </c>
      <c r="AB649" s="31">
        <f t="shared" si="138"/>
        <v>0</v>
      </c>
    </row>
    <row r="650" spans="15:28" x14ac:dyDescent="0.7">
      <c r="O650" s="32" t="str">
        <f t="shared" si="132"/>
        <v/>
      </c>
      <c r="P650" s="21"/>
      <c r="Q650" s="21"/>
      <c r="R650" s="33"/>
      <c r="S650" s="36">
        <f t="shared" si="131"/>
        <v>0</v>
      </c>
      <c r="T650" s="34">
        <f t="shared" si="139"/>
        <v>0</v>
      </c>
      <c r="U650" s="32">
        <f t="shared" si="140"/>
        <v>0</v>
      </c>
      <c r="V650" s="43"/>
      <c r="W650" s="32">
        <f t="shared" si="133"/>
        <v>0</v>
      </c>
      <c r="X650" s="34">
        <f t="shared" si="134"/>
        <v>0</v>
      </c>
      <c r="Y650" s="30">
        <f t="shared" si="135"/>
        <v>0</v>
      </c>
      <c r="Z650" s="34">
        <f t="shared" si="136"/>
        <v>0</v>
      </c>
      <c r="AA650" s="41">
        <f t="shared" si="137"/>
        <v>0</v>
      </c>
      <c r="AB650" s="31">
        <f t="shared" si="138"/>
        <v>0</v>
      </c>
    </row>
    <row r="651" spans="15:28" x14ac:dyDescent="0.7">
      <c r="O651" s="32" t="str">
        <f t="shared" si="132"/>
        <v/>
      </c>
      <c r="P651" s="21"/>
      <c r="Q651" s="21"/>
      <c r="R651" s="33"/>
      <c r="S651" s="36">
        <f t="shared" ref="S651:S714" si="141">S650</f>
        <v>0</v>
      </c>
      <c r="T651" s="34">
        <f t="shared" si="139"/>
        <v>0</v>
      </c>
      <c r="U651" s="32">
        <f t="shared" si="140"/>
        <v>0</v>
      </c>
      <c r="V651" s="43"/>
      <c r="W651" s="32">
        <f t="shared" si="133"/>
        <v>0</v>
      </c>
      <c r="X651" s="34">
        <f t="shared" si="134"/>
        <v>0</v>
      </c>
      <c r="Y651" s="30">
        <f t="shared" si="135"/>
        <v>0</v>
      </c>
      <c r="Z651" s="34">
        <f t="shared" si="136"/>
        <v>0</v>
      </c>
      <c r="AA651" s="41">
        <f t="shared" si="137"/>
        <v>0</v>
      </c>
      <c r="AB651" s="31">
        <f t="shared" si="138"/>
        <v>0</v>
      </c>
    </row>
    <row r="652" spans="15:28" x14ac:dyDescent="0.7">
      <c r="O652" s="32" t="str">
        <f t="shared" si="132"/>
        <v/>
      </c>
      <c r="P652" s="21"/>
      <c r="Q652" s="21"/>
      <c r="R652" s="33"/>
      <c r="S652" s="36">
        <f t="shared" si="141"/>
        <v>0</v>
      </c>
      <c r="T652" s="34">
        <f t="shared" si="139"/>
        <v>0</v>
      </c>
      <c r="U652" s="32">
        <f t="shared" si="140"/>
        <v>0</v>
      </c>
      <c r="V652" s="43"/>
      <c r="W652" s="32">
        <f t="shared" si="133"/>
        <v>0</v>
      </c>
      <c r="X652" s="34">
        <f t="shared" si="134"/>
        <v>0</v>
      </c>
      <c r="Y652" s="30">
        <f t="shared" si="135"/>
        <v>0</v>
      </c>
      <c r="Z652" s="34">
        <f t="shared" si="136"/>
        <v>0</v>
      </c>
      <c r="AA652" s="41">
        <f t="shared" si="137"/>
        <v>0</v>
      </c>
      <c r="AB652" s="31">
        <f t="shared" si="138"/>
        <v>0</v>
      </c>
    </row>
    <row r="653" spans="15:28" x14ac:dyDescent="0.7">
      <c r="O653" s="32" t="str">
        <f t="shared" si="132"/>
        <v/>
      </c>
      <c r="P653" s="21"/>
      <c r="Q653" s="21"/>
      <c r="R653" s="33"/>
      <c r="S653" s="36">
        <f t="shared" si="141"/>
        <v>0</v>
      </c>
      <c r="T653" s="34">
        <f t="shared" si="139"/>
        <v>0</v>
      </c>
      <c r="U653" s="32">
        <f t="shared" si="140"/>
        <v>0</v>
      </c>
      <c r="V653" s="43"/>
      <c r="W653" s="32">
        <f t="shared" si="133"/>
        <v>0</v>
      </c>
      <c r="X653" s="34">
        <f t="shared" si="134"/>
        <v>0</v>
      </c>
      <c r="Y653" s="30">
        <f t="shared" si="135"/>
        <v>0</v>
      </c>
      <c r="Z653" s="34">
        <f t="shared" si="136"/>
        <v>0</v>
      </c>
      <c r="AA653" s="41">
        <f t="shared" si="137"/>
        <v>0</v>
      </c>
      <c r="AB653" s="31">
        <f t="shared" si="138"/>
        <v>0</v>
      </c>
    </row>
    <row r="654" spans="15:28" x14ac:dyDescent="0.7">
      <c r="O654" s="32" t="str">
        <f t="shared" si="132"/>
        <v/>
      </c>
      <c r="P654" s="21"/>
      <c r="Q654" s="21"/>
      <c r="R654" s="33"/>
      <c r="S654" s="36">
        <f t="shared" si="141"/>
        <v>0</v>
      </c>
      <c r="T654" s="34">
        <f t="shared" si="139"/>
        <v>0</v>
      </c>
      <c r="U654" s="32">
        <f t="shared" si="140"/>
        <v>0</v>
      </c>
      <c r="V654" s="43"/>
      <c r="W654" s="32">
        <f t="shared" si="133"/>
        <v>0</v>
      </c>
      <c r="X654" s="34">
        <f t="shared" si="134"/>
        <v>0</v>
      </c>
      <c r="Y654" s="30">
        <f t="shared" si="135"/>
        <v>0</v>
      </c>
      <c r="Z654" s="34">
        <f t="shared" si="136"/>
        <v>0</v>
      </c>
      <c r="AA654" s="41">
        <f t="shared" si="137"/>
        <v>0</v>
      </c>
      <c r="AB654" s="31">
        <f t="shared" si="138"/>
        <v>0</v>
      </c>
    </row>
    <row r="655" spans="15:28" x14ac:dyDescent="0.7">
      <c r="O655" s="32" t="str">
        <f t="shared" si="132"/>
        <v/>
      </c>
      <c r="P655" s="21"/>
      <c r="Q655" s="21"/>
      <c r="R655" s="33"/>
      <c r="S655" s="36">
        <f t="shared" si="141"/>
        <v>0</v>
      </c>
      <c r="T655" s="34">
        <f t="shared" si="139"/>
        <v>0</v>
      </c>
      <c r="U655" s="32">
        <f t="shared" si="140"/>
        <v>0</v>
      </c>
      <c r="V655" s="43"/>
      <c r="W655" s="32">
        <f t="shared" si="133"/>
        <v>0</v>
      </c>
      <c r="X655" s="34">
        <f t="shared" si="134"/>
        <v>0</v>
      </c>
      <c r="Y655" s="30">
        <f t="shared" si="135"/>
        <v>0</v>
      </c>
      <c r="Z655" s="34">
        <f t="shared" si="136"/>
        <v>0</v>
      </c>
      <c r="AA655" s="41">
        <f t="shared" si="137"/>
        <v>0</v>
      </c>
      <c r="AB655" s="31">
        <f t="shared" si="138"/>
        <v>0</v>
      </c>
    </row>
    <row r="656" spans="15:28" x14ac:dyDescent="0.7">
      <c r="O656" s="32" t="str">
        <f t="shared" si="132"/>
        <v/>
      </c>
      <c r="P656" s="21"/>
      <c r="Q656" s="21"/>
      <c r="R656" s="33"/>
      <c r="S656" s="36">
        <f t="shared" si="141"/>
        <v>0</v>
      </c>
      <c r="T656" s="34">
        <f t="shared" si="139"/>
        <v>0</v>
      </c>
      <c r="U656" s="32">
        <f t="shared" si="140"/>
        <v>0</v>
      </c>
      <c r="V656" s="43"/>
      <c r="W656" s="32">
        <f t="shared" si="133"/>
        <v>0</v>
      </c>
      <c r="X656" s="34">
        <f t="shared" si="134"/>
        <v>0</v>
      </c>
      <c r="Y656" s="30">
        <f t="shared" si="135"/>
        <v>0</v>
      </c>
      <c r="Z656" s="34">
        <f t="shared" si="136"/>
        <v>0</v>
      </c>
      <c r="AA656" s="41">
        <f t="shared" si="137"/>
        <v>0</v>
      </c>
      <c r="AB656" s="31">
        <f t="shared" si="138"/>
        <v>0</v>
      </c>
    </row>
    <row r="657" spans="15:28" x14ac:dyDescent="0.7">
      <c r="O657" s="32" t="str">
        <f t="shared" si="132"/>
        <v/>
      </c>
      <c r="P657" s="21"/>
      <c r="Q657" s="21"/>
      <c r="R657" s="33"/>
      <c r="S657" s="36">
        <f t="shared" si="141"/>
        <v>0</v>
      </c>
      <c r="T657" s="34">
        <f t="shared" si="139"/>
        <v>0</v>
      </c>
      <c r="U657" s="32">
        <f t="shared" si="140"/>
        <v>0</v>
      </c>
      <c r="V657" s="43"/>
      <c r="W657" s="32">
        <f t="shared" si="133"/>
        <v>0</v>
      </c>
      <c r="X657" s="34">
        <f t="shared" si="134"/>
        <v>0</v>
      </c>
      <c r="Y657" s="30">
        <f t="shared" si="135"/>
        <v>0</v>
      </c>
      <c r="Z657" s="34">
        <f t="shared" si="136"/>
        <v>0</v>
      </c>
      <c r="AA657" s="41">
        <f t="shared" si="137"/>
        <v>0</v>
      </c>
      <c r="AB657" s="31">
        <f t="shared" si="138"/>
        <v>0</v>
      </c>
    </row>
    <row r="658" spans="15:28" x14ac:dyDescent="0.7">
      <c r="O658" s="32" t="str">
        <f t="shared" si="132"/>
        <v/>
      </c>
      <c r="P658" s="21"/>
      <c r="Q658" s="21"/>
      <c r="R658" s="33"/>
      <c r="S658" s="36">
        <f t="shared" si="141"/>
        <v>0</v>
      </c>
      <c r="T658" s="34">
        <f t="shared" si="139"/>
        <v>0</v>
      </c>
      <c r="U658" s="32">
        <f t="shared" si="140"/>
        <v>0</v>
      </c>
      <c r="V658" s="43"/>
      <c r="W658" s="32">
        <f t="shared" si="133"/>
        <v>0</v>
      </c>
      <c r="X658" s="34">
        <f t="shared" si="134"/>
        <v>0</v>
      </c>
      <c r="Y658" s="30">
        <f t="shared" si="135"/>
        <v>0</v>
      </c>
      <c r="Z658" s="34">
        <f t="shared" si="136"/>
        <v>0</v>
      </c>
      <c r="AA658" s="41">
        <f t="shared" si="137"/>
        <v>0</v>
      </c>
      <c r="AB658" s="31">
        <f t="shared" si="138"/>
        <v>0</v>
      </c>
    </row>
    <row r="659" spans="15:28" x14ac:dyDescent="0.7">
      <c r="O659" s="32" t="str">
        <f t="shared" si="132"/>
        <v/>
      </c>
      <c r="P659" s="21"/>
      <c r="Q659" s="21"/>
      <c r="R659" s="33"/>
      <c r="S659" s="36">
        <f t="shared" si="141"/>
        <v>0</v>
      </c>
      <c r="T659" s="34">
        <f t="shared" si="139"/>
        <v>0</v>
      </c>
      <c r="U659" s="32">
        <f t="shared" si="140"/>
        <v>0</v>
      </c>
      <c r="V659" s="43"/>
      <c r="W659" s="32">
        <f t="shared" si="133"/>
        <v>0</v>
      </c>
      <c r="X659" s="34">
        <f t="shared" si="134"/>
        <v>0</v>
      </c>
      <c r="Y659" s="30">
        <f t="shared" si="135"/>
        <v>0</v>
      </c>
      <c r="Z659" s="34">
        <f t="shared" si="136"/>
        <v>0</v>
      </c>
      <c r="AA659" s="41">
        <f t="shared" si="137"/>
        <v>0</v>
      </c>
      <c r="AB659" s="31">
        <f t="shared" si="138"/>
        <v>0</v>
      </c>
    </row>
    <row r="660" spans="15:28" x14ac:dyDescent="0.7">
      <c r="O660" s="32" t="str">
        <f t="shared" si="132"/>
        <v/>
      </c>
      <c r="P660" s="21"/>
      <c r="Q660" s="21"/>
      <c r="R660" s="33"/>
      <c r="S660" s="36">
        <f t="shared" si="141"/>
        <v>0</v>
      </c>
      <c r="T660" s="34">
        <f t="shared" si="139"/>
        <v>0</v>
      </c>
      <c r="U660" s="32">
        <f t="shared" si="140"/>
        <v>0</v>
      </c>
      <c r="V660" s="43"/>
      <c r="W660" s="32">
        <f t="shared" si="133"/>
        <v>0</v>
      </c>
      <c r="X660" s="34">
        <f t="shared" si="134"/>
        <v>0</v>
      </c>
      <c r="Y660" s="30">
        <f t="shared" si="135"/>
        <v>0</v>
      </c>
      <c r="Z660" s="34">
        <f t="shared" si="136"/>
        <v>0</v>
      </c>
      <c r="AA660" s="41">
        <f t="shared" si="137"/>
        <v>0</v>
      </c>
      <c r="AB660" s="31">
        <f t="shared" si="138"/>
        <v>0</v>
      </c>
    </row>
    <row r="661" spans="15:28" x14ac:dyDescent="0.7">
      <c r="O661" s="32" t="str">
        <f t="shared" si="132"/>
        <v/>
      </c>
      <c r="P661" s="21"/>
      <c r="Q661" s="21"/>
      <c r="R661" s="33"/>
      <c r="S661" s="36">
        <f t="shared" si="141"/>
        <v>0</v>
      </c>
      <c r="T661" s="34">
        <f t="shared" si="139"/>
        <v>0</v>
      </c>
      <c r="U661" s="32">
        <f t="shared" si="140"/>
        <v>0</v>
      </c>
      <c r="V661" s="43"/>
      <c r="W661" s="32">
        <f t="shared" si="133"/>
        <v>0</v>
      </c>
      <c r="X661" s="34">
        <f t="shared" si="134"/>
        <v>0</v>
      </c>
      <c r="Y661" s="30">
        <f t="shared" si="135"/>
        <v>0</v>
      </c>
      <c r="Z661" s="34">
        <f t="shared" si="136"/>
        <v>0</v>
      </c>
      <c r="AA661" s="41">
        <f t="shared" si="137"/>
        <v>0</v>
      </c>
      <c r="AB661" s="31">
        <f t="shared" si="138"/>
        <v>0</v>
      </c>
    </row>
    <row r="662" spans="15:28" x14ac:dyDescent="0.7">
      <c r="O662" s="32" t="str">
        <f t="shared" si="132"/>
        <v/>
      </c>
      <c r="P662" s="21"/>
      <c r="Q662" s="21"/>
      <c r="R662" s="33"/>
      <c r="S662" s="36">
        <f t="shared" si="141"/>
        <v>0</v>
      </c>
      <c r="T662" s="34">
        <f t="shared" si="139"/>
        <v>0</v>
      </c>
      <c r="U662" s="32">
        <f t="shared" si="140"/>
        <v>0</v>
      </c>
      <c r="V662" s="43"/>
      <c r="W662" s="32">
        <f t="shared" si="133"/>
        <v>0</v>
      </c>
      <c r="X662" s="34">
        <f t="shared" si="134"/>
        <v>0</v>
      </c>
      <c r="Y662" s="30">
        <f t="shared" si="135"/>
        <v>0</v>
      </c>
      <c r="Z662" s="34">
        <f t="shared" si="136"/>
        <v>0</v>
      </c>
      <c r="AA662" s="41">
        <f t="shared" si="137"/>
        <v>0</v>
      </c>
      <c r="AB662" s="31">
        <f t="shared" si="138"/>
        <v>0</v>
      </c>
    </row>
    <row r="663" spans="15:28" x14ac:dyDescent="0.7">
      <c r="O663" s="32" t="str">
        <f t="shared" si="132"/>
        <v/>
      </c>
      <c r="P663" s="21"/>
      <c r="Q663" s="21"/>
      <c r="R663" s="33"/>
      <c r="S663" s="36">
        <f t="shared" si="141"/>
        <v>0</v>
      </c>
      <c r="T663" s="34">
        <f t="shared" si="139"/>
        <v>0</v>
      </c>
      <c r="U663" s="32">
        <f t="shared" si="140"/>
        <v>0</v>
      </c>
      <c r="V663" s="43"/>
      <c r="W663" s="32">
        <f t="shared" si="133"/>
        <v>0</v>
      </c>
      <c r="X663" s="34">
        <f t="shared" si="134"/>
        <v>0</v>
      </c>
      <c r="Y663" s="30">
        <f t="shared" si="135"/>
        <v>0</v>
      </c>
      <c r="Z663" s="34">
        <f t="shared" si="136"/>
        <v>0</v>
      </c>
      <c r="AA663" s="41">
        <f t="shared" si="137"/>
        <v>0</v>
      </c>
      <c r="AB663" s="31">
        <f t="shared" si="138"/>
        <v>0</v>
      </c>
    </row>
    <row r="664" spans="15:28" x14ac:dyDescent="0.7">
      <c r="O664" s="32" t="str">
        <f t="shared" si="132"/>
        <v/>
      </c>
      <c r="P664" s="21"/>
      <c r="Q664" s="21"/>
      <c r="R664" s="33"/>
      <c r="S664" s="36">
        <f t="shared" si="141"/>
        <v>0</v>
      </c>
      <c r="T664" s="34">
        <f t="shared" si="139"/>
        <v>0</v>
      </c>
      <c r="U664" s="32">
        <f t="shared" si="140"/>
        <v>0</v>
      </c>
      <c r="V664" s="43"/>
      <c r="W664" s="32">
        <f t="shared" si="133"/>
        <v>0</v>
      </c>
      <c r="X664" s="34">
        <f t="shared" si="134"/>
        <v>0</v>
      </c>
      <c r="Y664" s="30">
        <f t="shared" si="135"/>
        <v>0</v>
      </c>
      <c r="Z664" s="34">
        <f t="shared" si="136"/>
        <v>0</v>
      </c>
      <c r="AA664" s="41">
        <f t="shared" si="137"/>
        <v>0</v>
      </c>
      <c r="AB664" s="31">
        <f t="shared" si="138"/>
        <v>0</v>
      </c>
    </row>
    <row r="665" spans="15:28" x14ac:dyDescent="0.7">
      <c r="O665" s="32" t="str">
        <f t="shared" si="132"/>
        <v/>
      </c>
      <c r="P665" s="21"/>
      <c r="Q665" s="21"/>
      <c r="R665" s="33"/>
      <c r="S665" s="36">
        <f t="shared" si="141"/>
        <v>0</v>
      </c>
      <c r="T665" s="34">
        <f t="shared" si="139"/>
        <v>0</v>
      </c>
      <c r="U665" s="32">
        <f t="shared" si="140"/>
        <v>0</v>
      </c>
      <c r="V665" s="43"/>
      <c r="W665" s="32">
        <f t="shared" si="133"/>
        <v>0</v>
      </c>
      <c r="X665" s="34">
        <f t="shared" si="134"/>
        <v>0</v>
      </c>
      <c r="Y665" s="30">
        <f t="shared" si="135"/>
        <v>0</v>
      </c>
      <c r="Z665" s="34">
        <f t="shared" si="136"/>
        <v>0</v>
      </c>
      <c r="AA665" s="41">
        <f t="shared" si="137"/>
        <v>0</v>
      </c>
      <c r="AB665" s="31">
        <f t="shared" si="138"/>
        <v>0</v>
      </c>
    </row>
    <row r="666" spans="15:28" x14ac:dyDescent="0.7">
      <c r="O666" s="32" t="str">
        <f t="shared" si="132"/>
        <v/>
      </c>
      <c r="P666" s="21"/>
      <c r="Q666" s="21"/>
      <c r="R666" s="33"/>
      <c r="S666" s="36">
        <f t="shared" si="141"/>
        <v>0</v>
      </c>
      <c r="T666" s="34">
        <f t="shared" si="139"/>
        <v>0</v>
      </c>
      <c r="U666" s="32">
        <f t="shared" si="140"/>
        <v>0</v>
      </c>
      <c r="V666" s="43"/>
      <c r="W666" s="32">
        <f t="shared" si="133"/>
        <v>0</v>
      </c>
      <c r="X666" s="34">
        <f t="shared" si="134"/>
        <v>0</v>
      </c>
      <c r="Y666" s="30">
        <f t="shared" si="135"/>
        <v>0</v>
      </c>
      <c r="Z666" s="34">
        <f t="shared" si="136"/>
        <v>0</v>
      </c>
      <c r="AA666" s="41">
        <f t="shared" si="137"/>
        <v>0</v>
      </c>
      <c r="AB666" s="31">
        <f t="shared" si="138"/>
        <v>0</v>
      </c>
    </row>
    <row r="667" spans="15:28" x14ac:dyDescent="0.7">
      <c r="O667" s="32" t="str">
        <f t="shared" si="132"/>
        <v/>
      </c>
      <c r="P667" s="21"/>
      <c r="Q667" s="21"/>
      <c r="R667" s="33"/>
      <c r="S667" s="36">
        <f t="shared" si="141"/>
        <v>0</v>
      </c>
      <c r="T667" s="34">
        <f t="shared" si="139"/>
        <v>0</v>
      </c>
      <c r="U667" s="32">
        <f t="shared" si="140"/>
        <v>0</v>
      </c>
      <c r="V667" s="43"/>
      <c r="W667" s="32">
        <f t="shared" si="133"/>
        <v>0</v>
      </c>
      <c r="X667" s="34">
        <f t="shared" si="134"/>
        <v>0</v>
      </c>
      <c r="Y667" s="30">
        <f t="shared" si="135"/>
        <v>0</v>
      </c>
      <c r="Z667" s="34">
        <f t="shared" si="136"/>
        <v>0</v>
      </c>
      <c r="AA667" s="41">
        <f t="shared" si="137"/>
        <v>0</v>
      </c>
      <c r="AB667" s="31">
        <f t="shared" si="138"/>
        <v>0</v>
      </c>
    </row>
    <row r="668" spans="15:28" x14ac:dyDescent="0.7">
      <c r="O668" s="32" t="str">
        <f t="shared" si="132"/>
        <v/>
      </c>
      <c r="P668" s="21"/>
      <c r="Q668" s="21"/>
      <c r="R668" s="33"/>
      <c r="S668" s="36">
        <f t="shared" si="141"/>
        <v>0</v>
      </c>
      <c r="T668" s="34">
        <f t="shared" si="139"/>
        <v>0</v>
      </c>
      <c r="U668" s="32">
        <f t="shared" si="140"/>
        <v>0</v>
      </c>
      <c r="V668" s="43"/>
      <c r="W668" s="32">
        <f t="shared" si="133"/>
        <v>0</v>
      </c>
      <c r="X668" s="34">
        <f t="shared" si="134"/>
        <v>0</v>
      </c>
      <c r="Y668" s="30">
        <f t="shared" si="135"/>
        <v>0</v>
      </c>
      <c r="Z668" s="34">
        <f t="shared" si="136"/>
        <v>0</v>
      </c>
      <c r="AA668" s="41">
        <f t="shared" si="137"/>
        <v>0</v>
      </c>
      <c r="AB668" s="31">
        <f t="shared" si="138"/>
        <v>0</v>
      </c>
    </row>
    <row r="669" spans="15:28" x14ac:dyDescent="0.7">
      <c r="O669" s="32" t="str">
        <f t="shared" si="132"/>
        <v/>
      </c>
      <c r="P669" s="21"/>
      <c r="Q669" s="21"/>
      <c r="R669" s="33"/>
      <c r="S669" s="36">
        <f t="shared" si="141"/>
        <v>0</v>
      </c>
      <c r="T669" s="34">
        <f t="shared" si="139"/>
        <v>0</v>
      </c>
      <c r="U669" s="32">
        <f t="shared" si="140"/>
        <v>0</v>
      </c>
      <c r="V669" s="43"/>
      <c r="W669" s="32">
        <f t="shared" si="133"/>
        <v>0</v>
      </c>
      <c r="X669" s="34">
        <f t="shared" si="134"/>
        <v>0</v>
      </c>
      <c r="Y669" s="30">
        <f t="shared" si="135"/>
        <v>0</v>
      </c>
      <c r="Z669" s="34">
        <f t="shared" si="136"/>
        <v>0</v>
      </c>
      <c r="AA669" s="41">
        <f t="shared" si="137"/>
        <v>0</v>
      </c>
      <c r="AB669" s="31">
        <f t="shared" si="138"/>
        <v>0</v>
      </c>
    </row>
    <row r="670" spans="15:28" x14ac:dyDescent="0.7">
      <c r="O670" s="32" t="str">
        <f t="shared" si="132"/>
        <v/>
      </c>
      <c r="P670" s="21"/>
      <c r="Q670" s="21"/>
      <c r="R670" s="33"/>
      <c r="S670" s="36">
        <f t="shared" si="141"/>
        <v>0</v>
      </c>
      <c r="T670" s="34">
        <f t="shared" si="139"/>
        <v>0</v>
      </c>
      <c r="U670" s="32">
        <f t="shared" si="140"/>
        <v>0</v>
      </c>
      <c r="V670" s="43"/>
      <c r="W670" s="32">
        <f t="shared" si="133"/>
        <v>0</v>
      </c>
      <c r="X670" s="34">
        <f t="shared" si="134"/>
        <v>0</v>
      </c>
      <c r="Y670" s="30">
        <f t="shared" si="135"/>
        <v>0</v>
      </c>
      <c r="Z670" s="34">
        <f t="shared" si="136"/>
        <v>0</v>
      </c>
      <c r="AA670" s="41">
        <f t="shared" si="137"/>
        <v>0</v>
      </c>
      <c r="AB670" s="31">
        <f t="shared" si="138"/>
        <v>0</v>
      </c>
    </row>
    <row r="671" spans="15:28" x14ac:dyDescent="0.7">
      <c r="O671" s="32" t="str">
        <f t="shared" si="132"/>
        <v/>
      </c>
      <c r="P671" s="21"/>
      <c r="Q671" s="21"/>
      <c r="R671" s="33"/>
      <c r="S671" s="36">
        <f t="shared" si="141"/>
        <v>0</v>
      </c>
      <c r="T671" s="34">
        <f t="shared" si="139"/>
        <v>0</v>
      </c>
      <c r="U671" s="32">
        <f t="shared" si="140"/>
        <v>0</v>
      </c>
      <c r="V671" s="43"/>
      <c r="W671" s="32">
        <f t="shared" si="133"/>
        <v>0</v>
      </c>
      <c r="X671" s="34">
        <f t="shared" si="134"/>
        <v>0</v>
      </c>
      <c r="Y671" s="30">
        <f t="shared" si="135"/>
        <v>0</v>
      </c>
      <c r="Z671" s="34">
        <f t="shared" si="136"/>
        <v>0</v>
      </c>
      <c r="AA671" s="41">
        <f t="shared" si="137"/>
        <v>0</v>
      </c>
      <c r="AB671" s="31">
        <f t="shared" si="138"/>
        <v>0</v>
      </c>
    </row>
    <row r="672" spans="15:28" x14ac:dyDescent="0.7">
      <c r="O672" s="32" t="str">
        <f t="shared" si="132"/>
        <v/>
      </c>
      <c r="P672" s="21"/>
      <c r="Q672" s="21"/>
      <c r="R672" s="33"/>
      <c r="S672" s="36">
        <f t="shared" si="141"/>
        <v>0</v>
      </c>
      <c r="T672" s="34">
        <f t="shared" si="139"/>
        <v>0</v>
      </c>
      <c r="U672" s="32">
        <f t="shared" si="140"/>
        <v>0</v>
      </c>
      <c r="V672" s="43"/>
      <c r="W672" s="32">
        <f t="shared" si="133"/>
        <v>0</v>
      </c>
      <c r="X672" s="34">
        <f t="shared" si="134"/>
        <v>0</v>
      </c>
      <c r="Y672" s="30">
        <f t="shared" si="135"/>
        <v>0</v>
      </c>
      <c r="Z672" s="34">
        <f t="shared" si="136"/>
        <v>0</v>
      </c>
      <c r="AA672" s="41">
        <f t="shared" si="137"/>
        <v>0</v>
      </c>
      <c r="AB672" s="31">
        <f t="shared" si="138"/>
        <v>0</v>
      </c>
    </row>
    <row r="673" spans="15:28" x14ac:dyDescent="0.7">
      <c r="O673" s="32" t="str">
        <f t="shared" si="132"/>
        <v/>
      </c>
      <c r="P673" s="21"/>
      <c r="Q673" s="21"/>
      <c r="R673" s="33"/>
      <c r="S673" s="36">
        <f t="shared" si="141"/>
        <v>0</v>
      </c>
      <c r="T673" s="34">
        <f t="shared" si="139"/>
        <v>0</v>
      </c>
      <c r="U673" s="32">
        <f t="shared" si="140"/>
        <v>0</v>
      </c>
      <c r="V673" s="43"/>
      <c r="W673" s="32">
        <f t="shared" si="133"/>
        <v>0</v>
      </c>
      <c r="X673" s="34">
        <f t="shared" si="134"/>
        <v>0</v>
      </c>
      <c r="Y673" s="30">
        <f t="shared" si="135"/>
        <v>0</v>
      </c>
      <c r="Z673" s="34">
        <f t="shared" si="136"/>
        <v>0</v>
      </c>
      <c r="AA673" s="41">
        <f t="shared" si="137"/>
        <v>0</v>
      </c>
      <c r="AB673" s="31">
        <f t="shared" si="138"/>
        <v>0</v>
      </c>
    </row>
    <row r="674" spans="15:28" x14ac:dyDescent="0.7">
      <c r="O674" s="32" t="str">
        <f t="shared" si="132"/>
        <v/>
      </c>
      <c r="P674" s="21"/>
      <c r="Q674" s="21"/>
      <c r="R674" s="33"/>
      <c r="S674" s="36">
        <f t="shared" si="141"/>
        <v>0</v>
      </c>
      <c r="T674" s="34">
        <f t="shared" si="139"/>
        <v>0</v>
      </c>
      <c r="U674" s="32">
        <f t="shared" si="140"/>
        <v>0</v>
      </c>
      <c r="V674" s="43"/>
      <c r="W674" s="32">
        <f t="shared" si="133"/>
        <v>0</v>
      </c>
      <c r="X674" s="34">
        <f t="shared" si="134"/>
        <v>0</v>
      </c>
      <c r="Y674" s="30">
        <f t="shared" si="135"/>
        <v>0</v>
      </c>
      <c r="Z674" s="34">
        <f t="shared" si="136"/>
        <v>0</v>
      </c>
      <c r="AA674" s="41">
        <f t="shared" si="137"/>
        <v>0</v>
      </c>
      <c r="AB674" s="31">
        <f t="shared" si="138"/>
        <v>0</v>
      </c>
    </row>
    <row r="675" spans="15:28" x14ac:dyDescent="0.7">
      <c r="O675" s="32" t="str">
        <f t="shared" si="132"/>
        <v/>
      </c>
      <c r="P675" s="21"/>
      <c r="Q675" s="21"/>
      <c r="R675" s="33"/>
      <c r="S675" s="36">
        <f t="shared" si="141"/>
        <v>0</v>
      </c>
      <c r="T675" s="34">
        <f t="shared" si="139"/>
        <v>0</v>
      </c>
      <c r="U675" s="32">
        <f t="shared" si="140"/>
        <v>0</v>
      </c>
      <c r="V675" s="43"/>
      <c r="W675" s="32">
        <f t="shared" si="133"/>
        <v>0</v>
      </c>
      <c r="X675" s="34">
        <f t="shared" si="134"/>
        <v>0</v>
      </c>
      <c r="Y675" s="30">
        <f t="shared" si="135"/>
        <v>0</v>
      </c>
      <c r="Z675" s="34">
        <f t="shared" si="136"/>
        <v>0</v>
      </c>
      <c r="AA675" s="41">
        <f t="shared" si="137"/>
        <v>0</v>
      </c>
      <c r="AB675" s="31">
        <f t="shared" si="138"/>
        <v>0</v>
      </c>
    </row>
    <row r="676" spans="15:28" x14ac:dyDescent="0.7">
      <c r="O676" s="32" t="str">
        <f t="shared" si="132"/>
        <v/>
      </c>
      <c r="P676" s="21"/>
      <c r="Q676" s="21"/>
      <c r="R676" s="33"/>
      <c r="S676" s="36">
        <f t="shared" si="141"/>
        <v>0</v>
      </c>
      <c r="T676" s="34">
        <f t="shared" si="139"/>
        <v>0</v>
      </c>
      <c r="U676" s="32">
        <f t="shared" si="140"/>
        <v>0</v>
      </c>
      <c r="V676" s="43"/>
      <c r="W676" s="32">
        <f t="shared" si="133"/>
        <v>0</v>
      </c>
      <c r="X676" s="34">
        <f t="shared" si="134"/>
        <v>0</v>
      </c>
      <c r="Y676" s="30">
        <f t="shared" si="135"/>
        <v>0</v>
      </c>
      <c r="Z676" s="34">
        <f t="shared" si="136"/>
        <v>0</v>
      </c>
      <c r="AA676" s="41">
        <f t="shared" si="137"/>
        <v>0</v>
      </c>
      <c r="AB676" s="31">
        <f t="shared" si="138"/>
        <v>0</v>
      </c>
    </row>
    <row r="677" spans="15:28" x14ac:dyDescent="0.7">
      <c r="O677" s="32" t="str">
        <f t="shared" si="132"/>
        <v/>
      </c>
      <c r="P677" s="21"/>
      <c r="Q677" s="21"/>
      <c r="R677" s="33"/>
      <c r="S677" s="36">
        <f t="shared" si="141"/>
        <v>0</v>
      </c>
      <c r="T677" s="34">
        <f t="shared" si="139"/>
        <v>0</v>
      </c>
      <c r="U677" s="32">
        <f t="shared" si="140"/>
        <v>0</v>
      </c>
      <c r="V677" s="43"/>
      <c r="W677" s="32">
        <f t="shared" si="133"/>
        <v>0</v>
      </c>
      <c r="X677" s="34">
        <f t="shared" si="134"/>
        <v>0</v>
      </c>
      <c r="Y677" s="30">
        <f t="shared" si="135"/>
        <v>0</v>
      </c>
      <c r="Z677" s="34">
        <f t="shared" si="136"/>
        <v>0</v>
      </c>
      <c r="AA677" s="41">
        <f t="shared" si="137"/>
        <v>0</v>
      </c>
      <c r="AB677" s="31">
        <f t="shared" si="138"/>
        <v>0</v>
      </c>
    </row>
    <row r="678" spans="15:28" x14ac:dyDescent="0.7">
      <c r="O678" s="32" t="str">
        <f t="shared" si="132"/>
        <v/>
      </c>
      <c r="P678" s="21"/>
      <c r="Q678" s="21"/>
      <c r="R678" s="33"/>
      <c r="S678" s="36">
        <f t="shared" si="141"/>
        <v>0</v>
      </c>
      <c r="T678" s="34">
        <f t="shared" si="139"/>
        <v>0</v>
      </c>
      <c r="U678" s="32">
        <f t="shared" si="140"/>
        <v>0</v>
      </c>
      <c r="V678" s="43"/>
      <c r="W678" s="32">
        <f t="shared" si="133"/>
        <v>0</v>
      </c>
      <c r="X678" s="34">
        <f t="shared" si="134"/>
        <v>0</v>
      </c>
      <c r="Y678" s="30">
        <f t="shared" si="135"/>
        <v>0</v>
      </c>
      <c r="Z678" s="34">
        <f t="shared" si="136"/>
        <v>0</v>
      </c>
      <c r="AA678" s="41">
        <f t="shared" si="137"/>
        <v>0</v>
      </c>
      <c r="AB678" s="31">
        <f t="shared" si="138"/>
        <v>0</v>
      </c>
    </row>
    <row r="679" spans="15:28" x14ac:dyDescent="0.7">
      <c r="O679" s="32" t="str">
        <f t="shared" si="132"/>
        <v/>
      </c>
      <c r="P679" s="21"/>
      <c r="Q679" s="21"/>
      <c r="R679" s="33"/>
      <c r="S679" s="36">
        <f t="shared" si="141"/>
        <v>0</v>
      </c>
      <c r="T679" s="34">
        <f t="shared" si="139"/>
        <v>0</v>
      </c>
      <c r="U679" s="32">
        <f t="shared" si="140"/>
        <v>0</v>
      </c>
      <c r="V679" s="43"/>
      <c r="W679" s="32">
        <f t="shared" si="133"/>
        <v>0</v>
      </c>
      <c r="X679" s="34">
        <f t="shared" si="134"/>
        <v>0</v>
      </c>
      <c r="Y679" s="30">
        <f t="shared" si="135"/>
        <v>0</v>
      </c>
      <c r="Z679" s="34">
        <f t="shared" si="136"/>
        <v>0</v>
      </c>
      <c r="AA679" s="41">
        <f t="shared" si="137"/>
        <v>0</v>
      </c>
      <c r="AB679" s="31">
        <f t="shared" si="138"/>
        <v>0</v>
      </c>
    </row>
    <row r="680" spans="15:28" x14ac:dyDescent="0.7">
      <c r="O680" s="32" t="str">
        <f t="shared" si="132"/>
        <v/>
      </c>
      <c r="P680" s="21"/>
      <c r="Q680" s="21"/>
      <c r="R680" s="33"/>
      <c r="S680" s="36">
        <f t="shared" si="141"/>
        <v>0</v>
      </c>
      <c r="T680" s="34">
        <f t="shared" si="139"/>
        <v>0</v>
      </c>
      <c r="U680" s="32">
        <f t="shared" si="140"/>
        <v>0</v>
      </c>
      <c r="V680" s="43"/>
      <c r="W680" s="32">
        <f t="shared" si="133"/>
        <v>0</v>
      </c>
      <c r="X680" s="34">
        <f t="shared" si="134"/>
        <v>0</v>
      </c>
      <c r="Y680" s="30">
        <f t="shared" si="135"/>
        <v>0</v>
      </c>
      <c r="Z680" s="34">
        <f t="shared" si="136"/>
        <v>0</v>
      </c>
      <c r="AA680" s="41">
        <f t="shared" si="137"/>
        <v>0</v>
      </c>
      <c r="AB680" s="31">
        <f t="shared" si="138"/>
        <v>0</v>
      </c>
    </row>
    <row r="681" spans="15:28" x14ac:dyDescent="0.7">
      <c r="O681" s="32" t="str">
        <f t="shared" si="132"/>
        <v/>
      </c>
      <c r="P681" s="21"/>
      <c r="Q681" s="21"/>
      <c r="R681" s="33"/>
      <c r="S681" s="36">
        <f t="shared" si="141"/>
        <v>0</v>
      </c>
      <c r="T681" s="34">
        <f t="shared" si="139"/>
        <v>0</v>
      </c>
      <c r="U681" s="32">
        <f t="shared" si="140"/>
        <v>0</v>
      </c>
      <c r="V681" s="43"/>
      <c r="W681" s="32">
        <f t="shared" si="133"/>
        <v>0</v>
      </c>
      <c r="X681" s="34">
        <f t="shared" si="134"/>
        <v>0</v>
      </c>
      <c r="Y681" s="30">
        <f t="shared" si="135"/>
        <v>0</v>
      </c>
      <c r="Z681" s="34">
        <f t="shared" si="136"/>
        <v>0</v>
      </c>
      <c r="AA681" s="41">
        <f t="shared" si="137"/>
        <v>0</v>
      </c>
      <c r="AB681" s="31">
        <f t="shared" si="138"/>
        <v>0</v>
      </c>
    </row>
    <row r="682" spans="15:28" x14ac:dyDescent="0.7">
      <c r="O682" s="32" t="str">
        <f t="shared" si="132"/>
        <v/>
      </c>
      <c r="P682" s="21"/>
      <c r="Q682" s="21"/>
      <c r="R682" s="33"/>
      <c r="S682" s="36">
        <f t="shared" si="141"/>
        <v>0</v>
      </c>
      <c r="T682" s="34">
        <f t="shared" si="139"/>
        <v>0</v>
      </c>
      <c r="U682" s="32">
        <f t="shared" si="140"/>
        <v>0</v>
      </c>
      <c r="V682" s="43"/>
      <c r="W682" s="32">
        <f t="shared" si="133"/>
        <v>0</v>
      </c>
      <c r="X682" s="34">
        <f t="shared" si="134"/>
        <v>0</v>
      </c>
      <c r="Y682" s="30">
        <f t="shared" si="135"/>
        <v>0</v>
      </c>
      <c r="Z682" s="34">
        <f t="shared" si="136"/>
        <v>0</v>
      </c>
      <c r="AA682" s="41">
        <f t="shared" si="137"/>
        <v>0</v>
      </c>
      <c r="AB682" s="31">
        <f t="shared" si="138"/>
        <v>0</v>
      </c>
    </row>
    <row r="683" spans="15:28" x14ac:dyDescent="0.7">
      <c r="O683" s="32" t="str">
        <f t="shared" si="132"/>
        <v/>
      </c>
      <c r="P683" s="21"/>
      <c r="Q683" s="21"/>
      <c r="R683" s="33"/>
      <c r="S683" s="36">
        <f t="shared" si="141"/>
        <v>0</v>
      </c>
      <c r="T683" s="34">
        <f t="shared" si="139"/>
        <v>0</v>
      </c>
      <c r="U683" s="32">
        <f t="shared" si="140"/>
        <v>0</v>
      </c>
      <c r="V683" s="43"/>
      <c r="W683" s="32">
        <f t="shared" si="133"/>
        <v>0</v>
      </c>
      <c r="X683" s="34">
        <f t="shared" si="134"/>
        <v>0</v>
      </c>
      <c r="Y683" s="30">
        <f t="shared" si="135"/>
        <v>0</v>
      </c>
      <c r="Z683" s="34">
        <f t="shared" si="136"/>
        <v>0</v>
      </c>
      <c r="AA683" s="41">
        <f t="shared" si="137"/>
        <v>0</v>
      </c>
      <c r="AB683" s="31">
        <f t="shared" si="138"/>
        <v>0</v>
      </c>
    </row>
    <row r="684" spans="15:28" x14ac:dyDescent="0.7">
      <c r="O684" s="32" t="str">
        <f t="shared" si="132"/>
        <v/>
      </c>
      <c r="P684" s="21"/>
      <c r="Q684" s="21"/>
      <c r="R684" s="33"/>
      <c r="S684" s="36">
        <f t="shared" si="141"/>
        <v>0</v>
      </c>
      <c r="T684" s="34">
        <f t="shared" si="139"/>
        <v>0</v>
      </c>
      <c r="U684" s="32">
        <f t="shared" si="140"/>
        <v>0</v>
      </c>
      <c r="V684" s="43"/>
      <c r="W684" s="32">
        <f t="shared" si="133"/>
        <v>0</v>
      </c>
      <c r="X684" s="34">
        <f t="shared" si="134"/>
        <v>0</v>
      </c>
      <c r="Y684" s="30">
        <f t="shared" si="135"/>
        <v>0</v>
      </c>
      <c r="Z684" s="34">
        <f t="shared" si="136"/>
        <v>0</v>
      </c>
      <c r="AA684" s="41">
        <f t="shared" si="137"/>
        <v>0</v>
      </c>
      <c r="AB684" s="31">
        <f t="shared" si="138"/>
        <v>0</v>
      </c>
    </row>
    <row r="685" spans="15:28" x14ac:dyDescent="0.7">
      <c r="O685" s="32" t="str">
        <f t="shared" si="132"/>
        <v/>
      </c>
      <c r="P685" s="21"/>
      <c r="Q685" s="21"/>
      <c r="R685" s="33"/>
      <c r="S685" s="36">
        <f t="shared" si="141"/>
        <v>0</v>
      </c>
      <c r="T685" s="34">
        <f t="shared" si="139"/>
        <v>0</v>
      </c>
      <c r="U685" s="32">
        <f t="shared" si="140"/>
        <v>0</v>
      </c>
      <c r="V685" s="43"/>
      <c r="W685" s="32">
        <f t="shared" si="133"/>
        <v>0</v>
      </c>
      <c r="X685" s="34">
        <f t="shared" si="134"/>
        <v>0</v>
      </c>
      <c r="Y685" s="30">
        <f t="shared" si="135"/>
        <v>0</v>
      </c>
      <c r="Z685" s="34">
        <f t="shared" si="136"/>
        <v>0</v>
      </c>
      <c r="AA685" s="41">
        <f t="shared" si="137"/>
        <v>0</v>
      </c>
      <c r="AB685" s="31">
        <f t="shared" si="138"/>
        <v>0</v>
      </c>
    </row>
    <row r="686" spans="15:28" x14ac:dyDescent="0.7">
      <c r="O686" s="32" t="str">
        <f t="shared" si="132"/>
        <v/>
      </c>
      <c r="P686" s="21"/>
      <c r="Q686" s="21"/>
      <c r="R686" s="33"/>
      <c r="S686" s="36">
        <f t="shared" si="141"/>
        <v>0</v>
      </c>
      <c r="T686" s="34">
        <f t="shared" si="139"/>
        <v>0</v>
      </c>
      <c r="U686" s="32">
        <f t="shared" si="140"/>
        <v>0</v>
      </c>
      <c r="V686" s="43"/>
      <c r="W686" s="32">
        <f t="shared" si="133"/>
        <v>0</v>
      </c>
      <c r="X686" s="34">
        <f t="shared" si="134"/>
        <v>0</v>
      </c>
      <c r="Y686" s="30">
        <f t="shared" si="135"/>
        <v>0</v>
      </c>
      <c r="Z686" s="34">
        <f t="shared" si="136"/>
        <v>0</v>
      </c>
      <c r="AA686" s="41">
        <f t="shared" si="137"/>
        <v>0</v>
      </c>
      <c r="AB686" s="31">
        <f t="shared" si="138"/>
        <v>0</v>
      </c>
    </row>
    <row r="687" spans="15:28" x14ac:dyDescent="0.7">
      <c r="O687" s="32" t="str">
        <f t="shared" si="132"/>
        <v/>
      </c>
      <c r="P687" s="21"/>
      <c r="Q687" s="21"/>
      <c r="R687" s="33"/>
      <c r="S687" s="36">
        <f t="shared" si="141"/>
        <v>0</v>
      </c>
      <c r="T687" s="34">
        <f t="shared" si="139"/>
        <v>0</v>
      </c>
      <c r="U687" s="32">
        <f t="shared" si="140"/>
        <v>0</v>
      </c>
      <c r="V687" s="43"/>
      <c r="W687" s="32">
        <f t="shared" si="133"/>
        <v>0</v>
      </c>
      <c r="X687" s="34">
        <f t="shared" si="134"/>
        <v>0</v>
      </c>
      <c r="Y687" s="30">
        <f t="shared" si="135"/>
        <v>0</v>
      </c>
      <c r="Z687" s="34">
        <f t="shared" si="136"/>
        <v>0</v>
      </c>
      <c r="AA687" s="41">
        <f t="shared" si="137"/>
        <v>0</v>
      </c>
      <c r="AB687" s="31">
        <f t="shared" si="138"/>
        <v>0</v>
      </c>
    </row>
    <row r="688" spans="15:28" x14ac:dyDescent="0.7">
      <c r="O688" s="32" t="str">
        <f t="shared" si="132"/>
        <v/>
      </c>
      <c r="P688" s="21"/>
      <c r="Q688" s="21"/>
      <c r="R688" s="33"/>
      <c r="S688" s="36">
        <f t="shared" si="141"/>
        <v>0</v>
      </c>
      <c r="T688" s="34">
        <f t="shared" si="139"/>
        <v>0</v>
      </c>
      <c r="U688" s="32">
        <f t="shared" si="140"/>
        <v>0</v>
      </c>
      <c r="V688" s="43"/>
      <c r="W688" s="32">
        <f t="shared" si="133"/>
        <v>0</v>
      </c>
      <c r="X688" s="34">
        <f t="shared" si="134"/>
        <v>0</v>
      </c>
      <c r="Y688" s="30">
        <f t="shared" si="135"/>
        <v>0</v>
      </c>
      <c r="Z688" s="34">
        <f t="shared" si="136"/>
        <v>0</v>
      </c>
      <c r="AA688" s="41">
        <f t="shared" si="137"/>
        <v>0</v>
      </c>
      <c r="AB688" s="31">
        <f t="shared" si="138"/>
        <v>0</v>
      </c>
    </row>
    <row r="689" spans="15:28" x14ac:dyDescent="0.7">
      <c r="O689" s="32" t="str">
        <f t="shared" si="132"/>
        <v/>
      </c>
      <c r="P689" s="21"/>
      <c r="Q689" s="21"/>
      <c r="R689" s="33"/>
      <c r="S689" s="36">
        <f t="shared" si="141"/>
        <v>0</v>
      </c>
      <c r="T689" s="34">
        <f t="shared" si="139"/>
        <v>0</v>
      </c>
      <c r="U689" s="32">
        <f t="shared" si="140"/>
        <v>0</v>
      </c>
      <c r="V689" s="43"/>
      <c r="W689" s="32">
        <f t="shared" si="133"/>
        <v>0</v>
      </c>
      <c r="X689" s="34">
        <f t="shared" si="134"/>
        <v>0</v>
      </c>
      <c r="Y689" s="30">
        <f t="shared" si="135"/>
        <v>0</v>
      </c>
      <c r="Z689" s="34">
        <f t="shared" si="136"/>
        <v>0</v>
      </c>
      <c r="AA689" s="41">
        <f t="shared" si="137"/>
        <v>0</v>
      </c>
      <c r="AB689" s="31">
        <f t="shared" si="138"/>
        <v>0</v>
      </c>
    </row>
    <row r="690" spans="15:28" x14ac:dyDescent="0.7">
      <c r="O690" s="32" t="str">
        <f t="shared" si="132"/>
        <v/>
      </c>
      <c r="P690" s="21"/>
      <c r="Q690" s="21"/>
      <c r="R690" s="33"/>
      <c r="S690" s="36">
        <f t="shared" si="141"/>
        <v>0</v>
      </c>
      <c r="T690" s="34">
        <f t="shared" si="139"/>
        <v>0</v>
      </c>
      <c r="U690" s="32">
        <f t="shared" si="140"/>
        <v>0</v>
      </c>
      <c r="V690" s="43"/>
      <c r="W690" s="32">
        <f t="shared" si="133"/>
        <v>0</v>
      </c>
      <c r="X690" s="34">
        <f t="shared" si="134"/>
        <v>0</v>
      </c>
      <c r="Y690" s="30">
        <f t="shared" si="135"/>
        <v>0</v>
      </c>
      <c r="Z690" s="34">
        <f t="shared" si="136"/>
        <v>0</v>
      </c>
      <c r="AA690" s="41">
        <f t="shared" si="137"/>
        <v>0</v>
      </c>
      <c r="AB690" s="31">
        <f t="shared" si="138"/>
        <v>0</v>
      </c>
    </row>
    <row r="691" spans="15:28" x14ac:dyDescent="0.7">
      <c r="O691" s="32" t="str">
        <f t="shared" si="132"/>
        <v/>
      </c>
      <c r="P691" s="21"/>
      <c r="Q691" s="21"/>
      <c r="R691" s="33"/>
      <c r="S691" s="36">
        <f t="shared" si="141"/>
        <v>0</v>
      </c>
      <c r="T691" s="34">
        <f t="shared" si="139"/>
        <v>0</v>
      </c>
      <c r="U691" s="32">
        <f t="shared" si="140"/>
        <v>0</v>
      </c>
      <c r="V691" s="43"/>
      <c r="W691" s="32">
        <f t="shared" si="133"/>
        <v>0</v>
      </c>
      <c r="X691" s="34">
        <f t="shared" si="134"/>
        <v>0</v>
      </c>
      <c r="Y691" s="30">
        <f t="shared" si="135"/>
        <v>0</v>
      </c>
      <c r="Z691" s="34">
        <f t="shared" si="136"/>
        <v>0</v>
      </c>
      <c r="AA691" s="41">
        <f t="shared" si="137"/>
        <v>0</v>
      </c>
      <c r="AB691" s="31">
        <f t="shared" si="138"/>
        <v>0</v>
      </c>
    </row>
    <row r="692" spans="15:28" x14ac:dyDescent="0.7">
      <c r="O692" s="32" t="str">
        <f t="shared" si="132"/>
        <v/>
      </c>
      <c r="P692" s="21"/>
      <c r="Q692" s="21"/>
      <c r="R692" s="33"/>
      <c r="S692" s="36">
        <f t="shared" si="141"/>
        <v>0</v>
      </c>
      <c r="T692" s="34">
        <f t="shared" si="139"/>
        <v>0</v>
      </c>
      <c r="U692" s="32">
        <f t="shared" si="140"/>
        <v>0</v>
      </c>
      <c r="V692" s="43"/>
      <c r="W692" s="32">
        <f t="shared" si="133"/>
        <v>0</v>
      </c>
      <c r="X692" s="34">
        <f t="shared" si="134"/>
        <v>0</v>
      </c>
      <c r="Y692" s="30">
        <f t="shared" si="135"/>
        <v>0</v>
      </c>
      <c r="Z692" s="34">
        <f t="shared" si="136"/>
        <v>0</v>
      </c>
      <c r="AA692" s="41">
        <f t="shared" si="137"/>
        <v>0</v>
      </c>
      <c r="AB692" s="31">
        <f t="shared" si="138"/>
        <v>0</v>
      </c>
    </row>
    <row r="693" spans="15:28" x14ac:dyDescent="0.7">
      <c r="O693" s="32" t="str">
        <f t="shared" si="132"/>
        <v/>
      </c>
      <c r="P693" s="21"/>
      <c r="Q693" s="21"/>
      <c r="R693" s="33"/>
      <c r="S693" s="36">
        <f t="shared" si="141"/>
        <v>0</v>
      </c>
      <c r="T693" s="34">
        <f t="shared" si="139"/>
        <v>0</v>
      </c>
      <c r="U693" s="32">
        <f t="shared" si="140"/>
        <v>0</v>
      </c>
      <c r="V693" s="43"/>
      <c r="W693" s="32">
        <f t="shared" si="133"/>
        <v>0</v>
      </c>
      <c r="X693" s="34">
        <f t="shared" si="134"/>
        <v>0</v>
      </c>
      <c r="Y693" s="30">
        <f t="shared" si="135"/>
        <v>0</v>
      </c>
      <c r="Z693" s="34">
        <f t="shared" si="136"/>
        <v>0</v>
      </c>
      <c r="AA693" s="41">
        <f t="shared" si="137"/>
        <v>0</v>
      </c>
      <c r="AB693" s="31">
        <f t="shared" si="138"/>
        <v>0</v>
      </c>
    </row>
    <row r="694" spans="15:28" x14ac:dyDescent="0.7">
      <c r="O694" s="32" t="str">
        <f t="shared" si="132"/>
        <v/>
      </c>
      <c r="P694" s="21"/>
      <c r="Q694" s="21"/>
      <c r="R694" s="33"/>
      <c r="S694" s="36">
        <f t="shared" si="141"/>
        <v>0</v>
      </c>
      <c r="T694" s="34">
        <f t="shared" si="139"/>
        <v>0</v>
      </c>
      <c r="U694" s="32">
        <f t="shared" si="140"/>
        <v>0</v>
      </c>
      <c r="V694" s="43"/>
      <c r="W694" s="32">
        <f t="shared" si="133"/>
        <v>0</v>
      </c>
      <c r="X694" s="34">
        <f t="shared" si="134"/>
        <v>0</v>
      </c>
      <c r="Y694" s="30">
        <f t="shared" si="135"/>
        <v>0</v>
      </c>
      <c r="Z694" s="34">
        <f t="shared" si="136"/>
        <v>0</v>
      </c>
      <c r="AA694" s="41">
        <f t="shared" si="137"/>
        <v>0</v>
      </c>
      <c r="AB694" s="31">
        <f t="shared" si="138"/>
        <v>0</v>
      </c>
    </row>
    <row r="695" spans="15:28" x14ac:dyDescent="0.7">
      <c r="O695" s="32" t="str">
        <f t="shared" si="132"/>
        <v/>
      </c>
      <c r="P695" s="21"/>
      <c r="Q695" s="21"/>
      <c r="R695" s="33"/>
      <c r="S695" s="36">
        <f t="shared" si="141"/>
        <v>0</v>
      </c>
      <c r="T695" s="34">
        <f t="shared" si="139"/>
        <v>0</v>
      </c>
      <c r="U695" s="32">
        <f t="shared" si="140"/>
        <v>0</v>
      </c>
      <c r="V695" s="43"/>
      <c r="W695" s="32">
        <f t="shared" si="133"/>
        <v>0</v>
      </c>
      <c r="X695" s="34">
        <f t="shared" si="134"/>
        <v>0</v>
      </c>
      <c r="Y695" s="30">
        <f t="shared" si="135"/>
        <v>0</v>
      </c>
      <c r="Z695" s="34">
        <f t="shared" si="136"/>
        <v>0</v>
      </c>
      <c r="AA695" s="41">
        <f t="shared" si="137"/>
        <v>0</v>
      </c>
      <c r="AB695" s="31">
        <f t="shared" si="138"/>
        <v>0</v>
      </c>
    </row>
    <row r="696" spans="15:28" x14ac:dyDescent="0.7">
      <c r="O696" s="32" t="str">
        <f t="shared" si="132"/>
        <v/>
      </c>
      <c r="P696" s="21"/>
      <c r="Q696" s="21"/>
      <c r="R696" s="33"/>
      <c r="S696" s="36">
        <f t="shared" si="141"/>
        <v>0</v>
      </c>
      <c r="T696" s="34">
        <f t="shared" si="139"/>
        <v>0</v>
      </c>
      <c r="U696" s="32">
        <f t="shared" si="140"/>
        <v>0</v>
      </c>
      <c r="V696" s="43"/>
      <c r="W696" s="32">
        <f t="shared" si="133"/>
        <v>0</v>
      </c>
      <c r="X696" s="34">
        <f t="shared" si="134"/>
        <v>0</v>
      </c>
      <c r="Y696" s="30">
        <f t="shared" si="135"/>
        <v>0</v>
      </c>
      <c r="Z696" s="34">
        <f t="shared" si="136"/>
        <v>0</v>
      </c>
      <c r="AA696" s="41">
        <f t="shared" si="137"/>
        <v>0</v>
      </c>
      <c r="AB696" s="31">
        <f t="shared" si="138"/>
        <v>0</v>
      </c>
    </row>
    <row r="697" spans="15:28" x14ac:dyDescent="0.7">
      <c r="O697" s="32" t="str">
        <f t="shared" si="132"/>
        <v/>
      </c>
      <c r="P697" s="21"/>
      <c r="Q697" s="21"/>
      <c r="R697" s="33"/>
      <c r="S697" s="36">
        <f t="shared" si="141"/>
        <v>0</v>
      </c>
      <c r="T697" s="34">
        <f t="shared" si="139"/>
        <v>0</v>
      </c>
      <c r="U697" s="32">
        <f t="shared" si="140"/>
        <v>0</v>
      </c>
      <c r="V697" s="43"/>
      <c r="W697" s="32">
        <f t="shared" si="133"/>
        <v>0</v>
      </c>
      <c r="X697" s="34">
        <f t="shared" si="134"/>
        <v>0</v>
      </c>
      <c r="Y697" s="30">
        <f t="shared" si="135"/>
        <v>0</v>
      </c>
      <c r="Z697" s="34">
        <f t="shared" si="136"/>
        <v>0</v>
      </c>
      <c r="AA697" s="41">
        <f t="shared" si="137"/>
        <v>0</v>
      </c>
      <c r="AB697" s="31">
        <f t="shared" si="138"/>
        <v>0</v>
      </c>
    </row>
    <row r="698" spans="15:28" x14ac:dyDescent="0.7">
      <c r="O698" s="32" t="str">
        <f t="shared" si="132"/>
        <v/>
      </c>
      <c r="P698" s="21"/>
      <c r="Q698" s="21"/>
      <c r="R698" s="33"/>
      <c r="S698" s="36">
        <f t="shared" si="141"/>
        <v>0</v>
      </c>
      <c r="T698" s="34">
        <f t="shared" si="139"/>
        <v>0</v>
      </c>
      <c r="U698" s="32">
        <f t="shared" si="140"/>
        <v>0</v>
      </c>
      <c r="V698" s="43"/>
      <c r="W698" s="32">
        <f t="shared" si="133"/>
        <v>0</v>
      </c>
      <c r="X698" s="34">
        <f t="shared" si="134"/>
        <v>0</v>
      </c>
      <c r="Y698" s="30">
        <f t="shared" si="135"/>
        <v>0</v>
      </c>
      <c r="Z698" s="34">
        <f t="shared" si="136"/>
        <v>0</v>
      </c>
      <c r="AA698" s="41">
        <f t="shared" si="137"/>
        <v>0</v>
      </c>
      <c r="AB698" s="31">
        <f t="shared" si="138"/>
        <v>0</v>
      </c>
    </row>
    <row r="699" spans="15:28" x14ac:dyDescent="0.7">
      <c r="O699" s="32" t="str">
        <f t="shared" si="132"/>
        <v/>
      </c>
      <c r="P699" s="21"/>
      <c r="Q699" s="21"/>
      <c r="R699" s="33"/>
      <c r="S699" s="36">
        <f t="shared" si="141"/>
        <v>0</v>
      </c>
      <c r="T699" s="34">
        <f t="shared" si="139"/>
        <v>0</v>
      </c>
      <c r="U699" s="32">
        <f t="shared" si="140"/>
        <v>0</v>
      </c>
      <c r="V699" s="43"/>
      <c r="W699" s="32">
        <f t="shared" si="133"/>
        <v>0</v>
      </c>
      <c r="X699" s="34">
        <f t="shared" si="134"/>
        <v>0</v>
      </c>
      <c r="Y699" s="30">
        <f t="shared" si="135"/>
        <v>0</v>
      </c>
      <c r="Z699" s="34">
        <f t="shared" si="136"/>
        <v>0</v>
      </c>
      <c r="AA699" s="41">
        <f t="shared" si="137"/>
        <v>0</v>
      </c>
      <c r="AB699" s="31">
        <f t="shared" si="138"/>
        <v>0</v>
      </c>
    </row>
    <row r="700" spans="15:28" x14ac:dyDescent="0.7">
      <c r="O700" s="32" t="str">
        <f t="shared" si="132"/>
        <v/>
      </c>
      <c r="P700" s="21"/>
      <c r="Q700" s="21"/>
      <c r="R700" s="33"/>
      <c r="S700" s="36">
        <f t="shared" si="141"/>
        <v>0</v>
      </c>
      <c r="T700" s="34">
        <f t="shared" si="139"/>
        <v>0</v>
      </c>
      <c r="U700" s="32">
        <f t="shared" si="140"/>
        <v>0</v>
      </c>
      <c r="V700" s="43"/>
      <c r="W700" s="32">
        <f t="shared" si="133"/>
        <v>0</v>
      </c>
      <c r="X700" s="34">
        <f t="shared" si="134"/>
        <v>0</v>
      </c>
      <c r="Y700" s="30">
        <f t="shared" si="135"/>
        <v>0</v>
      </c>
      <c r="Z700" s="34">
        <f t="shared" si="136"/>
        <v>0</v>
      </c>
      <c r="AA700" s="41">
        <f t="shared" si="137"/>
        <v>0</v>
      </c>
      <c r="AB700" s="31">
        <f t="shared" si="138"/>
        <v>0</v>
      </c>
    </row>
    <row r="701" spans="15:28" x14ac:dyDescent="0.7">
      <c r="O701" s="32" t="str">
        <f t="shared" si="132"/>
        <v/>
      </c>
      <c r="P701" s="21"/>
      <c r="Q701" s="21"/>
      <c r="R701" s="33"/>
      <c r="S701" s="36">
        <f t="shared" si="141"/>
        <v>0</v>
      </c>
      <c r="T701" s="34">
        <f t="shared" si="139"/>
        <v>0</v>
      </c>
      <c r="U701" s="32">
        <f t="shared" si="140"/>
        <v>0</v>
      </c>
      <c r="V701" s="43"/>
      <c r="W701" s="32">
        <f t="shared" si="133"/>
        <v>0</v>
      </c>
      <c r="X701" s="34">
        <f t="shared" si="134"/>
        <v>0</v>
      </c>
      <c r="Y701" s="30">
        <f t="shared" si="135"/>
        <v>0</v>
      </c>
      <c r="Z701" s="34">
        <f t="shared" si="136"/>
        <v>0</v>
      </c>
      <c r="AA701" s="41">
        <f t="shared" si="137"/>
        <v>0</v>
      </c>
      <c r="AB701" s="31">
        <f t="shared" si="138"/>
        <v>0</v>
      </c>
    </row>
    <row r="702" spans="15:28" x14ac:dyDescent="0.7">
      <c r="O702" s="32" t="str">
        <f t="shared" si="132"/>
        <v/>
      </c>
      <c r="P702" s="21"/>
      <c r="Q702" s="21"/>
      <c r="R702" s="33"/>
      <c r="S702" s="36">
        <f t="shared" si="141"/>
        <v>0</v>
      </c>
      <c r="T702" s="34">
        <f t="shared" si="139"/>
        <v>0</v>
      </c>
      <c r="U702" s="32">
        <f t="shared" si="140"/>
        <v>0</v>
      </c>
      <c r="V702" s="43"/>
      <c r="W702" s="32">
        <f t="shared" si="133"/>
        <v>0</v>
      </c>
      <c r="X702" s="34">
        <f t="shared" si="134"/>
        <v>0</v>
      </c>
      <c r="Y702" s="30">
        <f t="shared" si="135"/>
        <v>0</v>
      </c>
      <c r="Z702" s="34">
        <f t="shared" si="136"/>
        <v>0</v>
      </c>
      <c r="AA702" s="41">
        <f t="shared" si="137"/>
        <v>0</v>
      </c>
      <c r="AB702" s="31">
        <f t="shared" si="138"/>
        <v>0</v>
      </c>
    </row>
    <row r="703" spans="15:28" x14ac:dyDescent="0.7">
      <c r="O703" s="32" t="str">
        <f t="shared" si="132"/>
        <v/>
      </c>
      <c r="P703" s="21"/>
      <c r="Q703" s="21"/>
      <c r="R703" s="33"/>
      <c r="S703" s="36">
        <f t="shared" si="141"/>
        <v>0</v>
      </c>
      <c r="T703" s="34">
        <f t="shared" si="139"/>
        <v>0</v>
      </c>
      <c r="U703" s="32">
        <f t="shared" si="140"/>
        <v>0</v>
      </c>
      <c r="V703" s="43"/>
      <c r="W703" s="32">
        <f t="shared" si="133"/>
        <v>0</v>
      </c>
      <c r="X703" s="34">
        <f t="shared" si="134"/>
        <v>0</v>
      </c>
      <c r="Y703" s="30">
        <f t="shared" si="135"/>
        <v>0</v>
      </c>
      <c r="Z703" s="34">
        <f t="shared" si="136"/>
        <v>0</v>
      </c>
      <c r="AA703" s="41">
        <f t="shared" si="137"/>
        <v>0</v>
      </c>
      <c r="AB703" s="31">
        <f t="shared" si="138"/>
        <v>0</v>
      </c>
    </row>
    <row r="704" spans="15:28" x14ac:dyDescent="0.7">
      <c r="O704" s="32" t="str">
        <f t="shared" si="132"/>
        <v/>
      </c>
      <c r="P704" s="21"/>
      <c r="Q704" s="21"/>
      <c r="R704" s="33"/>
      <c r="S704" s="36">
        <f t="shared" si="141"/>
        <v>0</v>
      </c>
      <c r="T704" s="34">
        <f t="shared" si="139"/>
        <v>0</v>
      </c>
      <c r="U704" s="32">
        <f t="shared" si="140"/>
        <v>0</v>
      </c>
      <c r="V704" s="43"/>
      <c r="W704" s="32">
        <f t="shared" si="133"/>
        <v>0</v>
      </c>
      <c r="X704" s="34">
        <f t="shared" si="134"/>
        <v>0</v>
      </c>
      <c r="Y704" s="30">
        <f t="shared" si="135"/>
        <v>0</v>
      </c>
      <c r="Z704" s="34">
        <f t="shared" si="136"/>
        <v>0</v>
      </c>
      <c r="AA704" s="41">
        <f t="shared" si="137"/>
        <v>0</v>
      </c>
      <c r="AB704" s="31">
        <f t="shared" si="138"/>
        <v>0</v>
      </c>
    </row>
    <row r="705" spans="15:28" x14ac:dyDescent="0.7">
      <c r="O705" s="32" t="str">
        <f t="shared" si="132"/>
        <v/>
      </c>
      <c r="P705" s="21"/>
      <c r="Q705" s="21"/>
      <c r="R705" s="33"/>
      <c r="S705" s="36">
        <f t="shared" si="141"/>
        <v>0</v>
      </c>
      <c r="T705" s="34">
        <f t="shared" si="139"/>
        <v>0</v>
      </c>
      <c r="U705" s="32">
        <f t="shared" si="140"/>
        <v>0</v>
      </c>
      <c r="V705" s="43"/>
      <c r="W705" s="32">
        <f t="shared" si="133"/>
        <v>0</v>
      </c>
      <c r="X705" s="34">
        <f t="shared" si="134"/>
        <v>0</v>
      </c>
      <c r="Y705" s="30">
        <f t="shared" si="135"/>
        <v>0</v>
      </c>
      <c r="Z705" s="34">
        <f t="shared" si="136"/>
        <v>0</v>
      </c>
      <c r="AA705" s="41">
        <f t="shared" si="137"/>
        <v>0</v>
      </c>
      <c r="AB705" s="31">
        <f t="shared" si="138"/>
        <v>0</v>
      </c>
    </row>
    <row r="706" spans="15:28" x14ac:dyDescent="0.7">
      <c r="O706" s="32" t="str">
        <f t="shared" si="132"/>
        <v/>
      </c>
      <c r="P706" s="21"/>
      <c r="Q706" s="21"/>
      <c r="R706" s="33"/>
      <c r="S706" s="36">
        <f t="shared" si="141"/>
        <v>0</v>
      </c>
      <c r="T706" s="34">
        <f t="shared" si="139"/>
        <v>0</v>
      </c>
      <c r="U706" s="32">
        <f t="shared" si="140"/>
        <v>0</v>
      </c>
      <c r="V706" s="43"/>
      <c r="W706" s="32">
        <f t="shared" si="133"/>
        <v>0</v>
      </c>
      <c r="X706" s="34">
        <f t="shared" si="134"/>
        <v>0</v>
      </c>
      <c r="Y706" s="30">
        <f t="shared" si="135"/>
        <v>0</v>
      </c>
      <c r="Z706" s="34">
        <f t="shared" si="136"/>
        <v>0</v>
      </c>
      <c r="AA706" s="41">
        <f t="shared" si="137"/>
        <v>0</v>
      </c>
      <c r="AB706" s="31">
        <f t="shared" si="138"/>
        <v>0</v>
      </c>
    </row>
    <row r="707" spans="15:28" x14ac:dyDescent="0.7">
      <c r="O707" s="32" t="str">
        <f t="shared" si="132"/>
        <v/>
      </c>
      <c r="P707" s="21"/>
      <c r="Q707" s="21"/>
      <c r="R707" s="33"/>
      <c r="S707" s="36">
        <f t="shared" si="141"/>
        <v>0</v>
      </c>
      <c r="T707" s="34">
        <f t="shared" si="139"/>
        <v>0</v>
      </c>
      <c r="U707" s="32">
        <f t="shared" si="140"/>
        <v>0</v>
      </c>
      <c r="V707" s="43"/>
      <c r="W707" s="32">
        <f t="shared" si="133"/>
        <v>0</v>
      </c>
      <c r="X707" s="34">
        <f t="shared" si="134"/>
        <v>0</v>
      </c>
      <c r="Y707" s="30">
        <f t="shared" si="135"/>
        <v>0</v>
      </c>
      <c r="Z707" s="34">
        <f t="shared" si="136"/>
        <v>0</v>
      </c>
      <c r="AA707" s="41">
        <f t="shared" si="137"/>
        <v>0</v>
      </c>
      <c r="AB707" s="31">
        <f t="shared" si="138"/>
        <v>0</v>
      </c>
    </row>
    <row r="708" spans="15:28" x14ac:dyDescent="0.7">
      <c r="O708" s="32" t="str">
        <f t="shared" si="132"/>
        <v/>
      </c>
      <c r="P708" s="21"/>
      <c r="Q708" s="21"/>
      <c r="R708" s="33"/>
      <c r="S708" s="36">
        <f t="shared" si="141"/>
        <v>0</v>
      </c>
      <c r="T708" s="34">
        <f t="shared" si="139"/>
        <v>0</v>
      </c>
      <c r="U708" s="32">
        <f t="shared" si="140"/>
        <v>0</v>
      </c>
      <c r="V708" s="43"/>
      <c r="W708" s="32">
        <f t="shared" si="133"/>
        <v>0</v>
      </c>
      <c r="X708" s="34">
        <f t="shared" si="134"/>
        <v>0</v>
      </c>
      <c r="Y708" s="30">
        <f t="shared" si="135"/>
        <v>0</v>
      </c>
      <c r="Z708" s="34">
        <f t="shared" si="136"/>
        <v>0</v>
      </c>
      <c r="AA708" s="41">
        <f t="shared" si="137"/>
        <v>0</v>
      </c>
      <c r="AB708" s="31">
        <f t="shared" si="138"/>
        <v>0</v>
      </c>
    </row>
    <row r="709" spans="15:28" x14ac:dyDescent="0.7">
      <c r="O709" s="32" t="str">
        <f t="shared" si="132"/>
        <v/>
      </c>
      <c r="P709" s="21"/>
      <c r="Q709" s="21"/>
      <c r="R709" s="33"/>
      <c r="S709" s="36">
        <f t="shared" si="141"/>
        <v>0</v>
      </c>
      <c r="T709" s="34">
        <f t="shared" si="139"/>
        <v>0</v>
      </c>
      <c r="U709" s="32">
        <f t="shared" si="140"/>
        <v>0</v>
      </c>
      <c r="V709" s="43"/>
      <c r="W709" s="32">
        <f t="shared" si="133"/>
        <v>0</v>
      </c>
      <c r="X709" s="34">
        <f t="shared" si="134"/>
        <v>0</v>
      </c>
      <c r="Y709" s="30">
        <f t="shared" si="135"/>
        <v>0</v>
      </c>
      <c r="Z709" s="34">
        <f t="shared" si="136"/>
        <v>0</v>
      </c>
      <c r="AA709" s="41">
        <f t="shared" si="137"/>
        <v>0</v>
      </c>
      <c r="AB709" s="31">
        <f t="shared" si="138"/>
        <v>0</v>
      </c>
    </row>
    <row r="710" spans="15:28" x14ac:dyDescent="0.7">
      <c r="O710" s="32" t="str">
        <f t="shared" si="132"/>
        <v/>
      </c>
      <c r="P710" s="21"/>
      <c r="Q710" s="21"/>
      <c r="R710" s="33"/>
      <c r="S710" s="36">
        <f t="shared" si="141"/>
        <v>0</v>
      </c>
      <c r="T710" s="34">
        <f t="shared" si="139"/>
        <v>0</v>
      </c>
      <c r="U710" s="32">
        <f t="shared" si="140"/>
        <v>0</v>
      </c>
      <c r="V710" s="43"/>
      <c r="W710" s="32">
        <f t="shared" si="133"/>
        <v>0</v>
      </c>
      <c r="X710" s="34">
        <f t="shared" si="134"/>
        <v>0</v>
      </c>
      <c r="Y710" s="30">
        <f t="shared" si="135"/>
        <v>0</v>
      </c>
      <c r="Z710" s="34">
        <f t="shared" si="136"/>
        <v>0</v>
      </c>
      <c r="AA710" s="41">
        <f t="shared" si="137"/>
        <v>0</v>
      </c>
      <c r="AB710" s="31">
        <f t="shared" si="138"/>
        <v>0</v>
      </c>
    </row>
    <row r="711" spans="15:28" x14ac:dyDescent="0.7">
      <c r="O711" s="32" t="str">
        <f t="shared" si="132"/>
        <v/>
      </c>
      <c r="P711" s="21"/>
      <c r="Q711" s="21"/>
      <c r="R711" s="33"/>
      <c r="S711" s="36">
        <f t="shared" si="141"/>
        <v>0</v>
      </c>
      <c r="T711" s="34">
        <f t="shared" si="139"/>
        <v>0</v>
      </c>
      <c r="U711" s="32">
        <f t="shared" si="140"/>
        <v>0</v>
      </c>
      <c r="V711" s="43"/>
      <c r="W711" s="32">
        <f t="shared" si="133"/>
        <v>0</v>
      </c>
      <c r="X711" s="34">
        <f t="shared" si="134"/>
        <v>0</v>
      </c>
      <c r="Y711" s="30">
        <f t="shared" si="135"/>
        <v>0</v>
      </c>
      <c r="Z711" s="34">
        <f t="shared" si="136"/>
        <v>0</v>
      </c>
      <c r="AA711" s="41">
        <f t="shared" si="137"/>
        <v>0</v>
      </c>
      <c r="AB711" s="31">
        <f t="shared" si="138"/>
        <v>0</v>
      </c>
    </row>
    <row r="712" spans="15:28" x14ac:dyDescent="0.7">
      <c r="O712" s="32" t="str">
        <f t="shared" ref="O712:O775" si="142">IF(P712="","",ROW()-ROW($O$6))</f>
        <v/>
      </c>
      <c r="P712" s="21"/>
      <c r="Q712" s="21"/>
      <c r="R712" s="33"/>
      <c r="S712" s="36">
        <f t="shared" si="141"/>
        <v>0</v>
      </c>
      <c r="T712" s="34">
        <f t="shared" si="139"/>
        <v>0</v>
      </c>
      <c r="U712" s="32">
        <f t="shared" si="140"/>
        <v>0</v>
      </c>
      <c r="V712" s="43"/>
      <c r="W712" s="32">
        <f t="shared" ref="W712:W775" si="143">U712-V712</f>
        <v>0</v>
      </c>
      <c r="X712" s="34">
        <f t="shared" ref="X712:X775" si="144">W712/5440</f>
        <v>0</v>
      </c>
      <c r="Y712" s="30">
        <f t="shared" ref="Y712:Y775" si="145">TRUNC(X712)</f>
        <v>0</v>
      </c>
      <c r="Z712" s="34">
        <f t="shared" ref="Z712:Z775" si="146">(X712-Y712)*20</f>
        <v>0</v>
      </c>
      <c r="AA712" s="41">
        <f t="shared" ref="AA712:AA775" si="147">TRUNC(Z712)</f>
        <v>0</v>
      </c>
      <c r="AB712" s="31">
        <f t="shared" ref="AB712:AB775" si="148">(Z712-AA712)*272</f>
        <v>0</v>
      </c>
    </row>
    <row r="713" spans="15:28" x14ac:dyDescent="0.7">
      <c r="O713" s="32" t="str">
        <f t="shared" si="142"/>
        <v/>
      </c>
      <c r="P713" s="21"/>
      <c r="Q713" s="21"/>
      <c r="R713" s="33"/>
      <c r="S713" s="36">
        <f t="shared" si="141"/>
        <v>0</v>
      </c>
      <c r="T713" s="34">
        <f t="shared" ref="T713:T776" si="149">(S713*R713)/100</f>
        <v>0</v>
      </c>
      <c r="U713" s="32">
        <f t="shared" ref="U713:U776" si="150">R713-T713</f>
        <v>0</v>
      </c>
      <c r="V713" s="43"/>
      <c r="W713" s="32">
        <f t="shared" si="143"/>
        <v>0</v>
      </c>
      <c r="X713" s="34">
        <f t="shared" si="144"/>
        <v>0</v>
      </c>
      <c r="Y713" s="30">
        <f t="shared" si="145"/>
        <v>0</v>
      </c>
      <c r="Z713" s="34">
        <f t="shared" si="146"/>
        <v>0</v>
      </c>
      <c r="AA713" s="41">
        <f t="shared" si="147"/>
        <v>0</v>
      </c>
      <c r="AB713" s="31">
        <f t="shared" si="148"/>
        <v>0</v>
      </c>
    </row>
    <row r="714" spans="15:28" x14ac:dyDescent="0.7">
      <c r="O714" s="32" t="str">
        <f t="shared" si="142"/>
        <v/>
      </c>
      <c r="P714" s="21"/>
      <c r="Q714" s="21"/>
      <c r="R714" s="33"/>
      <c r="S714" s="36">
        <f t="shared" si="141"/>
        <v>0</v>
      </c>
      <c r="T714" s="34">
        <f t="shared" si="149"/>
        <v>0</v>
      </c>
      <c r="U714" s="32">
        <f t="shared" si="150"/>
        <v>0</v>
      </c>
      <c r="V714" s="43"/>
      <c r="W714" s="32">
        <f t="shared" si="143"/>
        <v>0</v>
      </c>
      <c r="X714" s="34">
        <f t="shared" si="144"/>
        <v>0</v>
      </c>
      <c r="Y714" s="30">
        <f t="shared" si="145"/>
        <v>0</v>
      </c>
      <c r="Z714" s="34">
        <f t="shared" si="146"/>
        <v>0</v>
      </c>
      <c r="AA714" s="41">
        <f t="shared" si="147"/>
        <v>0</v>
      </c>
      <c r="AB714" s="31">
        <f t="shared" si="148"/>
        <v>0</v>
      </c>
    </row>
    <row r="715" spans="15:28" x14ac:dyDescent="0.7">
      <c r="O715" s="32" t="str">
        <f t="shared" si="142"/>
        <v/>
      </c>
      <c r="P715" s="21"/>
      <c r="Q715" s="21"/>
      <c r="R715" s="33"/>
      <c r="S715" s="36">
        <f t="shared" ref="S715:S778" si="151">S714</f>
        <v>0</v>
      </c>
      <c r="T715" s="34">
        <f t="shared" si="149"/>
        <v>0</v>
      </c>
      <c r="U715" s="32">
        <f t="shared" si="150"/>
        <v>0</v>
      </c>
      <c r="V715" s="43"/>
      <c r="W715" s="32">
        <f t="shared" si="143"/>
        <v>0</v>
      </c>
      <c r="X715" s="34">
        <f t="shared" si="144"/>
        <v>0</v>
      </c>
      <c r="Y715" s="30">
        <f t="shared" si="145"/>
        <v>0</v>
      </c>
      <c r="Z715" s="34">
        <f t="shared" si="146"/>
        <v>0</v>
      </c>
      <c r="AA715" s="41">
        <f t="shared" si="147"/>
        <v>0</v>
      </c>
      <c r="AB715" s="31">
        <f t="shared" si="148"/>
        <v>0</v>
      </c>
    </row>
    <row r="716" spans="15:28" x14ac:dyDescent="0.7">
      <c r="O716" s="32" t="str">
        <f t="shared" si="142"/>
        <v/>
      </c>
      <c r="P716" s="21"/>
      <c r="Q716" s="21"/>
      <c r="R716" s="33"/>
      <c r="S716" s="36">
        <f t="shared" si="151"/>
        <v>0</v>
      </c>
      <c r="T716" s="34">
        <f t="shared" si="149"/>
        <v>0</v>
      </c>
      <c r="U716" s="32">
        <f t="shared" si="150"/>
        <v>0</v>
      </c>
      <c r="V716" s="43"/>
      <c r="W716" s="32">
        <f t="shared" si="143"/>
        <v>0</v>
      </c>
      <c r="X716" s="34">
        <f t="shared" si="144"/>
        <v>0</v>
      </c>
      <c r="Y716" s="30">
        <f t="shared" si="145"/>
        <v>0</v>
      </c>
      <c r="Z716" s="34">
        <f t="shared" si="146"/>
        <v>0</v>
      </c>
      <c r="AA716" s="41">
        <f t="shared" si="147"/>
        <v>0</v>
      </c>
      <c r="AB716" s="31">
        <f t="shared" si="148"/>
        <v>0</v>
      </c>
    </row>
    <row r="717" spans="15:28" x14ac:dyDescent="0.7">
      <c r="O717" s="32" t="str">
        <f t="shared" si="142"/>
        <v/>
      </c>
      <c r="P717" s="21"/>
      <c r="Q717" s="21"/>
      <c r="R717" s="33"/>
      <c r="S717" s="36">
        <f t="shared" si="151"/>
        <v>0</v>
      </c>
      <c r="T717" s="34">
        <f t="shared" si="149"/>
        <v>0</v>
      </c>
      <c r="U717" s="32">
        <f t="shared" si="150"/>
        <v>0</v>
      </c>
      <c r="V717" s="43"/>
      <c r="W717" s="32">
        <f t="shared" si="143"/>
        <v>0</v>
      </c>
      <c r="X717" s="34">
        <f t="shared" si="144"/>
        <v>0</v>
      </c>
      <c r="Y717" s="30">
        <f t="shared" si="145"/>
        <v>0</v>
      </c>
      <c r="Z717" s="34">
        <f t="shared" si="146"/>
        <v>0</v>
      </c>
      <c r="AA717" s="41">
        <f t="shared" si="147"/>
        <v>0</v>
      </c>
      <c r="AB717" s="31">
        <f t="shared" si="148"/>
        <v>0</v>
      </c>
    </row>
    <row r="718" spans="15:28" x14ac:dyDescent="0.7">
      <c r="O718" s="32" t="str">
        <f t="shared" si="142"/>
        <v/>
      </c>
      <c r="P718" s="21"/>
      <c r="Q718" s="21"/>
      <c r="R718" s="33"/>
      <c r="S718" s="36">
        <f t="shared" si="151"/>
        <v>0</v>
      </c>
      <c r="T718" s="34">
        <f t="shared" si="149"/>
        <v>0</v>
      </c>
      <c r="U718" s="32">
        <f t="shared" si="150"/>
        <v>0</v>
      </c>
      <c r="V718" s="43"/>
      <c r="W718" s="32">
        <f t="shared" si="143"/>
        <v>0</v>
      </c>
      <c r="X718" s="34">
        <f t="shared" si="144"/>
        <v>0</v>
      </c>
      <c r="Y718" s="30">
        <f t="shared" si="145"/>
        <v>0</v>
      </c>
      <c r="Z718" s="34">
        <f t="shared" si="146"/>
        <v>0</v>
      </c>
      <c r="AA718" s="41">
        <f t="shared" si="147"/>
        <v>0</v>
      </c>
      <c r="AB718" s="31">
        <f t="shared" si="148"/>
        <v>0</v>
      </c>
    </row>
    <row r="719" spans="15:28" x14ac:dyDescent="0.7">
      <c r="O719" s="32" t="str">
        <f t="shared" si="142"/>
        <v/>
      </c>
      <c r="P719" s="21"/>
      <c r="Q719" s="21"/>
      <c r="R719" s="33"/>
      <c r="S719" s="36">
        <f t="shared" si="151"/>
        <v>0</v>
      </c>
      <c r="T719" s="34">
        <f t="shared" si="149"/>
        <v>0</v>
      </c>
      <c r="U719" s="32">
        <f t="shared" si="150"/>
        <v>0</v>
      </c>
      <c r="V719" s="43"/>
      <c r="W719" s="32">
        <f t="shared" si="143"/>
        <v>0</v>
      </c>
      <c r="X719" s="34">
        <f t="shared" si="144"/>
        <v>0</v>
      </c>
      <c r="Y719" s="30">
        <f t="shared" si="145"/>
        <v>0</v>
      </c>
      <c r="Z719" s="34">
        <f t="shared" si="146"/>
        <v>0</v>
      </c>
      <c r="AA719" s="41">
        <f t="shared" si="147"/>
        <v>0</v>
      </c>
      <c r="AB719" s="31">
        <f t="shared" si="148"/>
        <v>0</v>
      </c>
    </row>
    <row r="720" spans="15:28" x14ac:dyDescent="0.7">
      <c r="O720" s="32" t="str">
        <f t="shared" si="142"/>
        <v/>
      </c>
      <c r="P720" s="21"/>
      <c r="Q720" s="21"/>
      <c r="R720" s="33"/>
      <c r="S720" s="36">
        <f t="shared" si="151"/>
        <v>0</v>
      </c>
      <c r="T720" s="34">
        <f t="shared" si="149"/>
        <v>0</v>
      </c>
      <c r="U720" s="32">
        <f t="shared" si="150"/>
        <v>0</v>
      </c>
      <c r="V720" s="43"/>
      <c r="W720" s="32">
        <f t="shared" si="143"/>
        <v>0</v>
      </c>
      <c r="X720" s="34">
        <f t="shared" si="144"/>
        <v>0</v>
      </c>
      <c r="Y720" s="30">
        <f t="shared" si="145"/>
        <v>0</v>
      </c>
      <c r="Z720" s="34">
        <f t="shared" si="146"/>
        <v>0</v>
      </c>
      <c r="AA720" s="41">
        <f t="shared" si="147"/>
        <v>0</v>
      </c>
      <c r="AB720" s="31">
        <f t="shared" si="148"/>
        <v>0</v>
      </c>
    </row>
    <row r="721" spans="15:28" x14ac:dyDescent="0.7">
      <c r="O721" s="32" t="str">
        <f t="shared" si="142"/>
        <v/>
      </c>
      <c r="P721" s="21"/>
      <c r="Q721" s="21"/>
      <c r="R721" s="33"/>
      <c r="S721" s="36">
        <f t="shared" si="151"/>
        <v>0</v>
      </c>
      <c r="T721" s="34">
        <f t="shared" si="149"/>
        <v>0</v>
      </c>
      <c r="U721" s="32">
        <f t="shared" si="150"/>
        <v>0</v>
      </c>
      <c r="V721" s="43"/>
      <c r="W721" s="32">
        <f t="shared" si="143"/>
        <v>0</v>
      </c>
      <c r="X721" s="34">
        <f t="shared" si="144"/>
        <v>0</v>
      </c>
      <c r="Y721" s="30">
        <f t="shared" si="145"/>
        <v>0</v>
      </c>
      <c r="Z721" s="34">
        <f t="shared" si="146"/>
        <v>0</v>
      </c>
      <c r="AA721" s="41">
        <f t="shared" si="147"/>
        <v>0</v>
      </c>
      <c r="AB721" s="31">
        <f t="shared" si="148"/>
        <v>0</v>
      </c>
    </row>
    <row r="722" spans="15:28" x14ac:dyDescent="0.7">
      <c r="O722" s="32" t="str">
        <f t="shared" si="142"/>
        <v/>
      </c>
      <c r="P722" s="21"/>
      <c r="Q722" s="21"/>
      <c r="R722" s="33"/>
      <c r="S722" s="36">
        <f t="shared" si="151"/>
        <v>0</v>
      </c>
      <c r="T722" s="34">
        <f t="shared" si="149"/>
        <v>0</v>
      </c>
      <c r="U722" s="32">
        <f t="shared" si="150"/>
        <v>0</v>
      </c>
      <c r="V722" s="43"/>
      <c r="W722" s="32">
        <f t="shared" si="143"/>
        <v>0</v>
      </c>
      <c r="X722" s="34">
        <f t="shared" si="144"/>
        <v>0</v>
      </c>
      <c r="Y722" s="30">
        <f t="shared" si="145"/>
        <v>0</v>
      </c>
      <c r="Z722" s="34">
        <f t="shared" si="146"/>
        <v>0</v>
      </c>
      <c r="AA722" s="41">
        <f t="shared" si="147"/>
        <v>0</v>
      </c>
      <c r="AB722" s="31">
        <f t="shared" si="148"/>
        <v>0</v>
      </c>
    </row>
    <row r="723" spans="15:28" x14ac:dyDescent="0.7">
      <c r="O723" s="32" t="str">
        <f t="shared" si="142"/>
        <v/>
      </c>
      <c r="P723" s="21"/>
      <c r="Q723" s="21"/>
      <c r="R723" s="33"/>
      <c r="S723" s="36">
        <f t="shared" si="151"/>
        <v>0</v>
      </c>
      <c r="T723" s="34">
        <f t="shared" si="149"/>
        <v>0</v>
      </c>
      <c r="U723" s="32">
        <f t="shared" si="150"/>
        <v>0</v>
      </c>
      <c r="V723" s="43"/>
      <c r="W723" s="32">
        <f t="shared" si="143"/>
        <v>0</v>
      </c>
      <c r="X723" s="34">
        <f t="shared" si="144"/>
        <v>0</v>
      </c>
      <c r="Y723" s="30">
        <f t="shared" si="145"/>
        <v>0</v>
      </c>
      <c r="Z723" s="34">
        <f t="shared" si="146"/>
        <v>0</v>
      </c>
      <c r="AA723" s="41">
        <f t="shared" si="147"/>
        <v>0</v>
      </c>
      <c r="AB723" s="31">
        <f t="shared" si="148"/>
        <v>0</v>
      </c>
    </row>
    <row r="724" spans="15:28" x14ac:dyDescent="0.7">
      <c r="O724" s="32" t="str">
        <f t="shared" si="142"/>
        <v/>
      </c>
      <c r="P724" s="21"/>
      <c r="Q724" s="21"/>
      <c r="R724" s="33"/>
      <c r="S724" s="36">
        <f t="shared" si="151"/>
        <v>0</v>
      </c>
      <c r="T724" s="34">
        <f t="shared" si="149"/>
        <v>0</v>
      </c>
      <c r="U724" s="32">
        <f t="shared" si="150"/>
        <v>0</v>
      </c>
      <c r="V724" s="43"/>
      <c r="W724" s="32">
        <f t="shared" si="143"/>
        <v>0</v>
      </c>
      <c r="X724" s="34">
        <f t="shared" si="144"/>
        <v>0</v>
      </c>
      <c r="Y724" s="30">
        <f t="shared" si="145"/>
        <v>0</v>
      </c>
      <c r="Z724" s="34">
        <f t="shared" si="146"/>
        <v>0</v>
      </c>
      <c r="AA724" s="41">
        <f t="shared" si="147"/>
        <v>0</v>
      </c>
      <c r="AB724" s="31">
        <f t="shared" si="148"/>
        <v>0</v>
      </c>
    </row>
    <row r="725" spans="15:28" x14ac:dyDescent="0.7">
      <c r="O725" s="32" t="str">
        <f t="shared" si="142"/>
        <v/>
      </c>
      <c r="P725" s="21"/>
      <c r="Q725" s="21"/>
      <c r="R725" s="33"/>
      <c r="S725" s="36">
        <f t="shared" si="151"/>
        <v>0</v>
      </c>
      <c r="T725" s="34">
        <f t="shared" si="149"/>
        <v>0</v>
      </c>
      <c r="U725" s="32">
        <f t="shared" si="150"/>
        <v>0</v>
      </c>
      <c r="V725" s="43"/>
      <c r="W725" s="32">
        <f t="shared" si="143"/>
        <v>0</v>
      </c>
      <c r="X725" s="34">
        <f t="shared" si="144"/>
        <v>0</v>
      </c>
      <c r="Y725" s="30">
        <f t="shared" si="145"/>
        <v>0</v>
      </c>
      <c r="Z725" s="34">
        <f t="shared" si="146"/>
        <v>0</v>
      </c>
      <c r="AA725" s="41">
        <f t="shared" si="147"/>
        <v>0</v>
      </c>
      <c r="AB725" s="31">
        <f t="shared" si="148"/>
        <v>0</v>
      </c>
    </row>
    <row r="726" spans="15:28" x14ac:dyDescent="0.7">
      <c r="O726" s="32" t="str">
        <f t="shared" si="142"/>
        <v/>
      </c>
      <c r="P726" s="21"/>
      <c r="Q726" s="21"/>
      <c r="R726" s="33"/>
      <c r="S726" s="36">
        <f t="shared" si="151"/>
        <v>0</v>
      </c>
      <c r="T726" s="34">
        <f t="shared" si="149"/>
        <v>0</v>
      </c>
      <c r="U726" s="32">
        <f t="shared" si="150"/>
        <v>0</v>
      </c>
      <c r="V726" s="43"/>
      <c r="W726" s="32">
        <f t="shared" si="143"/>
        <v>0</v>
      </c>
      <c r="X726" s="34">
        <f t="shared" si="144"/>
        <v>0</v>
      </c>
      <c r="Y726" s="30">
        <f t="shared" si="145"/>
        <v>0</v>
      </c>
      <c r="Z726" s="34">
        <f t="shared" si="146"/>
        <v>0</v>
      </c>
      <c r="AA726" s="41">
        <f t="shared" si="147"/>
        <v>0</v>
      </c>
      <c r="AB726" s="31">
        <f t="shared" si="148"/>
        <v>0</v>
      </c>
    </row>
    <row r="727" spans="15:28" x14ac:dyDescent="0.7">
      <c r="O727" s="32" t="str">
        <f t="shared" si="142"/>
        <v/>
      </c>
      <c r="P727" s="21"/>
      <c r="Q727" s="21"/>
      <c r="R727" s="33"/>
      <c r="S727" s="36">
        <f t="shared" si="151"/>
        <v>0</v>
      </c>
      <c r="T727" s="34">
        <f t="shared" si="149"/>
        <v>0</v>
      </c>
      <c r="U727" s="32">
        <f t="shared" si="150"/>
        <v>0</v>
      </c>
      <c r="V727" s="43"/>
      <c r="W727" s="32">
        <f t="shared" si="143"/>
        <v>0</v>
      </c>
      <c r="X727" s="34">
        <f t="shared" si="144"/>
        <v>0</v>
      </c>
      <c r="Y727" s="30">
        <f t="shared" si="145"/>
        <v>0</v>
      </c>
      <c r="Z727" s="34">
        <f t="shared" si="146"/>
        <v>0</v>
      </c>
      <c r="AA727" s="41">
        <f t="shared" si="147"/>
        <v>0</v>
      </c>
      <c r="AB727" s="31">
        <f t="shared" si="148"/>
        <v>0</v>
      </c>
    </row>
    <row r="728" spans="15:28" x14ac:dyDescent="0.7">
      <c r="O728" s="32" t="str">
        <f t="shared" si="142"/>
        <v/>
      </c>
      <c r="P728" s="21"/>
      <c r="Q728" s="21"/>
      <c r="R728" s="33"/>
      <c r="S728" s="36">
        <f t="shared" si="151"/>
        <v>0</v>
      </c>
      <c r="T728" s="34">
        <f t="shared" si="149"/>
        <v>0</v>
      </c>
      <c r="U728" s="32">
        <f t="shared" si="150"/>
        <v>0</v>
      </c>
      <c r="V728" s="43"/>
      <c r="W728" s="32">
        <f t="shared" si="143"/>
        <v>0</v>
      </c>
      <c r="X728" s="34">
        <f t="shared" si="144"/>
        <v>0</v>
      </c>
      <c r="Y728" s="30">
        <f t="shared" si="145"/>
        <v>0</v>
      </c>
      <c r="Z728" s="34">
        <f t="shared" si="146"/>
        <v>0</v>
      </c>
      <c r="AA728" s="41">
        <f t="shared" si="147"/>
        <v>0</v>
      </c>
      <c r="AB728" s="31">
        <f t="shared" si="148"/>
        <v>0</v>
      </c>
    </row>
    <row r="729" spans="15:28" x14ac:dyDescent="0.7">
      <c r="O729" s="32" t="str">
        <f t="shared" si="142"/>
        <v/>
      </c>
      <c r="P729" s="21"/>
      <c r="Q729" s="21"/>
      <c r="R729" s="33"/>
      <c r="S729" s="36">
        <f t="shared" si="151"/>
        <v>0</v>
      </c>
      <c r="T729" s="34">
        <f t="shared" si="149"/>
        <v>0</v>
      </c>
      <c r="U729" s="32">
        <f t="shared" si="150"/>
        <v>0</v>
      </c>
      <c r="V729" s="43"/>
      <c r="W729" s="32">
        <f t="shared" si="143"/>
        <v>0</v>
      </c>
      <c r="X729" s="34">
        <f t="shared" si="144"/>
        <v>0</v>
      </c>
      <c r="Y729" s="30">
        <f t="shared" si="145"/>
        <v>0</v>
      </c>
      <c r="Z729" s="34">
        <f t="shared" si="146"/>
        <v>0</v>
      </c>
      <c r="AA729" s="41">
        <f t="shared" si="147"/>
        <v>0</v>
      </c>
      <c r="AB729" s="31">
        <f t="shared" si="148"/>
        <v>0</v>
      </c>
    </row>
    <row r="730" spans="15:28" x14ac:dyDescent="0.7">
      <c r="O730" s="32" t="str">
        <f t="shared" si="142"/>
        <v/>
      </c>
      <c r="P730" s="21"/>
      <c r="Q730" s="21"/>
      <c r="R730" s="33"/>
      <c r="S730" s="36">
        <f t="shared" si="151"/>
        <v>0</v>
      </c>
      <c r="T730" s="34">
        <f t="shared" si="149"/>
        <v>0</v>
      </c>
      <c r="U730" s="32">
        <f t="shared" si="150"/>
        <v>0</v>
      </c>
      <c r="V730" s="43"/>
      <c r="W730" s="32">
        <f t="shared" si="143"/>
        <v>0</v>
      </c>
      <c r="X730" s="34">
        <f t="shared" si="144"/>
        <v>0</v>
      </c>
      <c r="Y730" s="30">
        <f t="shared" si="145"/>
        <v>0</v>
      </c>
      <c r="Z730" s="34">
        <f t="shared" si="146"/>
        <v>0</v>
      </c>
      <c r="AA730" s="41">
        <f t="shared" si="147"/>
        <v>0</v>
      </c>
      <c r="AB730" s="31">
        <f t="shared" si="148"/>
        <v>0</v>
      </c>
    </row>
    <row r="731" spans="15:28" x14ac:dyDescent="0.7">
      <c r="O731" s="32" t="str">
        <f t="shared" si="142"/>
        <v/>
      </c>
      <c r="P731" s="21"/>
      <c r="Q731" s="21"/>
      <c r="R731" s="33"/>
      <c r="S731" s="36">
        <f t="shared" si="151"/>
        <v>0</v>
      </c>
      <c r="T731" s="34">
        <f t="shared" si="149"/>
        <v>0</v>
      </c>
      <c r="U731" s="32">
        <f t="shared" si="150"/>
        <v>0</v>
      </c>
      <c r="V731" s="43"/>
      <c r="W731" s="32">
        <f t="shared" si="143"/>
        <v>0</v>
      </c>
      <c r="X731" s="34">
        <f t="shared" si="144"/>
        <v>0</v>
      </c>
      <c r="Y731" s="30">
        <f t="shared" si="145"/>
        <v>0</v>
      </c>
      <c r="Z731" s="34">
        <f t="shared" si="146"/>
        <v>0</v>
      </c>
      <c r="AA731" s="41">
        <f t="shared" si="147"/>
        <v>0</v>
      </c>
      <c r="AB731" s="31">
        <f t="shared" si="148"/>
        <v>0</v>
      </c>
    </row>
    <row r="732" spans="15:28" x14ac:dyDescent="0.7">
      <c r="O732" s="32" t="str">
        <f t="shared" si="142"/>
        <v/>
      </c>
      <c r="P732" s="21"/>
      <c r="Q732" s="21"/>
      <c r="R732" s="33"/>
      <c r="S732" s="36">
        <f t="shared" si="151"/>
        <v>0</v>
      </c>
      <c r="T732" s="34">
        <f t="shared" si="149"/>
        <v>0</v>
      </c>
      <c r="U732" s="32">
        <f t="shared" si="150"/>
        <v>0</v>
      </c>
      <c r="V732" s="43"/>
      <c r="W732" s="32">
        <f t="shared" si="143"/>
        <v>0</v>
      </c>
      <c r="X732" s="34">
        <f t="shared" si="144"/>
        <v>0</v>
      </c>
      <c r="Y732" s="30">
        <f t="shared" si="145"/>
        <v>0</v>
      </c>
      <c r="Z732" s="34">
        <f t="shared" si="146"/>
        <v>0</v>
      </c>
      <c r="AA732" s="41">
        <f t="shared" si="147"/>
        <v>0</v>
      </c>
      <c r="AB732" s="31">
        <f t="shared" si="148"/>
        <v>0</v>
      </c>
    </row>
    <row r="733" spans="15:28" x14ac:dyDescent="0.7">
      <c r="O733" s="32" t="str">
        <f t="shared" si="142"/>
        <v/>
      </c>
      <c r="P733" s="21"/>
      <c r="Q733" s="21"/>
      <c r="R733" s="33"/>
      <c r="S733" s="36">
        <f t="shared" si="151"/>
        <v>0</v>
      </c>
      <c r="T733" s="34">
        <f t="shared" si="149"/>
        <v>0</v>
      </c>
      <c r="U733" s="32">
        <f t="shared" si="150"/>
        <v>0</v>
      </c>
      <c r="V733" s="43"/>
      <c r="W733" s="32">
        <f t="shared" si="143"/>
        <v>0</v>
      </c>
      <c r="X733" s="34">
        <f t="shared" si="144"/>
        <v>0</v>
      </c>
      <c r="Y733" s="30">
        <f t="shared" si="145"/>
        <v>0</v>
      </c>
      <c r="Z733" s="34">
        <f t="shared" si="146"/>
        <v>0</v>
      </c>
      <c r="AA733" s="41">
        <f t="shared" si="147"/>
        <v>0</v>
      </c>
      <c r="AB733" s="31">
        <f t="shared" si="148"/>
        <v>0</v>
      </c>
    </row>
    <row r="734" spans="15:28" x14ac:dyDescent="0.7">
      <c r="O734" s="32" t="str">
        <f t="shared" si="142"/>
        <v/>
      </c>
      <c r="P734" s="21"/>
      <c r="Q734" s="21"/>
      <c r="R734" s="33"/>
      <c r="S734" s="36">
        <f t="shared" si="151"/>
        <v>0</v>
      </c>
      <c r="T734" s="34">
        <f t="shared" si="149"/>
        <v>0</v>
      </c>
      <c r="U734" s="32">
        <f t="shared" si="150"/>
        <v>0</v>
      </c>
      <c r="V734" s="43"/>
      <c r="W734" s="32">
        <f t="shared" si="143"/>
        <v>0</v>
      </c>
      <c r="X734" s="34">
        <f t="shared" si="144"/>
        <v>0</v>
      </c>
      <c r="Y734" s="30">
        <f t="shared" si="145"/>
        <v>0</v>
      </c>
      <c r="Z734" s="34">
        <f t="shared" si="146"/>
        <v>0</v>
      </c>
      <c r="AA734" s="41">
        <f t="shared" si="147"/>
        <v>0</v>
      </c>
      <c r="AB734" s="31">
        <f t="shared" si="148"/>
        <v>0</v>
      </c>
    </row>
    <row r="735" spans="15:28" x14ac:dyDescent="0.7">
      <c r="O735" s="32" t="str">
        <f t="shared" si="142"/>
        <v/>
      </c>
      <c r="P735" s="21"/>
      <c r="Q735" s="21"/>
      <c r="R735" s="33"/>
      <c r="S735" s="36">
        <f t="shared" si="151"/>
        <v>0</v>
      </c>
      <c r="T735" s="34">
        <f t="shared" si="149"/>
        <v>0</v>
      </c>
      <c r="U735" s="32">
        <f t="shared" si="150"/>
        <v>0</v>
      </c>
      <c r="V735" s="43"/>
      <c r="W735" s="32">
        <f t="shared" si="143"/>
        <v>0</v>
      </c>
      <c r="X735" s="34">
        <f t="shared" si="144"/>
        <v>0</v>
      </c>
      <c r="Y735" s="30">
        <f t="shared" si="145"/>
        <v>0</v>
      </c>
      <c r="Z735" s="34">
        <f t="shared" si="146"/>
        <v>0</v>
      </c>
      <c r="AA735" s="41">
        <f t="shared" si="147"/>
        <v>0</v>
      </c>
      <c r="AB735" s="31">
        <f t="shared" si="148"/>
        <v>0</v>
      </c>
    </row>
    <row r="736" spans="15:28" x14ac:dyDescent="0.7">
      <c r="O736" s="32" t="str">
        <f t="shared" si="142"/>
        <v/>
      </c>
      <c r="P736" s="21"/>
      <c r="Q736" s="21"/>
      <c r="R736" s="33"/>
      <c r="S736" s="36">
        <f t="shared" si="151"/>
        <v>0</v>
      </c>
      <c r="T736" s="34">
        <f t="shared" si="149"/>
        <v>0</v>
      </c>
      <c r="U736" s="32">
        <f t="shared" si="150"/>
        <v>0</v>
      </c>
      <c r="V736" s="43"/>
      <c r="W736" s="32">
        <f t="shared" si="143"/>
        <v>0</v>
      </c>
      <c r="X736" s="34">
        <f t="shared" si="144"/>
        <v>0</v>
      </c>
      <c r="Y736" s="30">
        <f t="shared" si="145"/>
        <v>0</v>
      </c>
      <c r="Z736" s="34">
        <f t="shared" si="146"/>
        <v>0</v>
      </c>
      <c r="AA736" s="41">
        <f t="shared" si="147"/>
        <v>0</v>
      </c>
      <c r="AB736" s="31">
        <f t="shared" si="148"/>
        <v>0</v>
      </c>
    </row>
    <row r="737" spans="15:28" x14ac:dyDescent="0.7">
      <c r="O737" s="32" t="str">
        <f t="shared" si="142"/>
        <v/>
      </c>
      <c r="P737" s="21"/>
      <c r="Q737" s="21"/>
      <c r="R737" s="33"/>
      <c r="S737" s="36">
        <f t="shared" si="151"/>
        <v>0</v>
      </c>
      <c r="T737" s="34">
        <f t="shared" si="149"/>
        <v>0</v>
      </c>
      <c r="U737" s="32">
        <f t="shared" si="150"/>
        <v>0</v>
      </c>
      <c r="V737" s="43"/>
      <c r="W737" s="32">
        <f t="shared" si="143"/>
        <v>0</v>
      </c>
      <c r="X737" s="34">
        <f t="shared" si="144"/>
        <v>0</v>
      </c>
      <c r="Y737" s="30">
        <f t="shared" si="145"/>
        <v>0</v>
      </c>
      <c r="Z737" s="34">
        <f t="shared" si="146"/>
        <v>0</v>
      </c>
      <c r="AA737" s="41">
        <f t="shared" si="147"/>
        <v>0</v>
      </c>
      <c r="AB737" s="31">
        <f t="shared" si="148"/>
        <v>0</v>
      </c>
    </row>
    <row r="738" spans="15:28" x14ac:dyDescent="0.7">
      <c r="O738" s="32" t="str">
        <f t="shared" si="142"/>
        <v/>
      </c>
      <c r="P738" s="21"/>
      <c r="Q738" s="21"/>
      <c r="R738" s="33"/>
      <c r="S738" s="36">
        <f t="shared" si="151"/>
        <v>0</v>
      </c>
      <c r="T738" s="34">
        <f t="shared" si="149"/>
        <v>0</v>
      </c>
      <c r="U738" s="32">
        <f t="shared" si="150"/>
        <v>0</v>
      </c>
      <c r="V738" s="43"/>
      <c r="W738" s="32">
        <f t="shared" si="143"/>
        <v>0</v>
      </c>
      <c r="X738" s="34">
        <f t="shared" si="144"/>
        <v>0</v>
      </c>
      <c r="Y738" s="30">
        <f t="shared" si="145"/>
        <v>0</v>
      </c>
      <c r="Z738" s="34">
        <f t="shared" si="146"/>
        <v>0</v>
      </c>
      <c r="AA738" s="41">
        <f t="shared" si="147"/>
        <v>0</v>
      </c>
      <c r="AB738" s="31">
        <f t="shared" si="148"/>
        <v>0</v>
      </c>
    </row>
    <row r="739" spans="15:28" x14ac:dyDescent="0.7">
      <c r="O739" s="32" t="str">
        <f t="shared" si="142"/>
        <v/>
      </c>
      <c r="P739" s="21"/>
      <c r="Q739" s="21"/>
      <c r="R739" s="33"/>
      <c r="S739" s="36">
        <f t="shared" si="151"/>
        <v>0</v>
      </c>
      <c r="T739" s="34">
        <f t="shared" si="149"/>
        <v>0</v>
      </c>
      <c r="U739" s="32">
        <f t="shared" si="150"/>
        <v>0</v>
      </c>
      <c r="V739" s="43"/>
      <c r="W739" s="32">
        <f t="shared" si="143"/>
        <v>0</v>
      </c>
      <c r="X739" s="34">
        <f t="shared" si="144"/>
        <v>0</v>
      </c>
      <c r="Y739" s="30">
        <f t="shared" si="145"/>
        <v>0</v>
      </c>
      <c r="Z739" s="34">
        <f t="shared" si="146"/>
        <v>0</v>
      </c>
      <c r="AA739" s="41">
        <f t="shared" si="147"/>
        <v>0</v>
      </c>
      <c r="AB739" s="31">
        <f t="shared" si="148"/>
        <v>0</v>
      </c>
    </row>
    <row r="740" spans="15:28" x14ac:dyDescent="0.7">
      <c r="O740" s="32" t="str">
        <f t="shared" si="142"/>
        <v/>
      </c>
      <c r="P740" s="21"/>
      <c r="Q740" s="21"/>
      <c r="R740" s="33"/>
      <c r="S740" s="36">
        <f t="shared" si="151"/>
        <v>0</v>
      </c>
      <c r="T740" s="34">
        <f t="shared" si="149"/>
        <v>0</v>
      </c>
      <c r="U740" s="32">
        <f t="shared" si="150"/>
        <v>0</v>
      </c>
      <c r="V740" s="43"/>
      <c r="W740" s="32">
        <f t="shared" si="143"/>
        <v>0</v>
      </c>
      <c r="X740" s="34">
        <f t="shared" si="144"/>
        <v>0</v>
      </c>
      <c r="Y740" s="30">
        <f t="shared" si="145"/>
        <v>0</v>
      </c>
      <c r="Z740" s="34">
        <f t="shared" si="146"/>
        <v>0</v>
      </c>
      <c r="AA740" s="41">
        <f t="shared" si="147"/>
        <v>0</v>
      </c>
      <c r="AB740" s="31">
        <f t="shared" si="148"/>
        <v>0</v>
      </c>
    </row>
    <row r="741" spans="15:28" x14ac:dyDescent="0.7">
      <c r="O741" s="32" t="str">
        <f t="shared" si="142"/>
        <v/>
      </c>
      <c r="P741" s="21"/>
      <c r="Q741" s="21"/>
      <c r="R741" s="33"/>
      <c r="S741" s="36">
        <f t="shared" si="151"/>
        <v>0</v>
      </c>
      <c r="T741" s="34">
        <f t="shared" si="149"/>
        <v>0</v>
      </c>
      <c r="U741" s="32">
        <f t="shared" si="150"/>
        <v>0</v>
      </c>
      <c r="V741" s="43"/>
      <c r="W741" s="32">
        <f t="shared" si="143"/>
        <v>0</v>
      </c>
      <c r="X741" s="34">
        <f t="shared" si="144"/>
        <v>0</v>
      </c>
      <c r="Y741" s="30">
        <f t="shared" si="145"/>
        <v>0</v>
      </c>
      <c r="Z741" s="34">
        <f t="shared" si="146"/>
        <v>0</v>
      </c>
      <c r="AA741" s="41">
        <f t="shared" si="147"/>
        <v>0</v>
      </c>
      <c r="AB741" s="31">
        <f t="shared" si="148"/>
        <v>0</v>
      </c>
    </row>
    <row r="742" spans="15:28" x14ac:dyDescent="0.7">
      <c r="O742" s="32" t="str">
        <f t="shared" si="142"/>
        <v/>
      </c>
      <c r="P742" s="21"/>
      <c r="Q742" s="21"/>
      <c r="R742" s="33"/>
      <c r="S742" s="36">
        <f t="shared" si="151"/>
        <v>0</v>
      </c>
      <c r="T742" s="34">
        <f t="shared" si="149"/>
        <v>0</v>
      </c>
      <c r="U742" s="32">
        <f t="shared" si="150"/>
        <v>0</v>
      </c>
      <c r="V742" s="43"/>
      <c r="W742" s="32">
        <f t="shared" si="143"/>
        <v>0</v>
      </c>
      <c r="X742" s="34">
        <f t="shared" si="144"/>
        <v>0</v>
      </c>
      <c r="Y742" s="30">
        <f t="shared" si="145"/>
        <v>0</v>
      </c>
      <c r="Z742" s="34">
        <f t="shared" si="146"/>
        <v>0</v>
      </c>
      <c r="AA742" s="41">
        <f t="shared" si="147"/>
        <v>0</v>
      </c>
      <c r="AB742" s="31">
        <f t="shared" si="148"/>
        <v>0</v>
      </c>
    </row>
    <row r="743" spans="15:28" x14ac:dyDescent="0.7">
      <c r="O743" s="32" t="str">
        <f t="shared" si="142"/>
        <v/>
      </c>
      <c r="P743" s="21"/>
      <c r="Q743" s="21"/>
      <c r="R743" s="33"/>
      <c r="S743" s="36">
        <f t="shared" si="151"/>
        <v>0</v>
      </c>
      <c r="T743" s="34">
        <f t="shared" si="149"/>
        <v>0</v>
      </c>
      <c r="U743" s="32">
        <f t="shared" si="150"/>
        <v>0</v>
      </c>
      <c r="V743" s="43"/>
      <c r="W743" s="32">
        <f t="shared" si="143"/>
        <v>0</v>
      </c>
      <c r="X743" s="34">
        <f t="shared" si="144"/>
        <v>0</v>
      </c>
      <c r="Y743" s="30">
        <f t="shared" si="145"/>
        <v>0</v>
      </c>
      <c r="Z743" s="34">
        <f t="shared" si="146"/>
        <v>0</v>
      </c>
      <c r="AA743" s="41">
        <f t="shared" si="147"/>
        <v>0</v>
      </c>
      <c r="AB743" s="31">
        <f t="shared" si="148"/>
        <v>0</v>
      </c>
    </row>
    <row r="744" spans="15:28" x14ac:dyDescent="0.7">
      <c r="O744" s="32" t="str">
        <f t="shared" si="142"/>
        <v/>
      </c>
      <c r="P744" s="21"/>
      <c r="Q744" s="21"/>
      <c r="R744" s="33"/>
      <c r="S744" s="36">
        <f t="shared" si="151"/>
        <v>0</v>
      </c>
      <c r="T744" s="34">
        <f t="shared" si="149"/>
        <v>0</v>
      </c>
      <c r="U744" s="32">
        <f t="shared" si="150"/>
        <v>0</v>
      </c>
      <c r="V744" s="43"/>
      <c r="W744" s="32">
        <f t="shared" si="143"/>
        <v>0</v>
      </c>
      <c r="X744" s="34">
        <f t="shared" si="144"/>
        <v>0</v>
      </c>
      <c r="Y744" s="30">
        <f t="shared" si="145"/>
        <v>0</v>
      </c>
      <c r="Z744" s="34">
        <f t="shared" si="146"/>
        <v>0</v>
      </c>
      <c r="AA744" s="41">
        <f t="shared" si="147"/>
        <v>0</v>
      </c>
      <c r="AB744" s="31">
        <f t="shared" si="148"/>
        <v>0</v>
      </c>
    </row>
    <row r="745" spans="15:28" x14ac:dyDescent="0.7">
      <c r="O745" s="32" t="str">
        <f t="shared" si="142"/>
        <v/>
      </c>
      <c r="P745" s="21"/>
      <c r="Q745" s="21"/>
      <c r="R745" s="33"/>
      <c r="S745" s="36">
        <f t="shared" si="151"/>
        <v>0</v>
      </c>
      <c r="T745" s="34">
        <f t="shared" si="149"/>
        <v>0</v>
      </c>
      <c r="U745" s="32">
        <f t="shared" si="150"/>
        <v>0</v>
      </c>
      <c r="V745" s="43"/>
      <c r="W745" s="32">
        <f t="shared" si="143"/>
        <v>0</v>
      </c>
      <c r="X745" s="34">
        <f t="shared" si="144"/>
        <v>0</v>
      </c>
      <c r="Y745" s="30">
        <f t="shared" si="145"/>
        <v>0</v>
      </c>
      <c r="Z745" s="34">
        <f t="shared" si="146"/>
        <v>0</v>
      </c>
      <c r="AA745" s="41">
        <f t="shared" si="147"/>
        <v>0</v>
      </c>
      <c r="AB745" s="31">
        <f t="shared" si="148"/>
        <v>0</v>
      </c>
    </row>
    <row r="746" spans="15:28" x14ac:dyDescent="0.7">
      <c r="O746" s="32" t="str">
        <f t="shared" si="142"/>
        <v/>
      </c>
      <c r="P746" s="21"/>
      <c r="Q746" s="21"/>
      <c r="R746" s="33"/>
      <c r="S746" s="36">
        <f t="shared" si="151"/>
        <v>0</v>
      </c>
      <c r="T746" s="34">
        <f t="shared" si="149"/>
        <v>0</v>
      </c>
      <c r="U746" s="32">
        <f t="shared" si="150"/>
        <v>0</v>
      </c>
      <c r="V746" s="43"/>
      <c r="W746" s="32">
        <f t="shared" si="143"/>
        <v>0</v>
      </c>
      <c r="X746" s="34">
        <f t="shared" si="144"/>
        <v>0</v>
      </c>
      <c r="Y746" s="30">
        <f t="shared" si="145"/>
        <v>0</v>
      </c>
      <c r="Z746" s="34">
        <f t="shared" si="146"/>
        <v>0</v>
      </c>
      <c r="AA746" s="41">
        <f t="shared" si="147"/>
        <v>0</v>
      </c>
      <c r="AB746" s="31">
        <f t="shared" si="148"/>
        <v>0</v>
      </c>
    </row>
    <row r="747" spans="15:28" x14ac:dyDescent="0.7">
      <c r="O747" s="32" t="str">
        <f t="shared" si="142"/>
        <v/>
      </c>
      <c r="P747" s="21"/>
      <c r="Q747" s="21"/>
      <c r="R747" s="33"/>
      <c r="S747" s="36">
        <f t="shared" si="151"/>
        <v>0</v>
      </c>
      <c r="T747" s="34">
        <f t="shared" si="149"/>
        <v>0</v>
      </c>
      <c r="U747" s="32">
        <f t="shared" si="150"/>
        <v>0</v>
      </c>
      <c r="V747" s="43"/>
      <c r="W747" s="32">
        <f t="shared" si="143"/>
        <v>0</v>
      </c>
      <c r="X747" s="34">
        <f t="shared" si="144"/>
        <v>0</v>
      </c>
      <c r="Y747" s="30">
        <f t="shared" si="145"/>
        <v>0</v>
      </c>
      <c r="Z747" s="34">
        <f t="shared" si="146"/>
        <v>0</v>
      </c>
      <c r="AA747" s="41">
        <f t="shared" si="147"/>
        <v>0</v>
      </c>
      <c r="AB747" s="31">
        <f t="shared" si="148"/>
        <v>0</v>
      </c>
    </row>
    <row r="748" spans="15:28" x14ac:dyDescent="0.7">
      <c r="O748" s="32" t="str">
        <f t="shared" si="142"/>
        <v/>
      </c>
      <c r="P748" s="21"/>
      <c r="Q748" s="21"/>
      <c r="R748" s="33"/>
      <c r="S748" s="36">
        <f t="shared" si="151"/>
        <v>0</v>
      </c>
      <c r="T748" s="34">
        <f t="shared" si="149"/>
        <v>0</v>
      </c>
      <c r="U748" s="32">
        <f t="shared" si="150"/>
        <v>0</v>
      </c>
      <c r="V748" s="43"/>
      <c r="W748" s="32">
        <f t="shared" si="143"/>
        <v>0</v>
      </c>
      <c r="X748" s="34">
        <f t="shared" si="144"/>
        <v>0</v>
      </c>
      <c r="Y748" s="30">
        <f t="shared" si="145"/>
        <v>0</v>
      </c>
      <c r="Z748" s="34">
        <f t="shared" si="146"/>
        <v>0</v>
      </c>
      <c r="AA748" s="41">
        <f t="shared" si="147"/>
        <v>0</v>
      </c>
      <c r="AB748" s="31">
        <f t="shared" si="148"/>
        <v>0</v>
      </c>
    </row>
    <row r="749" spans="15:28" x14ac:dyDescent="0.7">
      <c r="O749" s="32" t="str">
        <f t="shared" si="142"/>
        <v/>
      </c>
      <c r="P749" s="21"/>
      <c r="Q749" s="21"/>
      <c r="R749" s="33"/>
      <c r="S749" s="36">
        <f t="shared" si="151"/>
        <v>0</v>
      </c>
      <c r="T749" s="34">
        <f t="shared" si="149"/>
        <v>0</v>
      </c>
      <c r="U749" s="32">
        <f t="shared" si="150"/>
        <v>0</v>
      </c>
      <c r="V749" s="43"/>
      <c r="W749" s="32">
        <f t="shared" si="143"/>
        <v>0</v>
      </c>
      <c r="X749" s="34">
        <f t="shared" si="144"/>
        <v>0</v>
      </c>
      <c r="Y749" s="30">
        <f t="shared" si="145"/>
        <v>0</v>
      </c>
      <c r="Z749" s="34">
        <f t="shared" si="146"/>
        <v>0</v>
      </c>
      <c r="AA749" s="41">
        <f t="shared" si="147"/>
        <v>0</v>
      </c>
      <c r="AB749" s="31">
        <f t="shared" si="148"/>
        <v>0</v>
      </c>
    </row>
    <row r="750" spans="15:28" x14ac:dyDescent="0.7">
      <c r="O750" s="32" t="str">
        <f t="shared" si="142"/>
        <v/>
      </c>
      <c r="P750" s="21"/>
      <c r="Q750" s="21"/>
      <c r="R750" s="33"/>
      <c r="S750" s="36">
        <f t="shared" si="151"/>
        <v>0</v>
      </c>
      <c r="T750" s="34">
        <f t="shared" si="149"/>
        <v>0</v>
      </c>
      <c r="U750" s="32">
        <f t="shared" si="150"/>
        <v>0</v>
      </c>
      <c r="V750" s="43"/>
      <c r="W750" s="32">
        <f t="shared" si="143"/>
        <v>0</v>
      </c>
      <c r="X750" s="34">
        <f t="shared" si="144"/>
        <v>0</v>
      </c>
      <c r="Y750" s="30">
        <f t="shared" si="145"/>
        <v>0</v>
      </c>
      <c r="Z750" s="34">
        <f t="shared" si="146"/>
        <v>0</v>
      </c>
      <c r="AA750" s="41">
        <f t="shared" si="147"/>
        <v>0</v>
      </c>
      <c r="AB750" s="31">
        <f t="shared" si="148"/>
        <v>0</v>
      </c>
    </row>
    <row r="751" spans="15:28" x14ac:dyDescent="0.7">
      <c r="O751" s="32" t="str">
        <f t="shared" si="142"/>
        <v/>
      </c>
      <c r="P751" s="21"/>
      <c r="Q751" s="21"/>
      <c r="R751" s="33"/>
      <c r="S751" s="36">
        <f t="shared" si="151"/>
        <v>0</v>
      </c>
      <c r="T751" s="34">
        <f t="shared" si="149"/>
        <v>0</v>
      </c>
      <c r="U751" s="32">
        <f t="shared" si="150"/>
        <v>0</v>
      </c>
      <c r="V751" s="43"/>
      <c r="W751" s="32">
        <f t="shared" si="143"/>
        <v>0</v>
      </c>
      <c r="X751" s="34">
        <f t="shared" si="144"/>
        <v>0</v>
      </c>
      <c r="Y751" s="30">
        <f t="shared" si="145"/>
        <v>0</v>
      </c>
      <c r="Z751" s="34">
        <f t="shared" si="146"/>
        <v>0</v>
      </c>
      <c r="AA751" s="41">
        <f t="shared" si="147"/>
        <v>0</v>
      </c>
      <c r="AB751" s="31">
        <f t="shared" si="148"/>
        <v>0</v>
      </c>
    </row>
    <row r="752" spans="15:28" x14ac:dyDescent="0.7">
      <c r="O752" s="32" t="str">
        <f t="shared" si="142"/>
        <v/>
      </c>
      <c r="P752" s="21"/>
      <c r="Q752" s="21"/>
      <c r="R752" s="33"/>
      <c r="S752" s="36">
        <f t="shared" si="151"/>
        <v>0</v>
      </c>
      <c r="T752" s="34">
        <f t="shared" si="149"/>
        <v>0</v>
      </c>
      <c r="U752" s="32">
        <f t="shared" si="150"/>
        <v>0</v>
      </c>
      <c r="V752" s="43"/>
      <c r="W752" s="32">
        <f t="shared" si="143"/>
        <v>0</v>
      </c>
      <c r="X752" s="34">
        <f t="shared" si="144"/>
        <v>0</v>
      </c>
      <c r="Y752" s="30">
        <f t="shared" si="145"/>
        <v>0</v>
      </c>
      <c r="Z752" s="34">
        <f t="shared" si="146"/>
        <v>0</v>
      </c>
      <c r="AA752" s="41">
        <f t="shared" si="147"/>
        <v>0</v>
      </c>
      <c r="AB752" s="31">
        <f t="shared" si="148"/>
        <v>0</v>
      </c>
    </row>
    <row r="753" spans="15:28" x14ac:dyDescent="0.7">
      <c r="O753" s="32" t="str">
        <f t="shared" si="142"/>
        <v/>
      </c>
      <c r="P753" s="21"/>
      <c r="Q753" s="21"/>
      <c r="R753" s="33"/>
      <c r="S753" s="36">
        <f t="shared" si="151"/>
        <v>0</v>
      </c>
      <c r="T753" s="34">
        <f t="shared" si="149"/>
        <v>0</v>
      </c>
      <c r="U753" s="32">
        <f t="shared" si="150"/>
        <v>0</v>
      </c>
      <c r="V753" s="43"/>
      <c r="W753" s="32">
        <f t="shared" si="143"/>
        <v>0</v>
      </c>
      <c r="X753" s="34">
        <f t="shared" si="144"/>
        <v>0</v>
      </c>
      <c r="Y753" s="30">
        <f t="shared" si="145"/>
        <v>0</v>
      </c>
      <c r="Z753" s="34">
        <f t="shared" si="146"/>
        <v>0</v>
      </c>
      <c r="AA753" s="41">
        <f t="shared" si="147"/>
        <v>0</v>
      </c>
      <c r="AB753" s="31">
        <f t="shared" si="148"/>
        <v>0</v>
      </c>
    </row>
    <row r="754" spans="15:28" x14ac:dyDescent="0.7">
      <c r="O754" s="32" t="str">
        <f t="shared" si="142"/>
        <v/>
      </c>
      <c r="P754" s="21"/>
      <c r="Q754" s="21"/>
      <c r="R754" s="33"/>
      <c r="S754" s="36">
        <f t="shared" si="151"/>
        <v>0</v>
      </c>
      <c r="T754" s="34">
        <f t="shared" si="149"/>
        <v>0</v>
      </c>
      <c r="U754" s="32">
        <f t="shared" si="150"/>
        <v>0</v>
      </c>
      <c r="V754" s="43"/>
      <c r="W754" s="32">
        <f t="shared" si="143"/>
        <v>0</v>
      </c>
      <c r="X754" s="34">
        <f t="shared" si="144"/>
        <v>0</v>
      </c>
      <c r="Y754" s="30">
        <f t="shared" si="145"/>
        <v>0</v>
      </c>
      <c r="Z754" s="34">
        <f t="shared" si="146"/>
        <v>0</v>
      </c>
      <c r="AA754" s="41">
        <f t="shared" si="147"/>
        <v>0</v>
      </c>
      <c r="AB754" s="31">
        <f t="shared" si="148"/>
        <v>0</v>
      </c>
    </row>
    <row r="755" spans="15:28" x14ac:dyDescent="0.7">
      <c r="O755" s="32" t="str">
        <f t="shared" si="142"/>
        <v/>
      </c>
      <c r="P755" s="21"/>
      <c r="Q755" s="21"/>
      <c r="R755" s="33"/>
      <c r="S755" s="36">
        <f t="shared" si="151"/>
        <v>0</v>
      </c>
      <c r="T755" s="34">
        <f t="shared" si="149"/>
        <v>0</v>
      </c>
      <c r="U755" s="32">
        <f t="shared" si="150"/>
        <v>0</v>
      </c>
      <c r="V755" s="43"/>
      <c r="W755" s="32">
        <f t="shared" si="143"/>
        <v>0</v>
      </c>
      <c r="X755" s="34">
        <f t="shared" si="144"/>
        <v>0</v>
      </c>
      <c r="Y755" s="30">
        <f t="shared" si="145"/>
        <v>0</v>
      </c>
      <c r="Z755" s="34">
        <f t="shared" si="146"/>
        <v>0</v>
      </c>
      <c r="AA755" s="41">
        <f t="shared" si="147"/>
        <v>0</v>
      </c>
      <c r="AB755" s="31">
        <f t="shared" si="148"/>
        <v>0</v>
      </c>
    </row>
    <row r="756" spans="15:28" x14ac:dyDescent="0.7">
      <c r="O756" s="32" t="str">
        <f t="shared" si="142"/>
        <v/>
      </c>
      <c r="P756" s="21"/>
      <c r="Q756" s="21"/>
      <c r="R756" s="33"/>
      <c r="S756" s="36">
        <f t="shared" si="151"/>
        <v>0</v>
      </c>
      <c r="T756" s="34">
        <f t="shared" si="149"/>
        <v>0</v>
      </c>
      <c r="U756" s="32">
        <f t="shared" si="150"/>
        <v>0</v>
      </c>
      <c r="V756" s="43"/>
      <c r="W756" s="32">
        <f t="shared" si="143"/>
        <v>0</v>
      </c>
      <c r="X756" s="34">
        <f t="shared" si="144"/>
        <v>0</v>
      </c>
      <c r="Y756" s="30">
        <f t="shared" si="145"/>
        <v>0</v>
      </c>
      <c r="Z756" s="34">
        <f t="shared" si="146"/>
        <v>0</v>
      </c>
      <c r="AA756" s="41">
        <f t="shared" si="147"/>
        <v>0</v>
      </c>
      <c r="AB756" s="31">
        <f t="shared" si="148"/>
        <v>0</v>
      </c>
    </row>
    <row r="757" spans="15:28" x14ac:dyDescent="0.7">
      <c r="O757" s="32" t="str">
        <f t="shared" si="142"/>
        <v/>
      </c>
      <c r="P757" s="21"/>
      <c r="Q757" s="21"/>
      <c r="R757" s="33"/>
      <c r="S757" s="36">
        <f t="shared" si="151"/>
        <v>0</v>
      </c>
      <c r="T757" s="34">
        <f t="shared" si="149"/>
        <v>0</v>
      </c>
      <c r="U757" s="32">
        <f t="shared" si="150"/>
        <v>0</v>
      </c>
      <c r="V757" s="43"/>
      <c r="W757" s="32">
        <f t="shared" si="143"/>
        <v>0</v>
      </c>
      <c r="X757" s="34">
        <f t="shared" si="144"/>
        <v>0</v>
      </c>
      <c r="Y757" s="30">
        <f t="shared" si="145"/>
        <v>0</v>
      </c>
      <c r="Z757" s="34">
        <f t="shared" si="146"/>
        <v>0</v>
      </c>
      <c r="AA757" s="41">
        <f t="shared" si="147"/>
        <v>0</v>
      </c>
      <c r="AB757" s="31">
        <f t="shared" si="148"/>
        <v>0</v>
      </c>
    </row>
    <row r="758" spans="15:28" x14ac:dyDescent="0.7">
      <c r="O758" s="32" t="str">
        <f t="shared" si="142"/>
        <v/>
      </c>
      <c r="P758" s="21"/>
      <c r="Q758" s="21"/>
      <c r="R758" s="33"/>
      <c r="S758" s="36">
        <f t="shared" si="151"/>
        <v>0</v>
      </c>
      <c r="T758" s="34">
        <f t="shared" si="149"/>
        <v>0</v>
      </c>
      <c r="U758" s="32">
        <f t="shared" si="150"/>
        <v>0</v>
      </c>
      <c r="V758" s="43"/>
      <c r="W758" s="32">
        <f t="shared" si="143"/>
        <v>0</v>
      </c>
      <c r="X758" s="34">
        <f t="shared" si="144"/>
        <v>0</v>
      </c>
      <c r="Y758" s="30">
        <f t="shared" si="145"/>
        <v>0</v>
      </c>
      <c r="Z758" s="34">
        <f t="shared" si="146"/>
        <v>0</v>
      </c>
      <c r="AA758" s="41">
        <f t="shared" si="147"/>
        <v>0</v>
      </c>
      <c r="AB758" s="31">
        <f t="shared" si="148"/>
        <v>0</v>
      </c>
    </row>
    <row r="759" spans="15:28" x14ac:dyDescent="0.7">
      <c r="O759" s="32" t="str">
        <f t="shared" si="142"/>
        <v/>
      </c>
      <c r="P759" s="21"/>
      <c r="Q759" s="21"/>
      <c r="R759" s="33"/>
      <c r="S759" s="36">
        <f t="shared" si="151"/>
        <v>0</v>
      </c>
      <c r="T759" s="34">
        <f t="shared" si="149"/>
        <v>0</v>
      </c>
      <c r="U759" s="32">
        <f t="shared" si="150"/>
        <v>0</v>
      </c>
      <c r="V759" s="43"/>
      <c r="W759" s="32">
        <f t="shared" si="143"/>
        <v>0</v>
      </c>
      <c r="X759" s="34">
        <f t="shared" si="144"/>
        <v>0</v>
      </c>
      <c r="Y759" s="30">
        <f t="shared" si="145"/>
        <v>0</v>
      </c>
      <c r="Z759" s="34">
        <f t="shared" si="146"/>
        <v>0</v>
      </c>
      <c r="AA759" s="41">
        <f t="shared" si="147"/>
        <v>0</v>
      </c>
      <c r="AB759" s="31">
        <f t="shared" si="148"/>
        <v>0</v>
      </c>
    </row>
    <row r="760" spans="15:28" x14ac:dyDescent="0.7">
      <c r="O760" s="32" t="str">
        <f t="shared" si="142"/>
        <v/>
      </c>
      <c r="P760" s="21"/>
      <c r="Q760" s="21"/>
      <c r="R760" s="33"/>
      <c r="S760" s="36">
        <f t="shared" si="151"/>
        <v>0</v>
      </c>
      <c r="T760" s="34">
        <f t="shared" si="149"/>
        <v>0</v>
      </c>
      <c r="U760" s="32">
        <f t="shared" si="150"/>
        <v>0</v>
      </c>
      <c r="V760" s="43"/>
      <c r="W760" s="32">
        <f t="shared" si="143"/>
        <v>0</v>
      </c>
      <c r="X760" s="34">
        <f t="shared" si="144"/>
        <v>0</v>
      </c>
      <c r="Y760" s="30">
        <f t="shared" si="145"/>
        <v>0</v>
      </c>
      <c r="Z760" s="34">
        <f t="shared" si="146"/>
        <v>0</v>
      </c>
      <c r="AA760" s="41">
        <f t="shared" si="147"/>
        <v>0</v>
      </c>
      <c r="AB760" s="31">
        <f t="shared" si="148"/>
        <v>0</v>
      </c>
    </row>
    <row r="761" spans="15:28" x14ac:dyDescent="0.7">
      <c r="O761" s="32" t="str">
        <f t="shared" si="142"/>
        <v/>
      </c>
      <c r="P761" s="21"/>
      <c r="Q761" s="21"/>
      <c r="R761" s="33"/>
      <c r="S761" s="36">
        <f t="shared" si="151"/>
        <v>0</v>
      </c>
      <c r="T761" s="34">
        <f t="shared" si="149"/>
        <v>0</v>
      </c>
      <c r="U761" s="32">
        <f t="shared" si="150"/>
        <v>0</v>
      </c>
      <c r="V761" s="43"/>
      <c r="W761" s="32">
        <f t="shared" si="143"/>
        <v>0</v>
      </c>
      <c r="X761" s="34">
        <f t="shared" si="144"/>
        <v>0</v>
      </c>
      <c r="Y761" s="30">
        <f t="shared" si="145"/>
        <v>0</v>
      </c>
      <c r="Z761" s="34">
        <f t="shared" si="146"/>
        <v>0</v>
      </c>
      <c r="AA761" s="41">
        <f t="shared" si="147"/>
        <v>0</v>
      </c>
      <c r="AB761" s="31">
        <f t="shared" si="148"/>
        <v>0</v>
      </c>
    </row>
    <row r="762" spans="15:28" x14ac:dyDescent="0.7">
      <c r="O762" s="32" t="str">
        <f t="shared" si="142"/>
        <v/>
      </c>
      <c r="P762" s="21"/>
      <c r="Q762" s="21"/>
      <c r="R762" s="33"/>
      <c r="S762" s="36">
        <f t="shared" si="151"/>
        <v>0</v>
      </c>
      <c r="T762" s="34">
        <f t="shared" si="149"/>
        <v>0</v>
      </c>
      <c r="U762" s="32">
        <f t="shared" si="150"/>
        <v>0</v>
      </c>
      <c r="V762" s="43"/>
      <c r="W762" s="32">
        <f t="shared" si="143"/>
        <v>0</v>
      </c>
      <c r="X762" s="34">
        <f t="shared" si="144"/>
        <v>0</v>
      </c>
      <c r="Y762" s="30">
        <f t="shared" si="145"/>
        <v>0</v>
      </c>
      <c r="Z762" s="34">
        <f t="shared" si="146"/>
        <v>0</v>
      </c>
      <c r="AA762" s="41">
        <f t="shared" si="147"/>
        <v>0</v>
      </c>
      <c r="AB762" s="31">
        <f t="shared" si="148"/>
        <v>0</v>
      </c>
    </row>
    <row r="763" spans="15:28" x14ac:dyDescent="0.7">
      <c r="O763" s="32" t="str">
        <f t="shared" si="142"/>
        <v/>
      </c>
      <c r="P763" s="21"/>
      <c r="Q763" s="21"/>
      <c r="R763" s="33"/>
      <c r="S763" s="36">
        <f t="shared" si="151"/>
        <v>0</v>
      </c>
      <c r="T763" s="34">
        <f t="shared" si="149"/>
        <v>0</v>
      </c>
      <c r="U763" s="32">
        <f t="shared" si="150"/>
        <v>0</v>
      </c>
      <c r="V763" s="43"/>
      <c r="W763" s="32">
        <f t="shared" si="143"/>
        <v>0</v>
      </c>
      <c r="X763" s="34">
        <f t="shared" si="144"/>
        <v>0</v>
      </c>
      <c r="Y763" s="30">
        <f t="shared" si="145"/>
        <v>0</v>
      </c>
      <c r="Z763" s="34">
        <f t="shared" si="146"/>
        <v>0</v>
      </c>
      <c r="AA763" s="41">
        <f t="shared" si="147"/>
        <v>0</v>
      </c>
      <c r="AB763" s="31">
        <f t="shared" si="148"/>
        <v>0</v>
      </c>
    </row>
    <row r="764" spans="15:28" x14ac:dyDescent="0.7">
      <c r="O764" s="32" t="str">
        <f t="shared" si="142"/>
        <v/>
      </c>
      <c r="P764" s="21"/>
      <c r="Q764" s="21"/>
      <c r="R764" s="33"/>
      <c r="S764" s="36">
        <f t="shared" si="151"/>
        <v>0</v>
      </c>
      <c r="T764" s="34">
        <f t="shared" si="149"/>
        <v>0</v>
      </c>
      <c r="U764" s="32">
        <f t="shared" si="150"/>
        <v>0</v>
      </c>
      <c r="V764" s="43"/>
      <c r="W764" s="32">
        <f t="shared" si="143"/>
        <v>0</v>
      </c>
      <c r="X764" s="34">
        <f t="shared" si="144"/>
        <v>0</v>
      </c>
      <c r="Y764" s="30">
        <f t="shared" si="145"/>
        <v>0</v>
      </c>
      <c r="Z764" s="34">
        <f t="shared" si="146"/>
        <v>0</v>
      </c>
      <c r="AA764" s="41">
        <f t="shared" si="147"/>
        <v>0</v>
      </c>
      <c r="AB764" s="31">
        <f t="shared" si="148"/>
        <v>0</v>
      </c>
    </row>
    <row r="765" spans="15:28" x14ac:dyDescent="0.7">
      <c r="O765" s="32" t="str">
        <f t="shared" si="142"/>
        <v/>
      </c>
      <c r="P765" s="21"/>
      <c r="Q765" s="21"/>
      <c r="R765" s="33"/>
      <c r="S765" s="36">
        <f t="shared" si="151"/>
        <v>0</v>
      </c>
      <c r="T765" s="34">
        <f t="shared" si="149"/>
        <v>0</v>
      </c>
      <c r="U765" s="32">
        <f t="shared" si="150"/>
        <v>0</v>
      </c>
      <c r="V765" s="43"/>
      <c r="W765" s="32">
        <f t="shared" si="143"/>
        <v>0</v>
      </c>
      <c r="X765" s="34">
        <f t="shared" si="144"/>
        <v>0</v>
      </c>
      <c r="Y765" s="30">
        <f t="shared" si="145"/>
        <v>0</v>
      </c>
      <c r="Z765" s="34">
        <f t="shared" si="146"/>
        <v>0</v>
      </c>
      <c r="AA765" s="41">
        <f t="shared" si="147"/>
        <v>0</v>
      </c>
      <c r="AB765" s="31">
        <f t="shared" si="148"/>
        <v>0</v>
      </c>
    </row>
    <row r="766" spans="15:28" x14ac:dyDescent="0.7">
      <c r="O766" s="32" t="str">
        <f t="shared" si="142"/>
        <v/>
      </c>
      <c r="P766" s="21"/>
      <c r="Q766" s="21"/>
      <c r="R766" s="33"/>
      <c r="S766" s="36">
        <f t="shared" si="151"/>
        <v>0</v>
      </c>
      <c r="T766" s="34">
        <f t="shared" si="149"/>
        <v>0</v>
      </c>
      <c r="U766" s="32">
        <f t="shared" si="150"/>
        <v>0</v>
      </c>
      <c r="V766" s="43"/>
      <c r="W766" s="32">
        <f t="shared" si="143"/>
        <v>0</v>
      </c>
      <c r="X766" s="34">
        <f t="shared" si="144"/>
        <v>0</v>
      </c>
      <c r="Y766" s="30">
        <f t="shared" si="145"/>
        <v>0</v>
      </c>
      <c r="Z766" s="34">
        <f t="shared" si="146"/>
        <v>0</v>
      </c>
      <c r="AA766" s="41">
        <f t="shared" si="147"/>
        <v>0</v>
      </c>
      <c r="AB766" s="31">
        <f t="shared" si="148"/>
        <v>0</v>
      </c>
    </row>
    <row r="767" spans="15:28" x14ac:dyDescent="0.7">
      <c r="O767" s="32" t="str">
        <f t="shared" si="142"/>
        <v/>
      </c>
      <c r="P767" s="21"/>
      <c r="Q767" s="21"/>
      <c r="R767" s="33"/>
      <c r="S767" s="36">
        <f t="shared" si="151"/>
        <v>0</v>
      </c>
      <c r="T767" s="34">
        <f t="shared" si="149"/>
        <v>0</v>
      </c>
      <c r="U767" s="32">
        <f t="shared" si="150"/>
        <v>0</v>
      </c>
      <c r="V767" s="43"/>
      <c r="W767" s="32">
        <f t="shared" si="143"/>
        <v>0</v>
      </c>
      <c r="X767" s="34">
        <f t="shared" si="144"/>
        <v>0</v>
      </c>
      <c r="Y767" s="30">
        <f t="shared" si="145"/>
        <v>0</v>
      </c>
      <c r="Z767" s="34">
        <f t="shared" si="146"/>
        <v>0</v>
      </c>
      <c r="AA767" s="41">
        <f t="shared" si="147"/>
        <v>0</v>
      </c>
      <c r="AB767" s="31">
        <f t="shared" si="148"/>
        <v>0</v>
      </c>
    </row>
    <row r="768" spans="15:28" x14ac:dyDescent="0.7">
      <c r="O768" s="32" t="str">
        <f t="shared" si="142"/>
        <v/>
      </c>
      <c r="P768" s="21"/>
      <c r="Q768" s="21"/>
      <c r="R768" s="33"/>
      <c r="S768" s="36">
        <f t="shared" si="151"/>
        <v>0</v>
      </c>
      <c r="T768" s="34">
        <f t="shared" si="149"/>
        <v>0</v>
      </c>
      <c r="U768" s="32">
        <f t="shared" si="150"/>
        <v>0</v>
      </c>
      <c r="V768" s="43"/>
      <c r="W768" s="32">
        <f t="shared" si="143"/>
        <v>0</v>
      </c>
      <c r="X768" s="34">
        <f t="shared" si="144"/>
        <v>0</v>
      </c>
      <c r="Y768" s="30">
        <f t="shared" si="145"/>
        <v>0</v>
      </c>
      <c r="Z768" s="34">
        <f t="shared" si="146"/>
        <v>0</v>
      </c>
      <c r="AA768" s="41">
        <f t="shared" si="147"/>
        <v>0</v>
      </c>
      <c r="AB768" s="31">
        <f t="shared" si="148"/>
        <v>0</v>
      </c>
    </row>
    <row r="769" spans="15:28" x14ac:dyDescent="0.7">
      <c r="O769" s="32" t="str">
        <f t="shared" si="142"/>
        <v/>
      </c>
      <c r="P769" s="21"/>
      <c r="Q769" s="21"/>
      <c r="R769" s="33"/>
      <c r="S769" s="36">
        <f t="shared" si="151"/>
        <v>0</v>
      </c>
      <c r="T769" s="34">
        <f t="shared" si="149"/>
        <v>0</v>
      </c>
      <c r="U769" s="32">
        <f t="shared" si="150"/>
        <v>0</v>
      </c>
      <c r="V769" s="43"/>
      <c r="W769" s="32">
        <f t="shared" si="143"/>
        <v>0</v>
      </c>
      <c r="X769" s="34">
        <f t="shared" si="144"/>
        <v>0</v>
      </c>
      <c r="Y769" s="30">
        <f t="shared" si="145"/>
        <v>0</v>
      </c>
      <c r="Z769" s="34">
        <f t="shared" si="146"/>
        <v>0</v>
      </c>
      <c r="AA769" s="41">
        <f t="shared" si="147"/>
        <v>0</v>
      </c>
      <c r="AB769" s="31">
        <f t="shared" si="148"/>
        <v>0</v>
      </c>
    </row>
    <row r="770" spans="15:28" x14ac:dyDescent="0.7">
      <c r="O770" s="32" t="str">
        <f t="shared" si="142"/>
        <v/>
      </c>
      <c r="P770" s="21"/>
      <c r="Q770" s="21"/>
      <c r="R770" s="33"/>
      <c r="S770" s="36">
        <f t="shared" si="151"/>
        <v>0</v>
      </c>
      <c r="T770" s="34">
        <f t="shared" si="149"/>
        <v>0</v>
      </c>
      <c r="U770" s="32">
        <f t="shared" si="150"/>
        <v>0</v>
      </c>
      <c r="V770" s="43"/>
      <c r="W770" s="32">
        <f t="shared" si="143"/>
        <v>0</v>
      </c>
      <c r="X770" s="34">
        <f t="shared" si="144"/>
        <v>0</v>
      </c>
      <c r="Y770" s="30">
        <f t="shared" si="145"/>
        <v>0</v>
      </c>
      <c r="Z770" s="34">
        <f t="shared" si="146"/>
        <v>0</v>
      </c>
      <c r="AA770" s="41">
        <f t="shared" si="147"/>
        <v>0</v>
      </c>
      <c r="AB770" s="31">
        <f t="shared" si="148"/>
        <v>0</v>
      </c>
    </row>
    <row r="771" spans="15:28" x14ac:dyDescent="0.7">
      <c r="O771" s="32" t="str">
        <f t="shared" si="142"/>
        <v/>
      </c>
      <c r="P771" s="21"/>
      <c r="Q771" s="21"/>
      <c r="R771" s="33"/>
      <c r="S771" s="36">
        <f t="shared" si="151"/>
        <v>0</v>
      </c>
      <c r="T771" s="34">
        <f t="shared" si="149"/>
        <v>0</v>
      </c>
      <c r="U771" s="32">
        <f t="shared" si="150"/>
        <v>0</v>
      </c>
      <c r="V771" s="43"/>
      <c r="W771" s="32">
        <f t="shared" si="143"/>
        <v>0</v>
      </c>
      <c r="X771" s="34">
        <f t="shared" si="144"/>
        <v>0</v>
      </c>
      <c r="Y771" s="30">
        <f t="shared" si="145"/>
        <v>0</v>
      </c>
      <c r="Z771" s="34">
        <f t="shared" si="146"/>
        <v>0</v>
      </c>
      <c r="AA771" s="41">
        <f t="shared" si="147"/>
        <v>0</v>
      </c>
      <c r="AB771" s="31">
        <f t="shared" si="148"/>
        <v>0</v>
      </c>
    </row>
    <row r="772" spans="15:28" x14ac:dyDescent="0.7">
      <c r="O772" s="32" t="str">
        <f t="shared" si="142"/>
        <v/>
      </c>
      <c r="P772" s="21"/>
      <c r="Q772" s="21"/>
      <c r="R772" s="33"/>
      <c r="S772" s="36">
        <f t="shared" si="151"/>
        <v>0</v>
      </c>
      <c r="T772" s="34">
        <f t="shared" si="149"/>
        <v>0</v>
      </c>
      <c r="U772" s="32">
        <f t="shared" si="150"/>
        <v>0</v>
      </c>
      <c r="V772" s="43"/>
      <c r="W772" s="32">
        <f t="shared" si="143"/>
        <v>0</v>
      </c>
      <c r="X772" s="34">
        <f t="shared" si="144"/>
        <v>0</v>
      </c>
      <c r="Y772" s="30">
        <f t="shared" si="145"/>
        <v>0</v>
      </c>
      <c r="Z772" s="34">
        <f t="shared" si="146"/>
        <v>0</v>
      </c>
      <c r="AA772" s="41">
        <f t="shared" si="147"/>
        <v>0</v>
      </c>
      <c r="AB772" s="31">
        <f t="shared" si="148"/>
        <v>0</v>
      </c>
    </row>
    <row r="773" spans="15:28" x14ac:dyDescent="0.7">
      <c r="O773" s="32" t="str">
        <f t="shared" si="142"/>
        <v/>
      </c>
      <c r="P773" s="21"/>
      <c r="Q773" s="21"/>
      <c r="R773" s="33"/>
      <c r="S773" s="36">
        <f t="shared" si="151"/>
        <v>0</v>
      </c>
      <c r="T773" s="34">
        <f t="shared" si="149"/>
        <v>0</v>
      </c>
      <c r="U773" s="32">
        <f t="shared" si="150"/>
        <v>0</v>
      </c>
      <c r="V773" s="43"/>
      <c r="W773" s="32">
        <f t="shared" si="143"/>
        <v>0</v>
      </c>
      <c r="X773" s="34">
        <f t="shared" si="144"/>
        <v>0</v>
      </c>
      <c r="Y773" s="30">
        <f t="shared" si="145"/>
        <v>0</v>
      </c>
      <c r="Z773" s="34">
        <f t="shared" si="146"/>
        <v>0</v>
      </c>
      <c r="AA773" s="41">
        <f t="shared" si="147"/>
        <v>0</v>
      </c>
      <c r="AB773" s="31">
        <f t="shared" si="148"/>
        <v>0</v>
      </c>
    </row>
    <row r="774" spans="15:28" x14ac:dyDescent="0.7">
      <c r="O774" s="32" t="str">
        <f t="shared" si="142"/>
        <v/>
      </c>
      <c r="P774" s="21"/>
      <c r="Q774" s="21"/>
      <c r="R774" s="33"/>
      <c r="S774" s="36">
        <f t="shared" si="151"/>
        <v>0</v>
      </c>
      <c r="T774" s="34">
        <f t="shared" si="149"/>
        <v>0</v>
      </c>
      <c r="U774" s="32">
        <f t="shared" si="150"/>
        <v>0</v>
      </c>
      <c r="V774" s="43"/>
      <c r="W774" s="32">
        <f t="shared" si="143"/>
        <v>0</v>
      </c>
      <c r="X774" s="34">
        <f t="shared" si="144"/>
        <v>0</v>
      </c>
      <c r="Y774" s="30">
        <f t="shared" si="145"/>
        <v>0</v>
      </c>
      <c r="Z774" s="34">
        <f t="shared" si="146"/>
        <v>0</v>
      </c>
      <c r="AA774" s="41">
        <f t="shared" si="147"/>
        <v>0</v>
      </c>
      <c r="AB774" s="31">
        <f t="shared" si="148"/>
        <v>0</v>
      </c>
    </row>
    <row r="775" spans="15:28" x14ac:dyDescent="0.7">
      <c r="O775" s="32" t="str">
        <f t="shared" si="142"/>
        <v/>
      </c>
      <c r="P775" s="21"/>
      <c r="Q775" s="21"/>
      <c r="R775" s="33"/>
      <c r="S775" s="36">
        <f t="shared" si="151"/>
        <v>0</v>
      </c>
      <c r="T775" s="34">
        <f t="shared" si="149"/>
        <v>0</v>
      </c>
      <c r="U775" s="32">
        <f t="shared" si="150"/>
        <v>0</v>
      </c>
      <c r="V775" s="43"/>
      <c r="W775" s="32">
        <f t="shared" si="143"/>
        <v>0</v>
      </c>
      <c r="X775" s="34">
        <f t="shared" si="144"/>
        <v>0</v>
      </c>
      <c r="Y775" s="30">
        <f t="shared" si="145"/>
        <v>0</v>
      </c>
      <c r="Z775" s="34">
        <f t="shared" si="146"/>
        <v>0</v>
      </c>
      <c r="AA775" s="41">
        <f t="shared" si="147"/>
        <v>0</v>
      </c>
      <c r="AB775" s="31">
        <f t="shared" si="148"/>
        <v>0</v>
      </c>
    </row>
    <row r="776" spans="15:28" x14ac:dyDescent="0.7">
      <c r="O776" s="32" t="str">
        <f t="shared" ref="O776:O839" si="152">IF(P776="","",ROW()-ROW($O$6))</f>
        <v/>
      </c>
      <c r="P776" s="21"/>
      <c r="Q776" s="21"/>
      <c r="R776" s="33"/>
      <c r="S776" s="36">
        <f t="shared" si="151"/>
        <v>0</v>
      </c>
      <c r="T776" s="34">
        <f t="shared" si="149"/>
        <v>0</v>
      </c>
      <c r="U776" s="32">
        <f t="shared" si="150"/>
        <v>0</v>
      </c>
      <c r="V776" s="43"/>
      <c r="W776" s="32">
        <f t="shared" ref="W776:W839" si="153">U776-V776</f>
        <v>0</v>
      </c>
      <c r="X776" s="34">
        <f t="shared" ref="X776:X839" si="154">W776/5440</f>
        <v>0</v>
      </c>
      <c r="Y776" s="30">
        <f t="shared" ref="Y776:Y839" si="155">TRUNC(X776)</f>
        <v>0</v>
      </c>
      <c r="Z776" s="34">
        <f t="shared" ref="Z776:Z839" si="156">(X776-Y776)*20</f>
        <v>0</v>
      </c>
      <c r="AA776" s="41">
        <f t="shared" ref="AA776:AA839" si="157">TRUNC(Z776)</f>
        <v>0</v>
      </c>
      <c r="AB776" s="31">
        <f t="shared" ref="AB776:AB839" si="158">(Z776-AA776)*272</f>
        <v>0</v>
      </c>
    </row>
    <row r="777" spans="15:28" x14ac:dyDescent="0.7">
      <c r="O777" s="32" t="str">
        <f t="shared" si="152"/>
        <v/>
      </c>
      <c r="P777" s="21"/>
      <c r="Q777" s="21"/>
      <c r="R777" s="33"/>
      <c r="S777" s="36">
        <f t="shared" si="151"/>
        <v>0</v>
      </c>
      <c r="T777" s="34">
        <f t="shared" ref="T777:T840" si="159">(S777*R777)/100</f>
        <v>0</v>
      </c>
      <c r="U777" s="32">
        <f t="shared" ref="U777:U840" si="160">R777-T777</f>
        <v>0</v>
      </c>
      <c r="V777" s="43"/>
      <c r="W777" s="32">
        <f t="shared" si="153"/>
        <v>0</v>
      </c>
      <c r="X777" s="34">
        <f t="shared" si="154"/>
        <v>0</v>
      </c>
      <c r="Y777" s="30">
        <f t="shared" si="155"/>
        <v>0</v>
      </c>
      <c r="Z777" s="34">
        <f t="shared" si="156"/>
        <v>0</v>
      </c>
      <c r="AA777" s="41">
        <f t="shared" si="157"/>
        <v>0</v>
      </c>
      <c r="AB777" s="31">
        <f t="shared" si="158"/>
        <v>0</v>
      </c>
    </row>
    <row r="778" spans="15:28" x14ac:dyDescent="0.7">
      <c r="O778" s="32" t="str">
        <f t="shared" si="152"/>
        <v/>
      </c>
      <c r="P778" s="21"/>
      <c r="Q778" s="21"/>
      <c r="R778" s="33"/>
      <c r="S778" s="36">
        <f t="shared" si="151"/>
        <v>0</v>
      </c>
      <c r="T778" s="34">
        <f t="shared" si="159"/>
        <v>0</v>
      </c>
      <c r="U778" s="32">
        <f t="shared" si="160"/>
        <v>0</v>
      </c>
      <c r="V778" s="43"/>
      <c r="W778" s="32">
        <f t="shared" si="153"/>
        <v>0</v>
      </c>
      <c r="X778" s="34">
        <f t="shared" si="154"/>
        <v>0</v>
      </c>
      <c r="Y778" s="30">
        <f t="shared" si="155"/>
        <v>0</v>
      </c>
      <c r="Z778" s="34">
        <f t="shared" si="156"/>
        <v>0</v>
      </c>
      <c r="AA778" s="41">
        <f t="shared" si="157"/>
        <v>0</v>
      </c>
      <c r="AB778" s="31">
        <f t="shared" si="158"/>
        <v>0</v>
      </c>
    </row>
    <row r="779" spans="15:28" x14ac:dyDescent="0.7">
      <c r="O779" s="32" t="str">
        <f t="shared" si="152"/>
        <v/>
      </c>
      <c r="P779" s="21"/>
      <c r="Q779" s="21"/>
      <c r="R779" s="33"/>
      <c r="S779" s="36">
        <f t="shared" ref="S779:S842" si="161">S778</f>
        <v>0</v>
      </c>
      <c r="T779" s="34">
        <f t="shared" si="159"/>
        <v>0</v>
      </c>
      <c r="U779" s="32">
        <f t="shared" si="160"/>
        <v>0</v>
      </c>
      <c r="V779" s="43"/>
      <c r="W779" s="32">
        <f t="shared" si="153"/>
        <v>0</v>
      </c>
      <c r="X779" s="34">
        <f t="shared" si="154"/>
        <v>0</v>
      </c>
      <c r="Y779" s="30">
        <f t="shared" si="155"/>
        <v>0</v>
      </c>
      <c r="Z779" s="34">
        <f t="shared" si="156"/>
        <v>0</v>
      </c>
      <c r="AA779" s="41">
        <f t="shared" si="157"/>
        <v>0</v>
      </c>
      <c r="AB779" s="31">
        <f t="shared" si="158"/>
        <v>0</v>
      </c>
    </row>
    <row r="780" spans="15:28" x14ac:dyDescent="0.7">
      <c r="O780" s="32" t="str">
        <f t="shared" si="152"/>
        <v/>
      </c>
      <c r="P780" s="21"/>
      <c r="Q780" s="21"/>
      <c r="R780" s="33"/>
      <c r="S780" s="36">
        <f t="shared" si="161"/>
        <v>0</v>
      </c>
      <c r="T780" s="34">
        <f t="shared" si="159"/>
        <v>0</v>
      </c>
      <c r="U780" s="32">
        <f t="shared" si="160"/>
        <v>0</v>
      </c>
      <c r="V780" s="43"/>
      <c r="W780" s="32">
        <f t="shared" si="153"/>
        <v>0</v>
      </c>
      <c r="X780" s="34">
        <f t="shared" si="154"/>
        <v>0</v>
      </c>
      <c r="Y780" s="30">
        <f t="shared" si="155"/>
        <v>0</v>
      </c>
      <c r="Z780" s="34">
        <f t="shared" si="156"/>
        <v>0</v>
      </c>
      <c r="AA780" s="41">
        <f t="shared" si="157"/>
        <v>0</v>
      </c>
      <c r="AB780" s="31">
        <f t="shared" si="158"/>
        <v>0</v>
      </c>
    </row>
    <row r="781" spans="15:28" x14ac:dyDescent="0.7">
      <c r="O781" s="32" t="str">
        <f t="shared" si="152"/>
        <v/>
      </c>
      <c r="P781" s="21"/>
      <c r="Q781" s="21"/>
      <c r="R781" s="33"/>
      <c r="S781" s="36">
        <f t="shared" si="161"/>
        <v>0</v>
      </c>
      <c r="T781" s="34">
        <f t="shared" si="159"/>
        <v>0</v>
      </c>
      <c r="U781" s="32">
        <f t="shared" si="160"/>
        <v>0</v>
      </c>
      <c r="V781" s="43"/>
      <c r="W781" s="32">
        <f t="shared" si="153"/>
        <v>0</v>
      </c>
      <c r="X781" s="34">
        <f t="shared" si="154"/>
        <v>0</v>
      </c>
      <c r="Y781" s="30">
        <f t="shared" si="155"/>
        <v>0</v>
      </c>
      <c r="Z781" s="34">
        <f t="shared" si="156"/>
        <v>0</v>
      </c>
      <c r="AA781" s="41">
        <f t="shared" si="157"/>
        <v>0</v>
      </c>
      <c r="AB781" s="31">
        <f t="shared" si="158"/>
        <v>0</v>
      </c>
    </row>
    <row r="782" spans="15:28" x14ac:dyDescent="0.7">
      <c r="O782" s="32" t="str">
        <f t="shared" si="152"/>
        <v/>
      </c>
      <c r="P782" s="21"/>
      <c r="Q782" s="21"/>
      <c r="R782" s="33"/>
      <c r="S782" s="36">
        <f t="shared" si="161"/>
        <v>0</v>
      </c>
      <c r="T782" s="34">
        <f t="shared" si="159"/>
        <v>0</v>
      </c>
      <c r="U782" s="32">
        <f t="shared" si="160"/>
        <v>0</v>
      </c>
      <c r="V782" s="43"/>
      <c r="W782" s="32">
        <f t="shared" si="153"/>
        <v>0</v>
      </c>
      <c r="X782" s="34">
        <f t="shared" si="154"/>
        <v>0</v>
      </c>
      <c r="Y782" s="30">
        <f t="shared" si="155"/>
        <v>0</v>
      </c>
      <c r="Z782" s="34">
        <f t="shared" si="156"/>
        <v>0</v>
      </c>
      <c r="AA782" s="41">
        <f t="shared" si="157"/>
        <v>0</v>
      </c>
      <c r="AB782" s="31">
        <f t="shared" si="158"/>
        <v>0</v>
      </c>
    </row>
    <row r="783" spans="15:28" x14ac:dyDescent="0.7">
      <c r="O783" s="32" t="str">
        <f t="shared" si="152"/>
        <v/>
      </c>
      <c r="P783" s="21"/>
      <c r="Q783" s="21"/>
      <c r="R783" s="33"/>
      <c r="S783" s="36">
        <f t="shared" si="161"/>
        <v>0</v>
      </c>
      <c r="T783" s="34">
        <f t="shared" si="159"/>
        <v>0</v>
      </c>
      <c r="U783" s="32">
        <f t="shared" si="160"/>
        <v>0</v>
      </c>
      <c r="V783" s="43"/>
      <c r="W783" s="32">
        <f t="shared" si="153"/>
        <v>0</v>
      </c>
      <c r="X783" s="34">
        <f t="shared" si="154"/>
        <v>0</v>
      </c>
      <c r="Y783" s="30">
        <f t="shared" si="155"/>
        <v>0</v>
      </c>
      <c r="Z783" s="34">
        <f t="shared" si="156"/>
        <v>0</v>
      </c>
      <c r="AA783" s="41">
        <f t="shared" si="157"/>
        <v>0</v>
      </c>
      <c r="AB783" s="31">
        <f t="shared" si="158"/>
        <v>0</v>
      </c>
    </row>
    <row r="784" spans="15:28" x14ac:dyDescent="0.7">
      <c r="O784" s="32" t="str">
        <f t="shared" si="152"/>
        <v/>
      </c>
      <c r="P784" s="21"/>
      <c r="Q784" s="21"/>
      <c r="R784" s="33"/>
      <c r="S784" s="36">
        <f t="shared" si="161"/>
        <v>0</v>
      </c>
      <c r="T784" s="34">
        <f t="shared" si="159"/>
        <v>0</v>
      </c>
      <c r="U784" s="32">
        <f t="shared" si="160"/>
        <v>0</v>
      </c>
      <c r="V784" s="43"/>
      <c r="W784" s="32">
        <f t="shared" si="153"/>
        <v>0</v>
      </c>
      <c r="X784" s="34">
        <f t="shared" si="154"/>
        <v>0</v>
      </c>
      <c r="Y784" s="30">
        <f t="shared" si="155"/>
        <v>0</v>
      </c>
      <c r="Z784" s="34">
        <f t="shared" si="156"/>
        <v>0</v>
      </c>
      <c r="AA784" s="41">
        <f t="shared" si="157"/>
        <v>0</v>
      </c>
      <c r="AB784" s="31">
        <f t="shared" si="158"/>
        <v>0</v>
      </c>
    </row>
    <row r="785" spans="15:28" x14ac:dyDescent="0.7">
      <c r="O785" s="32" t="str">
        <f t="shared" si="152"/>
        <v/>
      </c>
      <c r="P785" s="21"/>
      <c r="Q785" s="21"/>
      <c r="R785" s="33"/>
      <c r="S785" s="36">
        <f t="shared" si="161"/>
        <v>0</v>
      </c>
      <c r="T785" s="34">
        <f t="shared" si="159"/>
        <v>0</v>
      </c>
      <c r="U785" s="32">
        <f t="shared" si="160"/>
        <v>0</v>
      </c>
      <c r="V785" s="43"/>
      <c r="W785" s="32">
        <f t="shared" si="153"/>
        <v>0</v>
      </c>
      <c r="X785" s="34">
        <f t="shared" si="154"/>
        <v>0</v>
      </c>
      <c r="Y785" s="30">
        <f t="shared" si="155"/>
        <v>0</v>
      </c>
      <c r="Z785" s="34">
        <f t="shared" si="156"/>
        <v>0</v>
      </c>
      <c r="AA785" s="41">
        <f t="shared" si="157"/>
        <v>0</v>
      </c>
      <c r="AB785" s="31">
        <f t="shared" si="158"/>
        <v>0</v>
      </c>
    </row>
    <row r="786" spans="15:28" x14ac:dyDescent="0.7">
      <c r="O786" s="32" t="str">
        <f t="shared" si="152"/>
        <v/>
      </c>
      <c r="P786" s="21"/>
      <c r="Q786" s="21"/>
      <c r="R786" s="33"/>
      <c r="S786" s="36">
        <f t="shared" si="161"/>
        <v>0</v>
      </c>
      <c r="T786" s="34">
        <f t="shared" si="159"/>
        <v>0</v>
      </c>
      <c r="U786" s="32">
        <f t="shared" si="160"/>
        <v>0</v>
      </c>
      <c r="V786" s="43"/>
      <c r="W786" s="32">
        <f t="shared" si="153"/>
        <v>0</v>
      </c>
      <c r="X786" s="34">
        <f t="shared" si="154"/>
        <v>0</v>
      </c>
      <c r="Y786" s="30">
        <f t="shared" si="155"/>
        <v>0</v>
      </c>
      <c r="Z786" s="34">
        <f t="shared" si="156"/>
        <v>0</v>
      </c>
      <c r="AA786" s="41">
        <f t="shared" si="157"/>
        <v>0</v>
      </c>
      <c r="AB786" s="31">
        <f t="shared" si="158"/>
        <v>0</v>
      </c>
    </row>
    <row r="787" spans="15:28" x14ac:dyDescent="0.7">
      <c r="O787" s="32" t="str">
        <f t="shared" si="152"/>
        <v/>
      </c>
      <c r="P787" s="21"/>
      <c r="Q787" s="21"/>
      <c r="R787" s="33"/>
      <c r="S787" s="36">
        <f t="shared" si="161"/>
        <v>0</v>
      </c>
      <c r="T787" s="34">
        <f t="shared" si="159"/>
        <v>0</v>
      </c>
      <c r="U787" s="32">
        <f t="shared" si="160"/>
        <v>0</v>
      </c>
      <c r="V787" s="43"/>
      <c r="W787" s="32">
        <f t="shared" si="153"/>
        <v>0</v>
      </c>
      <c r="X787" s="34">
        <f t="shared" si="154"/>
        <v>0</v>
      </c>
      <c r="Y787" s="30">
        <f t="shared" si="155"/>
        <v>0</v>
      </c>
      <c r="Z787" s="34">
        <f t="shared" si="156"/>
        <v>0</v>
      </c>
      <c r="AA787" s="41">
        <f t="shared" si="157"/>
        <v>0</v>
      </c>
      <c r="AB787" s="31">
        <f t="shared" si="158"/>
        <v>0</v>
      </c>
    </row>
    <row r="788" spans="15:28" x14ac:dyDescent="0.7">
      <c r="O788" s="32" t="str">
        <f t="shared" si="152"/>
        <v/>
      </c>
      <c r="P788" s="21"/>
      <c r="Q788" s="21"/>
      <c r="R788" s="33"/>
      <c r="S788" s="36">
        <f t="shared" si="161"/>
        <v>0</v>
      </c>
      <c r="T788" s="34">
        <f t="shared" si="159"/>
        <v>0</v>
      </c>
      <c r="U788" s="32">
        <f t="shared" si="160"/>
        <v>0</v>
      </c>
      <c r="V788" s="43"/>
      <c r="W788" s="32">
        <f t="shared" si="153"/>
        <v>0</v>
      </c>
      <c r="X788" s="34">
        <f t="shared" si="154"/>
        <v>0</v>
      </c>
      <c r="Y788" s="30">
        <f t="shared" si="155"/>
        <v>0</v>
      </c>
      <c r="Z788" s="34">
        <f t="shared" si="156"/>
        <v>0</v>
      </c>
      <c r="AA788" s="41">
        <f t="shared" si="157"/>
        <v>0</v>
      </c>
      <c r="AB788" s="31">
        <f t="shared" si="158"/>
        <v>0</v>
      </c>
    </row>
    <row r="789" spans="15:28" x14ac:dyDescent="0.7">
      <c r="O789" s="32" t="str">
        <f t="shared" si="152"/>
        <v/>
      </c>
      <c r="P789" s="21"/>
      <c r="Q789" s="21"/>
      <c r="R789" s="33"/>
      <c r="S789" s="36">
        <f t="shared" si="161"/>
        <v>0</v>
      </c>
      <c r="T789" s="34">
        <f t="shared" si="159"/>
        <v>0</v>
      </c>
      <c r="U789" s="32">
        <f t="shared" si="160"/>
        <v>0</v>
      </c>
      <c r="V789" s="43"/>
      <c r="W789" s="32">
        <f t="shared" si="153"/>
        <v>0</v>
      </c>
      <c r="X789" s="34">
        <f t="shared" si="154"/>
        <v>0</v>
      </c>
      <c r="Y789" s="30">
        <f t="shared" si="155"/>
        <v>0</v>
      </c>
      <c r="Z789" s="34">
        <f t="shared" si="156"/>
        <v>0</v>
      </c>
      <c r="AA789" s="41">
        <f t="shared" si="157"/>
        <v>0</v>
      </c>
      <c r="AB789" s="31">
        <f t="shared" si="158"/>
        <v>0</v>
      </c>
    </row>
    <row r="790" spans="15:28" x14ac:dyDescent="0.7">
      <c r="O790" s="32" t="str">
        <f t="shared" si="152"/>
        <v/>
      </c>
      <c r="P790" s="21"/>
      <c r="Q790" s="21"/>
      <c r="R790" s="33"/>
      <c r="S790" s="36">
        <f t="shared" si="161"/>
        <v>0</v>
      </c>
      <c r="T790" s="34">
        <f t="shared" si="159"/>
        <v>0</v>
      </c>
      <c r="U790" s="32">
        <f t="shared" si="160"/>
        <v>0</v>
      </c>
      <c r="V790" s="43"/>
      <c r="W790" s="32">
        <f t="shared" si="153"/>
        <v>0</v>
      </c>
      <c r="X790" s="34">
        <f t="shared" si="154"/>
        <v>0</v>
      </c>
      <c r="Y790" s="30">
        <f t="shared" si="155"/>
        <v>0</v>
      </c>
      <c r="Z790" s="34">
        <f t="shared" si="156"/>
        <v>0</v>
      </c>
      <c r="AA790" s="41">
        <f t="shared" si="157"/>
        <v>0</v>
      </c>
      <c r="AB790" s="31">
        <f t="shared" si="158"/>
        <v>0</v>
      </c>
    </row>
    <row r="791" spans="15:28" x14ac:dyDescent="0.7">
      <c r="O791" s="32" t="str">
        <f t="shared" si="152"/>
        <v/>
      </c>
      <c r="P791" s="21"/>
      <c r="Q791" s="21"/>
      <c r="R791" s="33"/>
      <c r="S791" s="36">
        <f t="shared" si="161"/>
        <v>0</v>
      </c>
      <c r="T791" s="34">
        <f t="shared" si="159"/>
        <v>0</v>
      </c>
      <c r="U791" s="32">
        <f t="shared" si="160"/>
        <v>0</v>
      </c>
      <c r="V791" s="43"/>
      <c r="W791" s="32">
        <f t="shared" si="153"/>
        <v>0</v>
      </c>
      <c r="X791" s="34">
        <f t="shared" si="154"/>
        <v>0</v>
      </c>
      <c r="Y791" s="30">
        <f t="shared" si="155"/>
        <v>0</v>
      </c>
      <c r="Z791" s="34">
        <f t="shared" si="156"/>
        <v>0</v>
      </c>
      <c r="AA791" s="41">
        <f t="shared" si="157"/>
        <v>0</v>
      </c>
      <c r="AB791" s="31">
        <f t="shared" si="158"/>
        <v>0</v>
      </c>
    </row>
    <row r="792" spans="15:28" x14ac:dyDescent="0.7">
      <c r="O792" s="32" t="str">
        <f t="shared" si="152"/>
        <v/>
      </c>
      <c r="P792" s="21"/>
      <c r="Q792" s="21"/>
      <c r="R792" s="33"/>
      <c r="S792" s="36">
        <f t="shared" si="161"/>
        <v>0</v>
      </c>
      <c r="T792" s="34">
        <f t="shared" si="159"/>
        <v>0</v>
      </c>
      <c r="U792" s="32">
        <f t="shared" si="160"/>
        <v>0</v>
      </c>
      <c r="V792" s="43"/>
      <c r="W792" s="32">
        <f t="shared" si="153"/>
        <v>0</v>
      </c>
      <c r="X792" s="34">
        <f t="shared" si="154"/>
        <v>0</v>
      </c>
      <c r="Y792" s="30">
        <f t="shared" si="155"/>
        <v>0</v>
      </c>
      <c r="Z792" s="34">
        <f t="shared" si="156"/>
        <v>0</v>
      </c>
      <c r="AA792" s="41">
        <f t="shared" si="157"/>
        <v>0</v>
      </c>
      <c r="AB792" s="31">
        <f t="shared" si="158"/>
        <v>0</v>
      </c>
    </row>
    <row r="793" spans="15:28" x14ac:dyDescent="0.7">
      <c r="O793" s="32" t="str">
        <f t="shared" si="152"/>
        <v/>
      </c>
      <c r="P793" s="21"/>
      <c r="Q793" s="21"/>
      <c r="R793" s="33"/>
      <c r="S793" s="36">
        <f t="shared" si="161"/>
        <v>0</v>
      </c>
      <c r="T793" s="34">
        <f t="shared" si="159"/>
        <v>0</v>
      </c>
      <c r="U793" s="32">
        <f t="shared" si="160"/>
        <v>0</v>
      </c>
      <c r="V793" s="43"/>
      <c r="W793" s="32">
        <f t="shared" si="153"/>
        <v>0</v>
      </c>
      <c r="X793" s="34">
        <f t="shared" si="154"/>
        <v>0</v>
      </c>
      <c r="Y793" s="30">
        <f t="shared" si="155"/>
        <v>0</v>
      </c>
      <c r="Z793" s="34">
        <f t="shared" si="156"/>
        <v>0</v>
      </c>
      <c r="AA793" s="41">
        <f t="shared" si="157"/>
        <v>0</v>
      </c>
      <c r="AB793" s="31">
        <f t="shared" si="158"/>
        <v>0</v>
      </c>
    </row>
    <row r="794" spans="15:28" x14ac:dyDescent="0.7">
      <c r="O794" s="32" t="str">
        <f t="shared" si="152"/>
        <v/>
      </c>
      <c r="P794" s="21"/>
      <c r="Q794" s="21"/>
      <c r="R794" s="33"/>
      <c r="S794" s="36">
        <f t="shared" si="161"/>
        <v>0</v>
      </c>
      <c r="T794" s="34">
        <f t="shared" si="159"/>
        <v>0</v>
      </c>
      <c r="U794" s="32">
        <f t="shared" si="160"/>
        <v>0</v>
      </c>
      <c r="V794" s="43"/>
      <c r="W794" s="32">
        <f t="shared" si="153"/>
        <v>0</v>
      </c>
      <c r="X794" s="34">
        <f t="shared" si="154"/>
        <v>0</v>
      </c>
      <c r="Y794" s="30">
        <f t="shared" si="155"/>
        <v>0</v>
      </c>
      <c r="Z794" s="34">
        <f t="shared" si="156"/>
        <v>0</v>
      </c>
      <c r="AA794" s="41">
        <f t="shared" si="157"/>
        <v>0</v>
      </c>
      <c r="AB794" s="31">
        <f t="shared" si="158"/>
        <v>0</v>
      </c>
    </row>
    <row r="795" spans="15:28" x14ac:dyDescent="0.7">
      <c r="O795" s="32" t="str">
        <f t="shared" si="152"/>
        <v/>
      </c>
      <c r="P795" s="21"/>
      <c r="Q795" s="21"/>
      <c r="R795" s="33"/>
      <c r="S795" s="36">
        <f t="shared" si="161"/>
        <v>0</v>
      </c>
      <c r="T795" s="34">
        <f t="shared" si="159"/>
        <v>0</v>
      </c>
      <c r="U795" s="32">
        <f t="shared" si="160"/>
        <v>0</v>
      </c>
      <c r="V795" s="43"/>
      <c r="W795" s="32">
        <f t="shared" si="153"/>
        <v>0</v>
      </c>
      <c r="X795" s="34">
        <f t="shared" si="154"/>
        <v>0</v>
      </c>
      <c r="Y795" s="30">
        <f t="shared" si="155"/>
        <v>0</v>
      </c>
      <c r="Z795" s="34">
        <f t="shared" si="156"/>
        <v>0</v>
      </c>
      <c r="AA795" s="41">
        <f t="shared" si="157"/>
        <v>0</v>
      </c>
      <c r="AB795" s="31">
        <f t="shared" si="158"/>
        <v>0</v>
      </c>
    </row>
    <row r="796" spans="15:28" x14ac:dyDescent="0.7">
      <c r="O796" s="32" t="str">
        <f t="shared" si="152"/>
        <v/>
      </c>
      <c r="P796" s="21"/>
      <c r="Q796" s="21"/>
      <c r="R796" s="33"/>
      <c r="S796" s="36">
        <f t="shared" si="161"/>
        <v>0</v>
      </c>
      <c r="T796" s="34">
        <f t="shared" si="159"/>
        <v>0</v>
      </c>
      <c r="U796" s="32">
        <f t="shared" si="160"/>
        <v>0</v>
      </c>
      <c r="V796" s="43"/>
      <c r="W796" s="32">
        <f t="shared" si="153"/>
        <v>0</v>
      </c>
      <c r="X796" s="34">
        <f t="shared" si="154"/>
        <v>0</v>
      </c>
      <c r="Y796" s="30">
        <f t="shared" si="155"/>
        <v>0</v>
      </c>
      <c r="Z796" s="34">
        <f t="shared" si="156"/>
        <v>0</v>
      </c>
      <c r="AA796" s="41">
        <f t="shared" si="157"/>
        <v>0</v>
      </c>
      <c r="AB796" s="31">
        <f t="shared" si="158"/>
        <v>0</v>
      </c>
    </row>
    <row r="797" spans="15:28" x14ac:dyDescent="0.7">
      <c r="O797" s="32" t="str">
        <f t="shared" si="152"/>
        <v/>
      </c>
      <c r="P797" s="21"/>
      <c r="Q797" s="21"/>
      <c r="R797" s="33"/>
      <c r="S797" s="36">
        <f t="shared" si="161"/>
        <v>0</v>
      </c>
      <c r="T797" s="34">
        <f t="shared" si="159"/>
        <v>0</v>
      </c>
      <c r="U797" s="32">
        <f t="shared" si="160"/>
        <v>0</v>
      </c>
      <c r="V797" s="43"/>
      <c r="W797" s="32">
        <f t="shared" si="153"/>
        <v>0</v>
      </c>
      <c r="X797" s="34">
        <f t="shared" si="154"/>
        <v>0</v>
      </c>
      <c r="Y797" s="30">
        <f t="shared" si="155"/>
        <v>0</v>
      </c>
      <c r="Z797" s="34">
        <f t="shared" si="156"/>
        <v>0</v>
      </c>
      <c r="AA797" s="41">
        <f t="shared" si="157"/>
        <v>0</v>
      </c>
      <c r="AB797" s="31">
        <f t="shared" si="158"/>
        <v>0</v>
      </c>
    </row>
    <row r="798" spans="15:28" x14ac:dyDescent="0.7">
      <c r="O798" s="32" t="str">
        <f t="shared" si="152"/>
        <v/>
      </c>
      <c r="P798" s="21"/>
      <c r="Q798" s="21"/>
      <c r="R798" s="33"/>
      <c r="S798" s="36">
        <f t="shared" si="161"/>
        <v>0</v>
      </c>
      <c r="T798" s="34">
        <f t="shared" si="159"/>
        <v>0</v>
      </c>
      <c r="U798" s="32">
        <f t="shared" si="160"/>
        <v>0</v>
      </c>
      <c r="V798" s="43"/>
      <c r="W798" s="32">
        <f t="shared" si="153"/>
        <v>0</v>
      </c>
      <c r="X798" s="34">
        <f t="shared" si="154"/>
        <v>0</v>
      </c>
      <c r="Y798" s="30">
        <f t="shared" si="155"/>
        <v>0</v>
      </c>
      <c r="Z798" s="34">
        <f t="shared" si="156"/>
        <v>0</v>
      </c>
      <c r="AA798" s="41">
        <f t="shared" si="157"/>
        <v>0</v>
      </c>
      <c r="AB798" s="31">
        <f t="shared" si="158"/>
        <v>0</v>
      </c>
    </row>
    <row r="799" spans="15:28" x14ac:dyDescent="0.7">
      <c r="O799" s="32" t="str">
        <f t="shared" si="152"/>
        <v/>
      </c>
      <c r="P799" s="21"/>
      <c r="Q799" s="21"/>
      <c r="R799" s="33"/>
      <c r="S799" s="36">
        <f t="shared" si="161"/>
        <v>0</v>
      </c>
      <c r="T799" s="34">
        <f t="shared" si="159"/>
        <v>0</v>
      </c>
      <c r="U799" s="32">
        <f t="shared" si="160"/>
        <v>0</v>
      </c>
      <c r="V799" s="43"/>
      <c r="W799" s="32">
        <f t="shared" si="153"/>
        <v>0</v>
      </c>
      <c r="X799" s="34">
        <f t="shared" si="154"/>
        <v>0</v>
      </c>
      <c r="Y799" s="30">
        <f t="shared" si="155"/>
        <v>0</v>
      </c>
      <c r="Z799" s="34">
        <f t="shared" si="156"/>
        <v>0</v>
      </c>
      <c r="AA799" s="41">
        <f t="shared" si="157"/>
        <v>0</v>
      </c>
      <c r="AB799" s="31">
        <f t="shared" si="158"/>
        <v>0</v>
      </c>
    </row>
    <row r="800" spans="15:28" x14ac:dyDescent="0.7">
      <c r="O800" s="32" t="str">
        <f t="shared" si="152"/>
        <v/>
      </c>
      <c r="P800" s="21"/>
      <c r="Q800" s="21"/>
      <c r="R800" s="33"/>
      <c r="S800" s="36">
        <f t="shared" si="161"/>
        <v>0</v>
      </c>
      <c r="T800" s="34">
        <f t="shared" si="159"/>
        <v>0</v>
      </c>
      <c r="U800" s="32">
        <f t="shared" si="160"/>
        <v>0</v>
      </c>
      <c r="V800" s="43"/>
      <c r="W800" s="32">
        <f t="shared" si="153"/>
        <v>0</v>
      </c>
      <c r="X800" s="34">
        <f t="shared" si="154"/>
        <v>0</v>
      </c>
      <c r="Y800" s="30">
        <f t="shared" si="155"/>
        <v>0</v>
      </c>
      <c r="Z800" s="34">
        <f t="shared" si="156"/>
        <v>0</v>
      </c>
      <c r="AA800" s="41">
        <f t="shared" si="157"/>
        <v>0</v>
      </c>
      <c r="AB800" s="31">
        <f t="shared" si="158"/>
        <v>0</v>
      </c>
    </row>
    <row r="801" spans="15:28" x14ac:dyDescent="0.7">
      <c r="O801" s="32" t="str">
        <f t="shared" si="152"/>
        <v/>
      </c>
      <c r="P801" s="21"/>
      <c r="Q801" s="21"/>
      <c r="R801" s="33"/>
      <c r="S801" s="36">
        <f t="shared" si="161"/>
        <v>0</v>
      </c>
      <c r="T801" s="34">
        <f t="shared" si="159"/>
        <v>0</v>
      </c>
      <c r="U801" s="32">
        <f t="shared" si="160"/>
        <v>0</v>
      </c>
      <c r="V801" s="43"/>
      <c r="W801" s="32">
        <f t="shared" si="153"/>
        <v>0</v>
      </c>
      <c r="X801" s="34">
        <f t="shared" si="154"/>
        <v>0</v>
      </c>
      <c r="Y801" s="30">
        <f t="shared" si="155"/>
        <v>0</v>
      </c>
      <c r="Z801" s="34">
        <f t="shared" si="156"/>
        <v>0</v>
      </c>
      <c r="AA801" s="41">
        <f t="shared" si="157"/>
        <v>0</v>
      </c>
      <c r="AB801" s="31">
        <f t="shared" si="158"/>
        <v>0</v>
      </c>
    </row>
    <row r="802" spans="15:28" x14ac:dyDescent="0.7">
      <c r="O802" s="32" t="str">
        <f t="shared" si="152"/>
        <v/>
      </c>
      <c r="P802" s="21"/>
      <c r="Q802" s="21"/>
      <c r="R802" s="33"/>
      <c r="S802" s="36">
        <f t="shared" si="161"/>
        <v>0</v>
      </c>
      <c r="T802" s="34">
        <f t="shared" si="159"/>
        <v>0</v>
      </c>
      <c r="U802" s="32">
        <f t="shared" si="160"/>
        <v>0</v>
      </c>
      <c r="V802" s="43"/>
      <c r="W802" s="32">
        <f t="shared" si="153"/>
        <v>0</v>
      </c>
      <c r="X802" s="34">
        <f t="shared" si="154"/>
        <v>0</v>
      </c>
      <c r="Y802" s="30">
        <f t="shared" si="155"/>
        <v>0</v>
      </c>
      <c r="Z802" s="34">
        <f t="shared" si="156"/>
        <v>0</v>
      </c>
      <c r="AA802" s="41">
        <f t="shared" si="157"/>
        <v>0</v>
      </c>
      <c r="AB802" s="31">
        <f t="shared" si="158"/>
        <v>0</v>
      </c>
    </row>
    <row r="803" spans="15:28" x14ac:dyDescent="0.7">
      <c r="O803" s="32" t="str">
        <f t="shared" si="152"/>
        <v/>
      </c>
      <c r="P803" s="21"/>
      <c r="Q803" s="21"/>
      <c r="R803" s="33"/>
      <c r="S803" s="36">
        <f t="shared" si="161"/>
        <v>0</v>
      </c>
      <c r="T803" s="34">
        <f t="shared" si="159"/>
        <v>0</v>
      </c>
      <c r="U803" s="32">
        <f t="shared" si="160"/>
        <v>0</v>
      </c>
      <c r="V803" s="43"/>
      <c r="W803" s="32">
        <f t="shared" si="153"/>
        <v>0</v>
      </c>
      <c r="X803" s="34">
        <f t="shared" si="154"/>
        <v>0</v>
      </c>
      <c r="Y803" s="30">
        <f t="shared" si="155"/>
        <v>0</v>
      </c>
      <c r="Z803" s="34">
        <f t="shared" si="156"/>
        <v>0</v>
      </c>
      <c r="AA803" s="41">
        <f t="shared" si="157"/>
        <v>0</v>
      </c>
      <c r="AB803" s="31">
        <f t="shared" si="158"/>
        <v>0</v>
      </c>
    </row>
    <row r="804" spans="15:28" x14ac:dyDescent="0.7">
      <c r="O804" s="32" t="str">
        <f t="shared" si="152"/>
        <v/>
      </c>
      <c r="P804" s="21"/>
      <c r="Q804" s="21"/>
      <c r="R804" s="33"/>
      <c r="S804" s="36">
        <f t="shared" si="161"/>
        <v>0</v>
      </c>
      <c r="T804" s="34">
        <f t="shared" si="159"/>
        <v>0</v>
      </c>
      <c r="U804" s="32">
        <f t="shared" si="160"/>
        <v>0</v>
      </c>
      <c r="V804" s="43"/>
      <c r="W804" s="32">
        <f t="shared" si="153"/>
        <v>0</v>
      </c>
      <c r="X804" s="34">
        <f t="shared" si="154"/>
        <v>0</v>
      </c>
      <c r="Y804" s="30">
        <f t="shared" si="155"/>
        <v>0</v>
      </c>
      <c r="Z804" s="34">
        <f t="shared" si="156"/>
        <v>0</v>
      </c>
      <c r="AA804" s="41">
        <f t="shared" si="157"/>
        <v>0</v>
      </c>
      <c r="AB804" s="31">
        <f t="shared" si="158"/>
        <v>0</v>
      </c>
    </row>
    <row r="805" spans="15:28" x14ac:dyDescent="0.7">
      <c r="O805" s="32" t="str">
        <f t="shared" si="152"/>
        <v/>
      </c>
      <c r="P805" s="21"/>
      <c r="Q805" s="21"/>
      <c r="R805" s="33"/>
      <c r="S805" s="36">
        <f t="shared" si="161"/>
        <v>0</v>
      </c>
      <c r="T805" s="34">
        <f t="shared" si="159"/>
        <v>0</v>
      </c>
      <c r="U805" s="32">
        <f t="shared" si="160"/>
        <v>0</v>
      </c>
      <c r="V805" s="43"/>
      <c r="W805" s="32">
        <f t="shared" si="153"/>
        <v>0</v>
      </c>
      <c r="X805" s="34">
        <f t="shared" si="154"/>
        <v>0</v>
      </c>
      <c r="Y805" s="30">
        <f t="shared" si="155"/>
        <v>0</v>
      </c>
      <c r="Z805" s="34">
        <f t="shared" si="156"/>
        <v>0</v>
      </c>
      <c r="AA805" s="41">
        <f t="shared" si="157"/>
        <v>0</v>
      </c>
      <c r="AB805" s="31">
        <f t="shared" si="158"/>
        <v>0</v>
      </c>
    </row>
    <row r="806" spans="15:28" x14ac:dyDescent="0.7">
      <c r="O806" s="32" t="str">
        <f t="shared" si="152"/>
        <v/>
      </c>
      <c r="P806" s="21"/>
      <c r="Q806" s="21"/>
      <c r="R806" s="33"/>
      <c r="S806" s="36">
        <f t="shared" si="161"/>
        <v>0</v>
      </c>
      <c r="T806" s="34">
        <f t="shared" si="159"/>
        <v>0</v>
      </c>
      <c r="U806" s="32">
        <f t="shared" si="160"/>
        <v>0</v>
      </c>
      <c r="V806" s="43"/>
      <c r="W806" s="32">
        <f t="shared" si="153"/>
        <v>0</v>
      </c>
      <c r="X806" s="34">
        <f t="shared" si="154"/>
        <v>0</v>
      </c>
      <c r="Y806" s="30">
        <f t="shared" si="155"/>
        <v>0</v>
      </c>
      <c r="Z806" s="34">
        <f t="shared" si="156"/>
        <v>0</v>
      </c>
      <c r="AA806" s="41">
        <f t="shared" si="157"/>
        <v>0</v>
      </c>
      <c r="AB806" s="31">
        <f t="shared" si="158"/>
        <v>0</v>
      </c>
    </row>
    <row r="807" spans="15:28" x14ac:dyDescent="0.7">
      <c r="O807" s="32" t="str">
        <f t="shared" si="152"/>
        <v/>
      </c>
      <c r="P807" s="21"/>
      <c r="Q807" s="21"/>
      <c r="R807" s="33"/>
      <c r="S807" s="36">
        <f t="shared" si="161"/>
        <v>0</v>
      </c>
      <c r="T807" s="34">
        <f t="shared" si="159"/>
        <v>0</v>
      </c>
      <c r="U807" s="32">
        <f t="shared" si="160"/>
        <v>0</v>
      </c>
      <c r="V807" s="43"/>
      <c r="W807" s="32">
        <f t="shared" si="153"/>
        <v>0</v>
      </c>
      <c r="X807" s="34">
        <f t="shared" si="154"/>
        <v>0</v>
      </c>
      <c r="Y807" s="30">
        <f t="shared" si="155"/>
        <v>0</v>
      </c>
      <c r="Z807" s="34">
        <f t="shared" si="156"/>
        <v>0</v>
      </c>
      <c r="AA807" s="41">
        <f t="shared" si="157"/>
        <v>0</v>
      </c>
      <c r="AB807" s="31">
        <f t="shared" si="158"/>
        <v>0</v>
      </c>
    </row>
    <row r="808" spans="15:28" x14ac:dyDescent="0.7">
      <c r="O808" s="32" t="str">
        <f t="shared" si="152"/>
        <v/>
      </c>
      <c r="P808" s="21"/>
      <c r="Q808" s="21"/>
      <c r="R808" s="33"/>
      <c r="S808" s="36">
        <f t="shared" si="161"/>
        <v>0</v>
      </c>
      <c r="T808" s="34">
        <f t="shared" si="159"/>
        <v>0</v>
      </c>
      <c r="U808" s="32">
        <f t="shared" si="160"/>
        <v>0</v>
      </c>
      <c r="V808" s="43"/>
      <c r="W808" s="32">
        <f t="shared" si="153"/>
        <v>0</v>
      </c>
      <c r="X808" s="34">
        <f t="shared" si="154"/>
        <v>0</v>
      </c>
      <c r="Y808" s="30">
        <f t="shared" si="155"/>
        <v>0</v>
      </c>
      <c r="Z808" s="34">
        <f t="shared" si="156"/>
        <v>0</v>
      </c>
      <c r="AA808" s="41">
        <f t="shared" si="157"/>
        <v>0</v>
      </c>
      <c r="AB808" s="31">
        <f t="shared" si="158"/>
        <v>0</v>
      </c>
    </row>
    <row r="809" spans="15:28" x14ac:dyDescent="0.7">
      <c r="O809" s="32" t="str">
        <f t="shared" si="152"/>
        <v/>
      </c>
      <c r="P809" s="21"/>
      <c r="Q809" s="21"/>
      <c r="R809" s="33"/>
      <c r="S809" s="36">
        <f t="shared" si="161"/>
        <v>0</v>
      </c>
      <c r="T809" s="34">
        <f t="shared" si="159"/>
        <v>0</v>
      </c>
      <c r="U809" s="32">
        <f t="shared" si="160"/>
        <v>0</v>
      </c>
      <c r="V809" s="43"/>
      <c r="W809" s="32">
        <f t="shared" si="153"/>
        <v>0</v>
      </c>
      <c r="X809" s="34">
        <f t="shared" si="154"/>
        <v>0</v>
      </c>
      <c r="Y809" s="30">
        <f t="shared" si="155"/>
        <v>0</v>
      </c>
      <c r="Z809" s="34">
        <f t="shared" si="156"/>
        <v>0</v>
      </c>
      <c r="AA809" s="41">
        <f t="shared" si="157"/>
        <v>0</v>
      </c>
      <c r="AB809" s="31">
        <f t="shared" si="158"/>
        <v>0</v>
      </c>
    </row>
    <row r="810" spans="15:28" x14ac:dyDescent="0.7">
      <c r="O810" s="32" t="str">
        <f t="shared" si="152"/>
        <v/>
      </c>
      <c r="P810" s="21"/>
      <c r="Q810" s="21"/>
      <c r="R810" s="33"/>
      <c r="S810" s="36">
        <f t="shared" si="161"/>
        <v>0</v>
      </c>
      <c r="T810" s="34">
        <f t="shared" si="159"/>
        <v>0</v>
      </c>
      <c r="U810" s="32">
        <f t="shared" si="160"/>
        <v>0</v>
      </c>
      <c r="V810" s="43"/>
      <c r="W810" s="32">
        <f t="shared" si="153"/>
        <v>0</v>
      </c>
      <c r="X810" s="34">
        <f t="shared" si="154"/>
        <v>0</v>
      </c>
      <c r="Y810" s="30">
        <f t="shared" si="155"/>
        <v>0</v>
      </c>
      <c r="Z810" s="34">
        <f t="shared" si="156"/>
        <v>0</v>
      </c>
      <c r="AA810" s="41">
        <f t="shared" si="157"/>
        <v>0</v>
      </c>
      <c r="AB810" s="31">
        <f t="shared" si="158"/>
        <v>0</v>
      </c>
    </row>
    <row r="811" spans="15:28" x14ac:dyDescent="0.7">
      <c r="O811" s="32" t="str">
        <f t="shared" si="152"/>
        <v/>
      </c>
      <c r="P811" s="21"/>
      <c r="Q811" s="21"/>
      <c r="R811" s="33"/>
      <c r="S811" s="36">
        <f t="shared" si="161"/>
        <v>0</v>
      </c>
      <c r="T811" s="34">
        <f t="shared" si="159"/>
        <v>0</v>
      </c>
      <c r="U811" s="32">
        <f t="shared" si="160"/>
        <v>0</v>
      </c>
      <c r="V811" s="43"/>
      <c r="W811" s="32">
        <f t="shared" si="153"/>
        <v>0</v>
      </c>
      <c r="X811" s="34">
        <f t="shared" si="154"/>
        <v>0</v>
      </c>
      <c r="Y811" s="30">
        <f t="shared" si="155"/>
        <v>0</v>
      </c>
      <c r="Z811" s="34">
        <f t="shared" si="156"/>
        <v>0</v>
      </c>
      <c r="AA811" s="41">
        <f t="shared" si="157"/>
        <v>0</v>
      </c>
      <c r="AB811" s="31">
        <f t="shared" si="158"/>
        <v>0</v>
      </c>
    </row>
    <row r="812" spans="15:28" x14ac:dyDescent="0.7">
      <c r="O812" s="32" t="str">
        <f t="shared" si="152"/>
        <v/>
      </c>
      <c r="P812" s="21"/>
      <c r="Q812" s="21"/>
      <c r="R812" s="33"/>
      <c r="S812" s="36">
        <f t="shared" si="161"/>
        <v>0</v>
      </c>
      <c r="T812" s="34">
        <f t="shared" si="159"/>
        <v>0</v>
      </c>
      <c r="U812" s="32">
        <f t="shared" si="160"/>
        <v>0</v>
      </c>
      <c r="V812" s="43"/>
      <c r="W812" s="32">
        <f t="shared" si="153"/>
        <v>0</v>
      </c>
      <c r="X812" s="34">
        <f t="shared" si="154"/>
        <v>0</v>
      </c>
      <c r="Y812" s="30">
        <f t="shared" si="155"/>
        <v>0</v>
      </c>
      <c r="Z812" s="34">
        <f t="shared" si="156"/>
        <v>0</v>
      </c>
      <c r="AA812" s="41">
        <f t="shared" si="157"/>
        <v>0</v>
      </c>
      <c r="AB812" s="31">
        <f t="shared" si="158"/>
        <v>0</v>
      </c>
    </row>
    <row r="813" spans="15:28" x14ac:dyDescent="0.7">
      <c r="O813" s="32" t="str">
        <f t="shared" si="152"/>
        <v/>
      </c>
      <c r="P813" s="21"/>
      <c r="Q813" s="21"/>
      <c r="R813" s="33"/>
      <c r="S813" s="36">
        <f t="shared" si="161"/>
        <v>0</v>
      </c>
      <c r="T813" s="34">
        <f t="shared" si="159"/>
        <v>0</v>
      </c>
      <c r="U813" s="32">
        <f t="shared" si="160"/>
        <v>0</v>
      </c>
      <c r="V813" s="43"/>
      <c r="W813" s="32">
        <f t="shared" si="153"/>
        <v>0</v>
      </c>
      <c r="X813" s="34">
        <f t="shared" si="154"/>
        <v>0</v>
      </c>
      <c r="Y813" s="30">
        <f t="shared" si="155"/>
        <v>0</v>
      </c>
      <c r="Z813" s="34">
        <f t="shared" si="156"/>
        <v>0</v>
      </c>
      <c r="AA813" s="41">
        <f t="shared" si="157"/>
        <v>0</v>
      </c>
      <c r="AB813" s="31">
        <f t="shared" si="158"/>
        <v>0</v>
      </c>
    </row>
    <row r="814" spans="15:28" x14ac:dyDescent="0.7">
      <c r="O814" s="32" t="str">
        <f t="shared" si="152"/>
        <v/>
      </c>
      <c r="P814" s="21"/>
      <c r="Q814" s="21"/>
      <c r="R814" s="33"/>
      <c r="S814" s="36">
        <f t="shared" si="161"/>
        <v>0</v>
      </c>
      <c r="T814" s="34">
        <f t="shared" si="159"/>
        <v>0</v>
      </c>
      <c r="U814" s="32">
        <f t="shared" si="160"/>
        <v>0</v>
      </c>
      <c r="V814" s="43"/>
      <c r="W814" s="32">
        <f t="shared" si="153"/>
        <v>0</v>
      </c>
      <c r="X814" s="34">
        <f t="shared" si="154"/>
        <v>0</v>
      </c>
      <c r="Y814" s="30">
        <f t="shared" si="155"/>
        <v>0</v>
      </c>
      <c r="Z814" s="34">
        <f t="shared" si="156"/>
        <v>0</v>
      </c>
      <c r="AA814" s="41">
        <f t="shared" si="157"/>
        <v>0</v>
      </c>
      <c r="AB814" s="31">
        <f t="shared" si="158"/>
        <v>0</v>
      </c>
    </row>
    <row r="815" spans="15:28" x14ac:dyDescent="0.7">
      <c r="O815" s="32" t="str">
        <f t="shared" si="152"/>
        <v/>
      </c>
      <c r="P815" s="21"/>
      <c r="Q815" s="21"/>
      <c r="R815" s="33"/>
      <c r="S815" s="36">
        <f t="shared" si="161"/>
        <v>0</v>
      </c>
      <c r="T815" s="34">
        <f t="shared" si="159"/>
        <v>0</v>
      </c>
      <c r="U815" s="32">
        <f t="shared" si="160"/>
        <v>0</v>
      </c>
      <c r="V815" s="43"/>
      <c r="W815" s="32">
        <f t="shared" si="153"/>
        <v>0</v>
      </c>
      <c r="X815" s="34">
        <f t="shared" si="154"/>
        <v>0</v>
      </c>
      <c r="Y815" s="30">
        <f t="shared" si="155"/>
        <v>0</v>
      </c>
      <c r="Z815" s="34">
        <f t="shared" si="156"/>
        <v>0</v>
      </c>
      <c r="AA815" s="41">
        <f t="shared" si="157"/>
        <v>0</v>
      </c>
      <c r="AB815" s="31">
        <f t="shared" si="158"/>
        <v>0</v>
      </c>
    </row>
    <row r="816" spans="15:28" x14ac:dyDescent="0.7">
      <c r="O816" s="32" t="str">
        <f t="shared" si="152"/>
        <v/>
      </c>
      <c r="P816" s="21"/>
      <c r="Q816" s="21"/>
      <c r="R816" s="33"/>
      <c r="S816" s="36">
        <f t="shared" si="161"/>
        <v>0</v>
      </c>
      <c r="T816" s="34">
        <f t="shared" si="159"/>
        <v>0</v>
      </c>
      <c r="U816" s="32">
        <f t="shared" si="160"/>
        <v>0</v>
      </c>
      <c r="V816" s="43"/>
      <c r="W816" s="32">
        <f t="shared" si="153"/>
        <v>0</v>
      </c>
      <c r="X816" s="34">
        <f t="shared" si="154"/>
        <v>0</v>
      </c>
      <c r="Y816" s="30">
        <f t="shared" si="155"/>
        <v>0</v>
      </c>
      <c r="Z816" s="34">
        <f t="shared" si="156"/>
        <v>0</v>
      </c>
      <c r="AA816" s="41">
        <f t="shared" si="157"/>
        <v>0</v>
      </c>
      <c r="AB816" s="31">
        <f t="shared" si="158"/>
        <v>0</v>
      </c>
    </row>
    <row r="817" spans="15:28" x14ac:dyDescent="0.7">
      <c r="O817" s="32" t="str">
        <f t="shared" si="152"/>
        <v/>
      </c>
      <c r="P817" s="21"/>
      <c r="Q817" s="21"/>
      <c r="R817" s="33"/>
      <c r="S817" s="36">
        <f t="shared" si="161"/>
        <v>0</v>
      </c>
      <c r="T817" s="34">
        <f t="shared" si="159"/>
        <v>0</v>
      </c>
      <c r="U817" s="32">
        <f t="shared" si="160"/>
        <v>0</v>
      </c>
      <c r="V817" s="43"/>
      <c r="W817" s="32">
        <f t="shared" si="153"/>
        <v>0</v>
      </c>
      <c r="X817" s="34">
        <f t="shared" si="154"/>
        <v>0</v>
      </c>
      <c r="Y817" s="30">
        <f t="shared" si="155"/>
        <v>0</v>
      </c>
      <c r="Z817" s="34">
        <f t="shared" si="156"/>
        <v>0</v>
      </c>
      <c r="AA817" s="41">
        <f t="shared" si="157"/>
        <v>0</v>
      </c>
      <c r="AB817" s="31">
        <f t="shared" si="158"/>
        <v>0</v>
      </c>
    </row>
    <row r="818" spans="15:28" x14ac:dyDescent="0.7">
      <c r="O818" s="32" t="str">
        <f t="shared" si="152"/>
        <v/>
      </c>
      <c r="P818" s="21"/>
      <c r="Q818" s="21"/>
      <c r="R818" s="33"/>
      <c r="S818" s="36">
        <f t="shared" si="161"/>
        <v>0</v>
      </c>
      <c r="T818" s="34">
        <f t="shared" si="159"/>
        <v>0</v>
      </c>
      <c r="U818" s="32">
        <f t="shared" si="160"/>
        <v>0</v>
      </c>
      <c r="V818" s="43"/>
      <c r="W818" s="32">
        <f t="shared" si="153"/>
        <v>0</v>
      </c>
      <c r="X818" s="34">
        <f t="shared" si="154"/>
        <v>0</v>
      </c>
      <c r="Y818" s="30">
        <f t="shared" si="155"/>
        <v>0</v>
      </c>
      <c r="Z818" s="34">
        <f t="shared" si="156"/>
        <v>0</v>
      </c>
      <c r="AA818" s="41">
        <f t="shared" si="157"/>
        <v>0</v>
      </c>
      <c r="AB818" s="31">
        <f t="shared" si="158"/>
        <v>0</v>
      </c>
    </row>
    <row r="819" spans="15:28" x14ac:dyDescent="0.7">
      <c r="O819" s="32" t="str">
        <f t="shared" si="152"/>
        <v/>
      </c>
      <c r="P819" s="21"/>
      <c r="Q819" s="21"/>
      <c r="R819" s="33"/>
      <c r="S819" s="36">
        <f t="shared" si="161"/>
        <v>0</v>
      </c>
      <c r="T819" s="34">
        <f t="shared" si="159"/>
        <v>0</v>
      </c>
      <c r="U819" s="32">
        <f t="shared" si="160"/>
        <v>0</v>
      </c>
      <c r="V819" s="43"/>
      <c r="W819" s="32">
        <f t="shared" si="153"/>
        <v>0</v>
      </c>
      <c r="X819" s="34">
        <f t="shared" si="154"/>
        <v>0</v>
      </c>
      <c r="Y819" s="30">
        <f t="shared" si="155"/>
        <v>0</v>
      </c>
      <c r="Z819" s="34">
        <f t="shared" si="156"/>
        <v>0</v>
      </c>
      <c r="AA819" s="41">
        <f t="shared" si="157"/>
        <v>0</v>
      </c>
      <c r="AB819" s="31">
        <f t="shared" si="158"/>
        <v>0</v>
      </c>
    </row>
    <row r="820" spans="15:28" x14ac:dyDescent="0.7">
      <c r="O820" s="32" t="str">
        <f t="shared" si="152"/>
        <v/>
      </c>
      <c r="P820" s="21"/>
      <c r="Q820" s="21"/>
      <c r="R820" s="33"/>
      <c r="S820" s="36">
        <f t="shared" si="161"/>
        <v>0</v>
      </c>
      <c r="T820" s="34">
        <f t="shared" si="159"/>
        <v>0</v>
      </c>
      <c r="U820" s="32">
        <f t="shared" si="160"/>
        <v>0</v>
      </c>
      <c r="V820" s="43"/>
      <c r="W820" s="32">
        <f t="shared" si="153"/>
        <v>0</v>
      </c>
      <c r="X820" s="34">
        <f t="shared" si="154"/>
        <v>0</v>
      </c>
      <c r="Y820" s="30">
        <f t="shared" si="155"/>
        <v>0</v>
      </c>
      <c r="Z820" s="34">
        <f t="shared" si="156"/>
        <v>0</v>
      </c>
      <c r="AA820" s="41">
        <f t="shared" si="157"/>
        <v>0</v>
      </c>
      <c r="AB820" s="31">
        <f t="shared" si="158"/>
        <v>0</v>
      </c>
    </row>
    <row r="821" spans="15:28" x14ac:dyDescent="0.7">
      <c r="O821" s="32" t="str">
        <f t="shared" si="152"/>
        <v/>
      </c>
      <c r="P821" s="21"/>
      <c r="Q821" s="21"/>
      <c r="R821" s="33"/>
      <c r="S821" s="36">
        <f t="shared" si="161"/>
        <v>0</v>
      </c>
      <c r="T821" s="34">
        <f t="shared" si="159"/>
        <v>0</v>
      </c>
      <c r="U821" s="32">
        <f t="shared" si="160"/>
        <v>0</v>
      </c>
      <c r="V821" s="43"/>
      <c r="W821" s="32">
        <f t="shared" si="153"/>
        <v>0</v>
      </c>
      <c r="X821" s="34">
        <f t="shared" si="154"/>
        <v>0</v>
      </c>
      <c r="Y821" s="30">
        <f t="shared" si="155"/>
        <v>0</v>
      </c>
      <c r="Z821" s="34">
        <f t="shared" si="156"/>
        <v>0</v>
      </c>
      <c r="AA821" s="41">
        <f t="shared" si="157"/>
        <v>0</v>
      </c>
      <c r="AB821" s="31">
        <f t="shared" si="158"/>
        <v>0</v>
      </c>
    </row>
    <row r="822" spans="15:28" x14ac:dyDescent="0.7">
      <c r="O822" s="32" t="str">
        <f t="shared" si="152"/>
        <v/>
      </c>
      <c r="P822" s="21"/>
      <c r="Q822" s="21"/>
      <c r="R822" s="33"/>
      <c r="S822" s="36">
        <f t="shared" si="161"/>
        <v>0</v>
      </c>
      <c r="T822" s="34">
        <f t="shared" si="159"/>
        <v>0</v>
      </c>
      <c r="U822" s="32">
        <f t="shared" si="160"/>
        <v>0</v>
      </c>
      <c r="V822" s="43"/>
      <c r="W822" s="32">
        <f t="shared" si="153"/>
        <v>0</v>
      </c>
      <c r="X822" s="34">
        <f t="shared" si="154"/>
        <v>0</v>
      </c>
      <c r="Y822" s="30">
        <f t="shared" si="155"/>
        <v>0</v>
      </c>
      <c r="Z822" s="34">
        <f t="shared" si="156"/>
        <v>0</v>
      </c>
      <c r="AA822" s="41">
        <f t="shared" si="157"/>
        <v>0</v>
      </c>
      <c r="AB822" s="31">
        <f t="shared" si="158"/>
        <v>0</v>
      </c>
    </row>
    <row r="823" spans="15:28" x14ac:dyDescent="0.7">
      <c r="O823" s="32" t="str">
        <f t="shared" si="152"/>
        <v/>
      </c>
      <c r="P823" s="21"/>
      <c r="Q823" s="21"/>
      <c r="R823" s="33"/>
      <c r="S823" s="36">
        <f t="shared" si="161"/>
        <v>0</v>
      </c>
      <c r="T823" s="34">
        <f t="shared" si="159"/>
        <v>0</v>
      </c>
      <c r="U823" s="32">
        <f t="shared" si="160"/>
        <v>0</v>
      </c>
      <c r="V823" s="43"/>
      <c r="W823" s="32">
        <f t="shared" si="153"/>
        <v>0</v>
      </c>
      <c r="X823" s="34">
        <f t="shared" si="154"/>
        <v>0</v>
      </c>
      <c r="Y823" s="30">
        <f t="shared" si="155"/>
        <v>0</v>
      </c>
      <c r="Z823" s="34">
        <f t="shared" si="156"/>
        <v>0</v>
      </c>
      <c r="AA823" s="41">
        <f t="shared" si="157"/>
        <v>0</v>
      </c>
      <c r="AB823" s="31">
        <f t="shared" si="158"/>
        <v>0</v>
      </c>
    </row>
    <row r="824" spans="15:28" x14ac:dyDescent="0.7">
      <c r="O824" s="32" t="str">
        <f t="shared" si="152"/>
        <v/>
      </c>
      <c r="P824" s="21"/>
      <c r="Q824" s="21"/>
      <c r="R824" s="33"/>
      <c r="S824" s="36">
        <f t="shared" si="161"/>
        <v>0</v>
      </c>
      <c r="T824" s="34">
        <f t="shared" si="159"/>
        <v>0</v>
      </c>
      <c r="U824" s="32">
        <f t="shared" si="160"/>
        <v>0</v>
      </c>
      <c r="V824" s="43"/>
      <c r="W824" s="32">
        <f t="shared" si="153"/>
        <v>0</v>
      </c>
      <c r="X824" s="34">
        <f t="shared" si="154"/>
        <v>0</v>
      </c>
      <c r="Y824" s="30">
        <f t="shared" si="155"/>
        <v>0</v>
      </c>
      <c r="Z824" s="34">
        <f t="shared" si="156"/>
        <v>0</v>
      </c>
      <c r="AA824" s="41">
        <f t="shared" si="157"/>
        <v>0</v>
      </c>
      <c r="AB824" s="31">
        <f t="shared" si="158"/>
        <v>0</v>
      </c>
    </row>
    <row r="825" spans="15:28" x14ac:dyDescent="0.7">
      <c r="O825" s="32" t="str">
        <f t="shared" si="152"/>
        <v/>
      </c>
      <c r="P825" s="21"/>
      <c r="Q825" s="21"/>
      <c r="R825" s="33"/>
      <c r="S825" s="36">
        <f t="shared" si="161"/>
        <v>0</v>
      </c>
      <c r="T825" s="34">
        <f t="shared" si="159"/>
        <v>0</v>
      </c>
      <c r="U825" s="32">
        <f t="shared" si="160"/>
        <v>0</v>
      </c>
      <c r="V825" s="43"/>
      <c r="W825" s="32">
        <f t="shared" si="153"/>
        <v>0</v>
      </c>
      <c r="X825" s="34">
        <f t="shared" si="154"/>
        <v>0</v>
      </c>
      <c r="Y825" s="30">
        <f t="shared" si="155"/>
        <v>0</v>
      </c>
      <c r="Z825" s="34">
        <f t="shared" si="156"/>
        <v>0</v>
      </c>
      <c r="AA825" s="41">
        <f t="shared" si="157"/>
        <v>0</v>
      </c>
      <c r="AB825" s="31">
        <f t="shared" si="158"/>
        <v>0</v>
      </c>
    </row>
    <row r="826" spans="15:28" x14ac:dyDescent="0.7">
      <c r="O826" s="32" t="str">
        <f t="shared" si="152"/>
        <v/>
      </c>
      <c r="P826" s="21"/>
      <c r="Q826" s="21"/>
      <c r="R826" s="33"/>
      <c r="S826" s="36">
        <f t="shared" si="161"/>
        <v>0</v>
      </c>
      <c r="T826" s="34">
        <f t="shared" si="159"/>
        <v>0</v>
      </c>
      <c r="U826" s="32">
        <f t="shared" si="160"/>
        <v>0</v>
      </c>
      <c r="V826" s="43"/>
      <c r="W826" s="32">
        <f t="shared" si="153"/>
        <v>0</v>
      </c>
      <c r="X826" s="34">
        <f t="shared" si="154"/>
        <v>0</v>
      </c>
      <c r="Y826" s="30">
        <f t="shared" si="155"/>
        <v>0</v>
      </c>
      <c r="Z826" s="34">
        <f t="shared" si="156"/>
        <v>0</v>
      </c>
      <c r="AA826" s="41">
        <f t="shared" si="157"/>
        <v>0</v>
      </c>
      <c r="AB826" s="31">
        <f t="shared" si="158"/>
        <v>0</v>
      </c>
    </row>
    <row r="827" spans="15:28" x14ac:dyDescent="0.7">
      <c r="O827" s="32" t="str">
        <f t="shared" si="152"/>
        <v/>
      </c>
      <c r="P827" s="21"/>
      <c r="Q827" s="21"/>
      <c r="R827" s="33"/>
      <c r="S827" s="36">
        <f t="shared" si="161"/>
        <v>0</v>
      </c>
      <c r="T827" s="34">
        <f t="shared" si="159"/>
        <v>0</v>
      </c>
      <c r="U827" s="32">
        <f t="shared" si="160"/>
        <v>0</v>
      </c>
      <c r="V827" s="43"/>
      <c r="W827" s="32">
        <f t="shared" si="153"/>
        <v>0</v>
      </c>
      <c r="X827" s="34">
        <f t="shared" si="154"/>
        <v>0</v>
      </c>
      <c r="Y827" s="30">
        <f t="shared" si="155"/>
        <v>0</v>
      </c>
      <c r="Z827" s="34">
        <f t="shared" si="156"/>
        <v>0</v>
      </c>
      <c r="AA827" s="41">
        <f t="shared" si="157"/>
        <v>0</v>
      </c>
      <c r="AB827" s="31">
        <f t="shared" si="158"/>
        <v>0</v>
      </c>
    </row>
    <row r="828" spans="15:28" x14ac:dyDescent="0.7">
      <c r="O828" s="32" t="str">
        <f t="shared" si="152"/>
        <v/>
      </c>
      <c r="P828" s="21"/>
      <c r="Q828" s="21"/>
      <c r="R828" s="33"/>
      <c r="S828" s="36">
        <f t="shared" si="161"/>
        <v>0</v>
      </c>
      <c r="T828" s="34">
        <f t="shared" si="159"/>
        <v>0</v>
      </c>
      <c r="U828" s="32">
        <f t="shared" si="160"/>
        <v>0</v>
      </c>
      <c r="V828" s="43"/>
      <c r="W828" s="32">
        <f t="shared" si="153"/>
        <v>0</v>
      </c>
      <c r="X828" s="34">
        <f t="shared" si="154"/>
        <v>0</v>
      </c>
      <c r="Y828" s="30">
        <f t="shared" si="155"/>
        <v>0</v>
      </c>
      <c r="Z828" s="34">
        <f t="shared" si="156"/>
        <v>0</v>
      </c>
      <c r="AA828" s="41">
        <f t="shared" si="157"/>
        <v>0</v>
      </c>
      <c r="AB828" s="31">
        <f t="shared" si="158"/>
        <v>0</v>
      </c>
    </row>
    <row r="829" spans="15:28" x14ac:dyDescent="0.7">
      <c r="O829" s="32" t="str">
        <f t="shared" si="152"/>
        <v/>
      </c>
      <c r="P829" s="21"/>
      <c r="Q829" s="21"/>
      <c r="R829" s="33"/>
      <c r="S829" s="36">
        <f t="shared" si="161"/>
        <v>0</v>
      </c>
      <c r="T829" s="34">
        <f t="shared" si="159"/>
        <v>0</v>
      </c>
      <c r="U829" s="32">
        <f t="shared" si="160"/>
        <v>0</v>
      </c>
      <c r="V829" s="43"/>
      <c r="W829" s="32">
        <f t="shared" si="153"/>
        <v>0</v>
      </c>
      <c r="X829" s="34">
        <f t="shared" si="154"/>
        <v>0</v>
      </c>
      <c r="Y829" s="30">
        <f t="shared" si="155"/>
        <v>0</v>
      </c>
      <c r="Z829" s="34">
        <f t="shared" si="156"/>
        <v>0</v>
      </c>
      <c r="AA829" s="41">
        <f t="shared" si="157"/>
        <v>0</v>
      </c>
      <c r="AB829" s="31">
        <f t="shared" si="158"/>
        <v>0</v>
      </c>
    </row>
    <row r="830" spans="15:28" x14ac:dyDescent="0.7">
      <c r="O830" s="32" t="str">
        <f t="shared" si="152"/>
        <v/>
      </c>
      <c r="P830" s="21"/>
      <c r="Q830" s="21"/>
      <c r="R830" s="33"/>
      <c r="S830" s="36">
        <f t="shared" si="161"/>
        <v>0</v>
      </c>
      <c r="T830" s="34">
        <f t="shared" si="159"/>
        <v>0</v>
      </c>
      <c r="U830" s="32">
        <f t="shared" si="160"/>
        <v>0</v>
      </c>
      <c r="V830" s="43"/>
      <c r="W830" s="32">
        <f t="shared" si="153"/>
        <v>0</v>
      </c>
      <c r="X830" s="34">
        <f t="shared" si="154"/>
        <v>0</v>
      </c>
      <c r="Y830" s="30">
        <f t="shared" si="155"/>
        <v>0</v>
      </c>
      <c r="Z830" s="34">
        <f t="shared" si="156"/>
        <v>0</v>
      </c>
      <c r="AA830" s="41">
        <f t="shared" si="157"/>
        <v>0</v>
      </c>
      <c r="AB830" s="31">
        <f t="shared" si="158"/>
        <v>0</v>
      </c>
    </row>
    <row r="831" spans="15:28" x14ac:dyDescent="0.7">
      <c r="O831" s="32" t="str">
        <f t="shared" si="152"/>
        <v/>
      </c>
      <c r="P831" s="21"/>
      <c r="Q831" s="21"/>
      <c r="R831" s="33"/>
      <c r="S831" s="36">
        <f t="shared" si="161"/>
        <v>0</v>
      </c>
      <c r="T831" s="34">
        <f t="shared" si="159"/>
        <v>0</v>
      </c>
      <c r="U831" s="32">
        <f t="shared" si="160"/>
        <v>0</v>
      </c>
      <c r="V831" s="43"/>
      <c r="W831" s="32">
        <f t="shared" si="153"/>
        <v>0</v>
      </c>
      <c r="X831" s="34">
        <f t="shared" si="154"/>
        <v>0</v>
      </c>
      <c r="Y831" s="30">
        <f t="shared" si="155"/>
        <v>0</v>
      </c>
      <c r="Z831" s="34">
        <f t="shared" si="156"/>
        <v>0</v>
      </c>
      <c r="AA831" s="41">
        <f t="shared" si="157"/>
        <v>0</v>
      </c>
      <c r="AB831" s="31">
        <f t="shared" si="158"/>
        <v>0</v>
      </c>
    </row>
    <row r="832" spans="15:28" x14ac:dyDescent="0.7">
      <c r="O832" s="32" t="str">
        <f t="shared" si="152"/>
        <v/>
      </c>
      <c r="P832" s="21"/>
      <c r="Q832" s="21"/>
      <c r="R832" s="33"/>
      <c r="S832" s="36">
        <f t="shared" si="161"/>
        <v>0</v>
      </c>
      <c r="T832" s="34">
        <f t="shared" si="159"/>
        <v>0</v>
      </c>
      <c r="U832" s="32">
        <f t="shared" si="160"/>
        <v>0</v>
      </c>
      <c r="V832" s="43"/>
      <c r="W832" s="32">
        <f t="shared" si="153"/>
        <v>0</v>
      </c>
      <c r="X832" s="34">
        <f t="shared" si="154"/>
        <v>0</v>
      </c>
      <c r="Y832" s="30">
        <f t="shared" si="155"/>
        <v>0</v>
      </c>
      <c r="Z832" s="34">
        <f t="shared" si="156"/>
        <v>0</v>
      </c>
      <c r="AA832" s="41">
        <f t="shared" si="157"/>
        <v>0</v>
      </c>
      <c r="AB832" s="31">
        <f t="shared" si="158"/>
        <v>0</v>
      </c>
    </row>
    <row r="833" spans="15:28" x14ac:dyDescent="0.7">
      <c r="O833" s="32" t="str">
        <f t="shared" si="152"/>
        <v/>
      </c>
      <c r="P833" s="21"/>
      <c r="Q833" s="21"/>
      <c r="R833" s="33"/>
      <c r="S833" s="36">
        <f t="shared" si="161"/>
        <v>0</v>
      </c>
      <c r="T833" s="34">
        <f t="shared" si="159"/>
        <v>0</v>
      </c>
      <c r="U833" s="32">
        <f t="shared" si="160"/>
        <v>0</v>
      </c>
      <c r="V833" s="43"/>
      <c r="W833" s="32">
        <f t="shared" si="153"/>
        <v>0</v>
      </c>
      <c r="X833" s="34">
        <f t="shared" si="154"/>
        <v>0</v>
      </c>
      <c r="Y833" s="30">
        <f t="shared" si="155"/>
        <v>0</v>
      </c>
      <c r="Z833" s="34">
        <f t="shared" si="156"/>
        <v>0</v>
      </c>
      <c r="AA833" s="41">
        <f t="shared" si="157"/>
        <v>0</v>
      </c>
      <c r="AB833" s="31">
        <f t="shared" si="158"/>
        <v>0</v>
      </c>
    </row>
    <row r="834" spans="15:28" x14ac:dyDescent="0.7">
      <c r="O834" s="32" t="str">
        <f t="shared" si="152"/>
        <v/>
      </c>
      <c r="P834" s="21"/>
      <c r="Q834" s="21"/>
      <c r="R834" s="33"/>
      <c r="S834" s="36">
        <f t="shared" si="161"/>
        <v>0</v>
      </c>
      <c r="T834" s="34">
        <f t="shared" si="159"/>
        <v>0</v>
      </c>
      <c r="U834" s="32">
        <f t="shared" si="160"/>
        <v>0</v>
      </c>
      <c r="V834" s="43"/>
      <c r="W834" s="32">
        <f t="shared" si="153"/>
        <v>0</v>
      </c>
      <c r="X834" s="34">
        <f t="shared" si="154"/>
        <v>0</v>
      </c>
      <c r="Y834" s="30">
        <f t="shared" si="155"/>
        <v>0</v>
      </c>
      <c r="Z834" s="34">
        <f t="shared" si="156"/>
        <v>0</v>
      </c>
      <c r="AA834" s="41">
        <f t="shared" si="157"/>
        <v>0</v>
      </c>
      <c r="AB834" s="31">
        <f t="shared" si="158"/>
        <v>0</v>
      </c>
    </row>
    <row r="835" spans="15:28" x14ac:dyDescent="0.7">
      <c r="O835" s="32" t="str">
        <f t="shared" si="152"/>
        <v/>
      </c>
      <c r="P835" s="21"/>
      <c r="Q835" s="21"/>
      <c r="R835" s="33"/>
      <c r="S835" s="36">
        <f t="shared" si="161"/>
        <v>0</v>
      </c>
      <c r="T835" s="34">
        <f t="shared" si="159"/>
        <v>0</v>
      </c>
      <c r="U835" s="32">
        <f t="shared" si="160"/>
        <v>0</v>
      </c>
      <c r="V835" s="43"/>
      <c r="W835" s="32">
        <f t="shared" si="153"/>
        <v>0</v>
      </c>
      <c r="X835" s="34">
        <f t="shared" si="154"/>
        <v>0</v>
      </c>
      <c r="Y835" s="30">
        <f t="shared" si="155"/>
        <v>0</v>
      </c>
      <c r="Z835" s="34">
        <f t="shared" si="156"/>
        <v>0</v>
      </c>
      <c r="AA835" s="41">
        <f t="shared" si="157"/>
        <v>0</v>
      </c>
      <c r="AB835" s="31">
        <f t="shared" si="158"/>
        <v>0</v>
      </c>
    </row>
    <row r="836" spans="15:28" x14ac:dyDescent="0.7">
      <c r="O836" s="32" t="str">
        <f t="shared" si="152"/>
        <v/>
      </c>
      <c r="P836" s="21"/>
      <c r="Q836" s="21"/>
      <c r="R836" s="33"/>
      <c r="S836" s="36">
        <f t="shared" si="161"/>
        <v>0</v>
      </c>
      <c r="T836" s="34">
        <f t="shared" si="159"/>
        <v>0</v>
      </c>
      <c r="U836" s="32">
        <f t="shared" si="160"/>
        <v>0</v>
      </c>
      <c r="V836" s="43"/>
      <c r="W836" s="32">
        <f t="shared" si="153"/>
        <v>0</v>
      </c>
      <c r="X836" s="34">
        <f t="shared" si="154"/>
        <v>0</v>
      </c>
      <c r="Y836" s="30">
        <f t="shared" si="155"/>
        <v>0</v>
      </c>
      <c r="Z836" s="34">
        <f t="shared" si="156"/>
        <v>0</v>
      </c>
      <c r="AA836" s="41">
        <f t="shared" si="157"/>
        <v>0</v>
      </c>
      <c r="AB836" s="31">
        <f t="shared" si="158"/>
        <v>0</v>
      </c>
    </row>
    <row r="837" spans="15:28" x14ac:dyDescent="0.7">
      <c r="O837" s="32" t="str">
        <f t="shared" si="152"/>
        <v/>
      </c>
      <c r="P837" s="21"/>
      <c r="Q837" s="21"/>
      <c r="R837" s="33"/>
      <c r="S837" s="36">
        <f t="shared" si="161"/>
        <v>0</v>
      </c>
      <c r="T837" s="34">
        <f t="shared" si="159"/>
        <v>0</v>
      </c>
      <c r="U837" s="32">
        <f t="shared" si="160"/>
        <v>0</v>
      </c>
      <c r="V837" s="43"/>
      <c r="W837" s="32">
        <f t="shared" si="153"/>
        <v>0</v>
      </c>
      <c r="X837" s="34">
        <f t="shared" si="154"/>
        <v>0</v>
      </c>
      <c r="Y837" s="30">
        <f t="shared" si="155"/>
        <v>0</v>
      </c>
      <c r="Z837" s="34">
        <f t="shared" si="156"/>
        <v>0</v>
      </c>
      <c r="AA837" s="41">
        <f t="shared" si="157"/>
        <v>0</v>
      </c>
      <c r="AB837" s="31">
        <f t="shared" si="158"/>
        <v>0</v>
      </c>
    </row>
    <row r="838" spans="15:28" x14ac:dyDescent="0.7">
      <c r="O838" s="32" t="str">
        <f t="shared" si="152"/>
        <v/>
      </c>
      <c r="P838" s="21"/>
      <c r="Q838" s="21"/>
      <c r="R838" s="33"/>
      <c r="S838" s="36">
        <f t="shared" si="161"/>
        <v>0</v>
      </c>
      <c r="T838" s="34">
        <f t="shared" si="159"/>
        <v>0</v>
      </c>
      <c r="U838" s="32">
        <f t="shared" si="160"/>
        <v>0</v>
      </c>
      <c r="V838" s="43"/>
      <c r="W838" s="32">
        <f t="shared" si="153"/>
        <v>0</v>
      </c>
      <c r="X838" s="34">
        <f t="shared" si="154"/>
        <v>0</v>
      </c>
      <c r="Y838" s="30">
        <f t="shared" si="155"/>
        <v>0</v>
      </c>
      <c r="Z838" s="34">
        <f t="shared" si="156"/>
        <v>0</v>
      </c>
      <c r="AA838" s="41">
        <f t="shared" si="157"/>
        <v>0</v>
      </c>
      <c r="AB838" s="31">
        <f t="shared" si="158"/>
        <v>0</v>
      </c>
    </row>
    <row r="839" spans="15:28" x14ac:dyDescent="0.7">
      <c r="O839" s="32" t="str">
        <f t="shared" si="152"/>
        <v/>
      </c>
      <c r="P839" s="21"/>
      <c r="Q839" s="21"/>
      <c r="R839" s="33"/>
      <c r="S839" s="36">
        <f t="shared" si="161"/>
        <v>0</v>
      </c>
      <c r="T839" s="34">
        <f t="shared" si="159"/>
        <v>0</v>
      </c>
      <c r="U839" s="32">
        <f t="shared" si="160"/>
        <v>0</v>
      </c>
      <c r="V839" s="43"/>
      <c r="W839" s="32">
        <f t="shared" si="153"/>
        <v>0</v>
      </c>
      <c r="X839" s="34">
        <f t="shared" si="154"/>
        <v>0</v>
      </c>
      <c r="Y839" s="30">
        <f t="shared" si="155"/>
        <v>0</v>
      </c>
      <c r="Z839" s="34">
        <f t="shared" si="156"/>
        <v>0</v>
      </c>
      <c r="AA839" s="41">
        <f t="shared" si="157"/>
        <v>0</v>
      </c>
      <c r="AB839" s="31">
        <f t="shared" si="158"/>
        <v>0</v>
      </c>
    </row>
    <row r="840" spans="15:28" x14ac:dyDescent="0.7">
      <c r="O840" s="32" t="str">
        <f t="shared" ref="O840:O903" si="162">IF(P840="","",ROW()-ROW($O$6))</f>
        <v/>
      </c>
      <c r="P840" s="21"/>
      <c r="Q840" s="21"/>
      <c r="R840" s="33"/>
      <c r="S840" s="36">
        <f t="shared" si="161"/>
        <v>0</v>
      </c>
      <c r="T840" s="34">
        <f t="shared" si="159"/>
        <v>0</v>
      </c>
      <c r="U840" s="32">
        <f t="shared" si="160"/>
        <v>0</v>
      </c>
      <c r="V840" s="43"/>
      <c r="W840" s="32">
        <f t="shared" ref="W840:W903" si="163">U840-V840</f>
        <v>0</v>
      </c>
      <c r="X840" s="34">
        <f t="shared" ref="X840:X903" si="164">W840/5440</f>
        <v>0</v>
      </c>
      <c r="Y840" s="30">
        <f t="shared" ref="Y840:Y903" si="165">TRUNC(X840)</f>
        <v>0</v>
      </c>
      <c r="Z840" s="34">
        <f t="shared" ref="Z840:Z903" si="166">(X840-Y840)*20</f>
        <v>0</v>
      </c>
      <c r="AA840" s="41">
        <f t="shared" ref="AA840:AA903" si="167">TRUNC(Z840)</f>
        <v>0</v>
      </c>
      <c r="AB840" s="31">
        <f t="shared" ref="AB840:AB903" si="168">(Z840-AA840)*272</f>
        <v>0</v>
      </c>
    </row>
    <row r="841" spans="15:28" x14ac:dyDescent="0.7">
      <c r="O841" s="32" t="str">
        <f t="shared" si="162"/>
        <v/>
      </c>
      <c r="P841" s="21"/>
      <c r="Q841" s="21"/>
      <c r="R841" s="33"/>
      <c r="S841" s="36">
        <f t="shared" si="161"/>
        <v>0</v>
      </c>
      <c r="T841" s="34">
        <f t="shared" ref="T841:T904" si="169">(S841*R841)/100</f>
        <v>0</v>
      </c>
      <c r="U841" s="32">
        <f t="shared" ref="U841:U904" si="170">R841-T841</f>
        <v>0</v>
      </c>
      <c r="V841" s="43"/>
      <c r="W841" s="32">
        <f t="shared" si="163"/>
        <v>0</v>
      </c>
      <c r="X841" s="34">
        <f t="shared" si="164"/>
        <v>0</v>
      </c>
      <c r="Y841" s="30">
        <f t="shared" si="165"/>
        <v>0</v>
      </c>
      <c r="Z841" s="34">
        <f t="shared" si="166"/>
        <v>0</v>
      </c>
      <c r="AA841" s="41">
        <f t="shared" si="167"/>
        <v>0</v>
      </c>
      <c r="AB841" s="31">
        <f t="shared" si="168"/>
        <v>0</v>
      </c>
    </row>
    <row r="842" spans="15:28" x14ac:dyDescent="0.7">
      <c r="O842" s="32" t="str">
        <f t="shared" si="162"/>
        <v/>
      </c>
      <c r="P842" s="21"/>
      <c r="Q842" s="21"/>
      <c r="R842" s="33"/>
      <c r="S842" s="36">
        <f t="shared" si="161"/>
        <v>0</v>
      </c>
      <c r="T842" s="34">
        <f t="shared" si="169"/>
        <v>0</v>
      </c>
      <c r="U842" s="32">
        <f t="shared" si="170"/>
        <v>0</v>
      </c>
      <c r="V842" s="43"/>
      <c r="W842" s="32">
        <f t="shared" si="163"/>
        <v>0</v>
      </c>
      <c r="X842" s="34">
        <f t="shared" si="164"/>
        <v>0</v>
      </c>
      <c r="Y842" s="30">
        <f t="shared" si="165"/>
        <v>0</v>
      </c>
      <c r="Z842" s="34">
        <f t="shared" si="166"/>
        <v>0</v>
      </c>
      <c r="AA842" s="41">
        <f t="shared" si="167"/>
        <v>0</v>
      </c>
      <c r="AB842" s="31">
        <f t="shared" si="168"/>
        <v>0</v>
      </c>
    </row>
    <row r="843" spans="15:28" x14ac:dyDescent="0.7">
      <c r="O843" s="32" t="str">
        <f t="shared" si="162"/>
        <v/>
      </c>
      <c r="P843" s="21"/>
      <c r="Q843" s="21"/>
      <c r="R843" s="33"/>
      <c r="S843" s="36">
        <f t="shared" ref="S843:S906" si="171">S842</f>
        <v>0</v>
      </c>
      <c r="T843" s="34">
        <f t="shared" si="169"/>
        <v>0</v>
      </c>
      <c r="U843" s="32">
        <f t="shared" si="170"/>
        <v>0</v>
      </c>
      <c r="V843" s="43"/>
      <c r="W843" s="32">
        <f t="shared" si="163"/>
        <v>0</v>
      </c>
      <c r="X843" s="34">
        <f t="shared" si="164"/>
        <v>0</v>
      </c>
      <c r="Y843" s="30">
        <f t="shared" si="165"/>
        <v>0</v>
      </c>
      <c r="Z843" s="34">
        <f t="shared" si="166"/>
        <v>0</v>
      </c>
      <c r="AA843" s="41">
        <f t="shared" si="167"/>
        <v>0</v>
      </c>
      <c r="AB843" s="31">
        <f t="shared" si="168"/>
        <v>0</v>
      </c>
    </row>
    <row r="844" spans="15:28" x14ac:dyDescent="0.7">
      <c r="O844" s="32" t="str">
        <f t="shared" si="162"/>
        <v/>
      </c>
      <c r="P844" s="21"/>
      <c r="Q844" s="21"/>
      <c r="R844" s="33"/>
      <c r="S844" s="36">
        <f t="shared" si="171"/>
        <v>0</v>
      </c>
      <c r="T844" s="34">
        <f t="shared" si="169"/>
        <v>0</v>
      </c>
      <c r="U844" s="32">
        <f t="shared" si="170"/>
        <v>0</v>
      </c>
      <c r="V844" s="43"/>
      <c r="W844" s="32">
        <f t="shared" si="163"/>
        <v>0</v>
      </c>
      <c r="X844" s="34">
        <f t="shared" si="164"/>
        <v>0</v>
      </c>
      <c r="Y844" s="30">
        <f t="shared" si="165"/>
        <v>0</v>
      </c>
      <c r="Z844" s="34">
        <f t="shared" si="166"/>
        <v>0</v>
      </c>
      <c r="AA844" s="41">
        <f t="shared" si="167"/>
        <v>0</v>
      </c>
      <c r="AB844" s="31">
        <f t="shared" si="168"/>
        <v>0</v>
      </c>
    </row>
    <row r="845" spans="15:28" x14ac:dyDescent="0.7">
      <c r="O845" s="32" t="str">
        <f t="shared" si="162"/>
        <v/>
      </c>
      <c r="P845" s="21"/>
      <c r="Q845" s="21"/>
      <c r="R845" s="33"/>
      <c r="S845" s="36">
        <f t="shared" si="171"/>
        <v>0</v>
      </c>
      <c r="T845" s="34">
        <f t="shared" si="169"/>
        <v>0</v>
      </c>
      <c r="U845" s="32">
        <f t="shared" si="170"/>
        <v>0</v>
      </c>
      <c r="V845" s="43"/>
      <c r="W845" s="32">
        <f t="shared" si="163"/>
        <v>0</v>
      </c>
      <c r="X845" s="34">
        <f t="shared" si="164"/>
        <v>0</v>
      </c>
      <c r="Y845" s="30">
        <f t="shared" si="165"/>
        <v>0</v>
      </c>
      <c r="Z845" s="34">
        <f t="shared" si="166"/>
        <v>0</v>
      </c>
      <c r="AA845" s="41">
        <f t="shared" si="167"/>
        <v>0</v>
      </c>
      <c r="AB845" s="31">
        <f t="shared" si="168"/>
        <v>0</v>
      </c>
    </row>
    <row r="846" spans="15:28" x14ac:dyDescent="0.7">
      <c r="O846" s="32" t="str">
        <f t="shared" si="162"/>
        <v/>
      </c>
      <c r="P846" s="21"/>
      <c r="Q846" s="21"/>
      <c r="R846" s="33"/>
      <c r="S846" s="36">
        <f t="shared" si="171"/>
        <v>0</v>
      </c>
      <c r="T846" s="34">
        <f t="shared" si="169"/>
        <v>0</v>
      </c>
      <c r="U846" s="32">
        <f t="shared" si="170"/>
        <v>0</v>
      </c>
      <c r="V846" s="43"/>
      <c r="W846" s="32">
        <f t="shared" si="163"/>
        <v>0</v>
      </c>
      <c r="X846" s="34">
        <f t="shared" si="164"/>
        <v>0</v>
      </c>
      <c r="Y846" s="30">
        <f t="shared" si="165"/>
        <v>0</v>
      </c>
      <c r="Z846" s="34">
        <f t="shared" si="166"/>
        <v>0</v>
      </c>
      <c r="AA846" s="41">
        <f t="shared" si="167"/>
        <v>0</v>
      </c>
      <c r="AB846" s="31">
        <f t="shared" si="168"/>
        <v>0</v>
      </c>
    </row>
    <row r="847" spans="15:28" x14ac:dyDescent="0.7">
      <c r="O847" s="32" t="str">
        <f t="shared" si="162"/>
        <v/>
      </c>
      <c r="P847" s="21"/>
      <c r="Q847" s="21"/>
      <c r="R847" s="33"/>
      <c r="S847" s="36">
        <f t="shared" si="171"/>
        <v>0</v>
      </c>
      <c r="T847" s="34">
        <f t="shared" si="169"/>
        <v>0</v>
      </c>
      <c r="U847" s="32">
        <f t="shared" si="170"/>
        <v>0</v>
      </c>
      <c r="V847" s="43"/>
      <c r="W847" s="32">
        <f t="shared" si="163"/>
        <v>0</v>
      </c>
      <c r="X847" s="34">
        <f t="shared" si="164"/>
        <v>0</v>
      </c>
      <c r="Y847" s="30">
        <f t="shared" si="165"/>
        <v>0</v>
      </c>
      <c r="Z847" s="34">
        <f t="shared" si="166"/>
        <v>0</v>
      </c>
      <c r="AA847" s="41">
        <f t="shared" si="167"/>
        <v>0</v>
      </c>
      <c r="AB847" s="31">
        <f t="shared" si="168"/>
        <v>0</v>
      </c>
    </row>
    <row r="848" spans="15:28" x14ac:dyDescent="0.7">
      <c r="O848" s="32" t="str">
        <f t="shared" si="162"/>
        <v/>
      </c>
      <c r="P848" s="21"/>
      <c r="Q848" s="21"/>
      <c r="R848" s="33"/>
      <c r="S848" s="36">
        <f t="shared" si="171"/>
        <v>0</v>
      </c>
      <c r="T848" s="34">
        <f t="shared" si="169"/>
        <v>0</v>
      </c>
      <c r="U848" s="32">
        <f t="shared" si="170"/>
        <v>0</v>
      </c>
      <c r="V848" s="43"/>
      <c r="W848" s="32">
        <f t="shared" si="163"/>
        <v>0</v>
      </c>
      <c r="X848" s="34">
        <f t="shared" si="164"/>
        <v>0</v>
      </c>
      <c r="Y848" s="30">
        <f t="shared" si="165"/>
        <v>0</v>
      </c>
      <c r="Z848" s="34">
        <f t="shared" si="166"/>
        <v>0</v>
      </c>
      <c r="AA848" s="41">
        <f t="shared" si="167"/>
        <v>0</v>
      </c>
      <c r="AB848" s="31">
        <f t="shared" si="168"/>
        <v>0</v>
      </c>
    </row>
    <row r="849" spans="15:28" x14ac:dyDescent="0.7">
      <c r="O849" s="32" t="str">
        <f t="shared" si="162"/>
        <v/>
      </c>
      <c r="P849" s="21"/>
      <c r="Q849" s="21"/>
      <c r="R849" s="33"/>
      <c r="S849" s="36">
        <f t="shared" si="171"/>
        <v>0</v>
      </c>
      <c r="T849" s="34">
        <f t="shared" si="169"/>
        <v>0</v>
      </c>
      <c r="U849" s="32">
        <f t="shared" si="170"/>
        <v>0</v>
      </c>
      <c r="V849" s="43"/>
      <c r="W849" s="32">
        <f t="shared" si="163"/>
        <v>0</v>
      </c>
      <c r="X849" s="34">
        <f t="shared" si="164"/>
        <v>0</v>
      </c>
      <c r="Y849" s="30">
        <f t="shared" si="165"/>
        <v>0</v>
      </c>
      <c r="Z849" s="34">
        <f t="shared" si="166"/>
        <v>0</v>
      </c>
      <c r="AA849" s="41">
        <f t="shared" si="167"/>
        <v>0</v>
      </c>
      <c r="AB849" s="31">
        <f t="shared" si="168"/>
        <v>0</v>
      </c>
    </row>
    <row r="850" spans="15:28" x14ac:dyDescent="0.7">
      <c r="O850" s="32" t="str">
        <f t="shared" si="162"/>
        <v/>
      </c>
      <c r="P850" s="21"/>
      <c r="Q850" s="21"/>
      <c r="R850" s="33"/>
      <c r="S850" s="36">
        <f t="shared" si="171"/>
        <v>0</v>
      </c>
      <c r="T850" s="34">
        <f t="shared" si="169"/>
        <v>0</v>
      </c>
      <c r="U850" s="32">
        <f t="shared" si="170"/>
        <v>0</v>
      </c>
      <c r="V850" s="43"/>
      <c r="W850" s="32">
        <f t="shared" si="163"/>
        <v>0</v>
      </c>
      <c r="X850" s="34">
        <f t="shared" si="164"/>
        <v>0</v>
      </c>
      <c r="Y850" s="30">
        <f t="shared" si="165"/>
        <v>0</v>
      </c>
      <c r="Z850" s="34">
        <f t="shared" si="166"/>
        <v>0</v>
      </c>
      <c r="AA850" s="41">
        <f t="shared" si="167"/>
        <v>0</v>
      </c>
      <c r="AB850" s="31">
        <f t="shared" si="168"/>
        <v>0</v>
      </c>
    </row>
    <row r="851" spans="15:28" x14ac:dyDescent="0.7">
      <c r="O851" s="32" t="str">
        <f t="shared" si="162"/>
        <v/>
      </c>
      <c r="P851" s="21"/>
      <c r="Q851" s="21"/>
      <c r="R851" s="33"/>
      <c r="S851" s="36">
        <f t="shared" si="171"/>
        <v>0</v>
      </c>
      <c r="T851" s="34">
        <f t="shared" si="169"/>
        <v>0</v>
      </c>
      <c r="U851" s="32">
        <f t="shared" si="170"/>
        <v>0</v>
      </c>
      <c r="V851" s="43"/>
      <c r="W851" s="32">
        <f t="shared" si="163"/>
        <v>0</v>
      </c>
      <c r="X851" s="34">
        <f t="shared" si="164"/>
        <v>0</v>
      </c>
      <c r="Y851" s="30">
        <f t="shared" si="165"/>
        <v>0</v>
      </c>
      <c r="Z851" s="34">
        <f t="shared" si="166"/>
        <v>0</v>
      </c>
      <c r="AA851" s="41">
        <f t="shared" si="167"/>
        <v>0</v>
      </c>
      <c r="AB851" s="31">
        <f t="shared" si="168"/>
        <v>0</v>
      </c>
    </row>
    <row r="852" spans="15:28" x14ac:dyDescent="0.7">
      <c r="O852" s="32" t="str">
        <f t="shared" si="162"/>
        <v/>
      </c>
      <c r="P852" s="21"/>
      <c r="Q852" s="21"/>
      <c r="R852" s="33"/>
      <c r="S852" s="36">
        <f t="shared" si="171"/>
        <v>0</v>
      </c>
      <c r="T852" s="34">
        <f t="shared" si="169"/>
        <v>0</v>
      </c>
      <c r="U852" s="32">
        <f t="shared" si="170"/>
        <v>0</v>
      </c>
      <c r="V852" s="43"/>
      <c r="W852" s="32">
        <f t="shared" si="163"/>
        <v>0</v>
      </c>
      <c r="X852" s="34">
        <f t="shared" si="164"/>
        <v>0</v>
      </c>
      <c r="Y852" s="30">
        <f t="shared" si="165"/>
        <v>0</v>
      </c>
      <c r="Z852" s="34">
        <f t="shared" si="166"/>
        <v>0</v>
      </c>
      <c r="AA852" s="41">
        <f t="shared" si="167"/>
        <v>0</v>
      </c>
      <c r="AB852" s="31">
        <f t="shared" si="168"/>
        <v>0</v>
      </c>
    </row>
    <row r="853" spans="15:28" x14ac:dyDescent="0.7">
      <c r="O853" s="32" t="str">
        <f t="shared" si="162"/>
        <v/>
      </c>
      <c r="P853" s="21"/>
      <c r="Q853" s="21"/>
      <c r="R853" s="33"/>
      <c r="S853" s="36">
        <f t="shared" si="171"/>
        <v>0</v>
      </c>
      <c r="T853" s="34">
        <f t="shared" si="169"/>
        <v>0</v>
      </c>
      <c r="U853" s="32">
        <f t="shared" si="170"/>
        <v>0</v>
      </c>
      <c r="V853" s="43"/>
      <c r="W853" s="32">
        <f t="shared" si="163"/>
        <v>0</v>
      </c>
      <c r="X853" s="34">
        <f t="shared" si="164"/>
        <v>0</v>
      </c>
      <c r="Y853" s="30">
        <f t="shared" si="165"/>
        <v>0</v>
      </c>
      <c r="Z853" s="34">
        <f t="shared" si="166"/>
        <v>0</v>
      </c>
      <c r="AA853" s="41">
        <f t="shared" si="167"/>
        <v>0</v>
      </c>
      <c r="AB853" s="31">
        <f t="shared" si="168"/>
        <v>0</v>
      </c>
    </row>
    <row r="854" spans="15:28" x14ac:dyDescent="0.7">
      <c r="O854" s="32" t="str">
        <f t="shared" si="162"/>
        <v/>
      </c>
      <c r="P854" s="21"/>
      <c r="Q854" s="21"/>
      <c r="R854" s="33"/>
      <c r="S854" s="36">
        <f t="shared" si="171"/>
        <v>0</v>
      </c>
      <c r="T854" s="34">
        <f t="shared" si="169"/>
        <v>0</v>
      </c>
      <c r="U854" s="32">
        <f t="shared" si="170"/>
        <v>0</v>
      </c>
      <c r="V854" s="43"/>
      <c r="W854" s="32">
        <f t="shared" si="163"/>
        <v>0</v>
      </c>
      <c r="X854" s="34">
        <f t="shared" si="164"/>
        <v>0</v>
      </c>
      <c r="Y854" s="30">
        <f t="shared" si="165"/>
        <v>0</v>
      </c>
      <c r="Z854" s="34">
        <f t="shared" si="166"/>
        <v>0</v>
      </c>
      <c r="AA854" s="41">
        <f t="shared" si="167"/>
        <v>0</v>
      </c>
      <c r="AB854" s="31">
        <f t="shared" si="168"/>
        <v>0</v>
      </c>
    </row>
    <row r="855" spans="15:28" x14ac:dyDescent="0.7">
      <c r="O855" s="32" t="str">
        <f t="shared" si="162"/>
        <v/>
      </c>
      <c r="P855" s="21"/>
      <c r="Q855" s="21"/>
      <c r="R855" s="33"/>
      <c r="S855" s="36">
        <f t="shared" si="171"/>
        <v>0</v>
      </c>
      <c r="T855" s="34">
        <f t="shared" si="169"/>
        <v>0</v>
      </c>
      <c r="U855" s="32">
        <f t="shared" si="170"/>
        <v>0</v>
      </c>
      <c r="V855" s="43"/>
      <c r="W855" s="32">
        <f t="shared" si="163"/>
        <v>0</v>
      </c>
      <c r="X855" s="34">
        <f t="shared" si="164"/>
        <v>0</v>
      </c>
      <c r="Y855" s="30">
        <f t="shared" si="165"/>
        <v>0</v>
      </c>
      <c r="Z855" s="34">
        <f t="shared" si="166"/>
        <v>0</v>
      </c>
      <c r="AA855" s="41">
        <f t="shared" si="167"/>
        <v>0</v>
      </c>
      <c r="AB855" s="31">
        <f t="shared" si="168"/>
        <v>0</v>
      </c>
    </row>
    <row r="856" spans="15:28" x14ac:dyDescent="0.7">
      <c r="O856" s="32" t="str">
        <f t="shared" si="162"/>
        <v/>
      </c>
      <c r="P856" s="21"/>
      <c r="Q856" s="21"/>
      <c r="R856" s="33"/>
      <c r="S856" s="36">
        <f t="shared" si="171"/>
        <v>0</v>
      </c>
      <c r="T856" s="34">
        <f t="shared" si="169"/>
        <v>0</v>
      </c>
      <c r="U856" s="32">
        <f t="shared" si="170"/>
        <v>0</v>
      </c>
      <c r="V856" s="43"/>
      <c r="W856" s="32">
        <f t="shared" si="163"/>
        <v>0</v>
      </c>
      <c r="X856" s="34">
        <f t="shared" si="164"/>
        <v>0</v>
      </c>
      <c r="Y856" s="30">
        <f t="shared" si="165"/>
        <v>0</v>
      </c>
      <c r="Z856" s="34">
        <f t="shared" si="166"/>
        <v>0</v>
      </c>
      <c r="AA856" s="41">
        <f t="shared" si="167"/>
        <v>0</v>
      </c>
      <c r="AB856" s="31">
        <f t="shared" si="168"/>
        <v>0</v>
      </c>
    </row>
    <row r="857" spans="15:28" x14ac:dyDescent="0.7">
      <c r="O857" s="32" t="str">
        <f t="shared" si="162"/>
        <v/>
      </c>
      <c r="P857" s="21"/>
      <c r="Q857" s="21"/>
      <c r="R857" s="33"/>
      <c r="S857" s="36">
        <f t="shared" si="171"/>
        <v>0</v>
      </c>
      <c r="T857" s="34">
        <f t="shared" si="169"/>
        <v>0</v>
      </c>
      <c r="U857" s="32">
        <f t="shared" si="170"/>
        <v>0</v>
      </c>
      <c r="V857" s="43"/>
      <c r="W857" s="32">
        <f t="shared" si="163"/>
        <v>0</v>
      </c>
      <c r="X857" s="34">
        <f t="shared" si="164"/>
        <v>0</v>
      </c>
      <c r="Y857" s="30">
        <f t="shared" si="165"/>
        <v>0</v>
      </c>
      <c r="Z857" s="34">
        <f t="shared" si="166"/>
        <v>0</v>
      </c>
      <c r="AA857" s="41">
        <f t="shared" si="167"/>
        <v>0</v>
      </c>
      <c r="AB857" s="31">
        <f t="shared" si="168"/>
        <v>0</v>
      </c>
    </row>
    <row r="858" spans="15:28" x14ac:dyDescent="0.7">
      <c r="O858" s="32" t="str">
        <f t="shared" si="162"/>
        <v/>
      </c>
      <c r="P858" s="21"/>
      <c r="Q858" s="21"/>
      <c r="R858" s="33"/>
      <c r="S858" s="36">
        <f t="shared" si="171"/>
        <v>0</v>
      </c>
      <c r="T858" s="34">
        <f t="shared" si="169"/>
        <v>0</v>
      </c>
      <c r="U858" s="32">
        <f t="shared" si="170"/>
        <v>0</v>
      </c>
      <c r="V858" s="43"/>
      <c r="W858" s="32">
        <f t="shared" si="163"/>
        <v>0</v>
      </c>
      <c r="X858" s="34">
        <f t="shared" si="164"/>
        <v>0</v>
      </c>
      <c r="Y858" s="30">
        <f t="shared" si="165"/>
        <v>0</v>
      </c>
      <c r="Z858" s="34">
        <f t="shared" si="166"/>
        <v>0</v>
      </c>
      <c r="AA858" s="41">
        <f t="shared" si="167"/>
        <v>0</v>
      </c>
      <c r="AB858" s="31">
        <f t="shared" si="168"/>
        <v>0</v>
      </c>
    </row>
    <row r="859" spans="15:28" x14ac:dyDescent="0.7">
      <c r="O859" s="32" t="str">
        <f t="shared" si="162"/>
        <v/>
      </c>
      <c r="P859" s="21"/>
      <c r="Q859" s="21"/>
      <c r="R859" s="33"/>
      <c r="S859" s="36">
        <f t="shared" si="171"/>
        <v>0</v>
      </c>
      <c r="T859" s="34">
        <f t="shared" si="169"/>
        <v>0</v>
      </c>
      <c r="U859" s="32">
        <f t="shared" si="170"/>
        <v>0</v>
      </c>
      <c r="V859" s="43"/>
      <c r="W859" s="32">
        <f t="shared" si="163"/>
        <v>0</v>
      </c>
      <c r="X859" s="34">
        <f t="shared" si="164"/>
        <v>0</v>
      </c>
      <c r="Y859" s="30">
        <f t="shared" si="165"/>
        <v>0</v>
      </c>
      <c r="Z859" s="34">
        <f t="shared" si="166"/>
        <v>0</v>
      </c>
      <c r="AA859" s="41">
        <f t="shared" si="167"/>
        <v>0</v>
      </c>
      <c r="AB859" s="31">
        <f t="shared" si="168"/>
        <v>0</v>
      </c>
    </row>
    <row r="860" spans="15:28" x14ac:dyDescent="0.7">
      <c r="O860" s="32" t="str">
        <f t="shared" si="162"/>
        <v/>
      </c>
      <c r="P860" s="21"/>
      <c r="Q860" s="21"/>
      <c r="R860" s="33"/>
      <c r="S860" s="36">
        <f t="shared" si="171"/>
        <v>0</v>
      </c>
      <c r="T860" s="34">
        <f t="shared" si="169"/>
        <v>0</v>
      </c>
      <c r="U860" s="32">
        <f t="shared" si="170"/>
        <v>0</v>
      </c>
      <c r="V860" s="43"/>
      <c r="W860" s="32">
        <f t="shared" si="163"/>
        <v>0</v>
      </c>
      <c r="X860" s="34">
        <f t="shared" si="164"/>
        <v>0</v>
      </c>
      <c r="Y860" s="30">
        <f t="shared" si="165"/>
        <v>0</v>
      </c>
      <c r="Z860" s="34">
        <f t="shared" si="166"/>
        <v>0</v>
      </c>
      <c r="AA860" s="41">
        <f t="shared" si="167"/>
        <v>0</v>
      </c>
      <c r="AB860" s="31">
        <f t="shared" si="168"/>
        <v>0</v>
      </c>
    </row>
    <row r="861" spans="15:28" x14ac:dyDescent="0.7">
      <c r="O861" s="32" t="str">
        <f t="shared" si="162"/>
        <v/>
      </c>
      <c r="P861" s="21"/>
      <c r="Q861" s="21"/>
      <c r="R861" s="33"/>
      <c r="S861" s="36">
        <f t="shared" si="171"/>
        <v>0</v>
      </c>
      <c r="T861" s="34">
        <f t="shared" si="169"/>
        <v>0</v>
      </c>
      <c r="U861" s="32">
        <f t="shared" si="170"/>
        <v>0</v>
      </c>
      <c r="V861" s="43"/>
      <c r="W861" s="32">
        <f t="shared" si="163"/>
        <v>0</v>
      </c>
      <c r="X861" s="34">
        <f t="shared" si="164"/>
        <v>0</v>
      </c>
      <c r="Y861" s="30">
        <f t="shared" si="165"/>
        <v>0</v>
      </c>
      <c r="Z861" s="34">
        <f t="shared" si="166"/>
        <v>0</v>
      </c>
      <c r="AA861" s="41">
        <f t="shared" si="167"/>
        <v>0</v>
      </c>
      <c r="AB861" s="31">
        <f t="shared" si="168"/>
        <v>0</v>
      </c>
    </row>
    <row r="862" spans="15:28" x14ac:dyDescent="0.7">
      <c r="O862" s="32" t="str">
        <f t="shared" si="162"/>
        <v/>
      </c>
      <c r="P862" s="21"/>
      <c r="Q862" s="21"/>
      <c r="R862" s="33"/>
      <c r="S862" s="36">
        <f t="shared" si="171"/>
        <v>0</v>
      </c>
      <c r="T862" s="34">
        <f t="shared" si="169"/>
        <v>0</v>
      </c>
      <c r="U862" s="32">
        <f t="shared" si="170"/>
        <v>0</v>
      </c>
      <c r="V862" s="43"/>
      <c r="W862" s="32">
        <f t="shared" si="163"/>
        <v>0</v>
      </c>
      <c r="X862" s="34">
        <f t="shared" si="164"/>
        <v>0</v>
      </c>
      <c r="Y862" s="30">
        <f t="shared" si="165"/>
        <v>0</v>
      </c>
      <c r="Z862" s="34">
        <f t="shared" si="166"/>
        <v>0</v>
      </c>
      <c r="AA862" s="41">
        <f t="shared" si="167"/>
        <v>0</v>
      </c>
      <c r="AB862" s="31">
        <f t="shared" si="168"/>
        <v>0</v>
      </c>
    </row>
    <row r="863" spans="15:28" x14ac:dyDescent="0.7">
      <c r="O863" s="32" t="str">
        <f t="shared" si="162"/>
        <v/>
      </c>
      <c r="P863" s="21"/>
      <c r="Q863" s="21"/>
      <c r="R863" s="33"/>
      <c r="S863" s="36">
        <f t="shared" si="171"/>
        <v>0</v>
      </c>
      <c r="T863" s="34">
        <f t="shared" si="169"/>
        <v>0</v>
      </c>
      <c r="U863" s="32">
        <f t="shared" si="170"/>
        <v>0</v>
      </c>
      <c r="V863" s="43"/>
      <c r="W863" s="32">
        <f t="shared" si="163"/>
        <v>0</v>
      </c>
      <c r="X863" s="34">
        <f t="shared" si="164"/>
        <v>0</v>
      </c>
      <c r="Y863" s="30">
        <f t="shared" si="165"/>
        <v>0</v>
      </c>
      <c r="Z863" s="34">
        <f t="shared" si="166"/>
        <v>0</v>
      </c>
      <c r="AA863" s="41">
        <f t="shared" si="167"/>
        <v>0</v>
      </c>
      <c r="AB863" s="31">
        <f t="shared" si="168"/>
        <v>0</v>
      </c>
    </row>
    <row r="864" spans="15:28" x14ac:dyDescent="0.7">
      <c r="O864" s="32" t="str">
        <f t="shared" si="162"/>
        <v/>
      </c>
      <c r="P864" s="21"/>
      <c r="Q864" s="21"/>
      <c r="R864" s="33"/>
      <c r="S864" s="36">
        <f t="shared" si="171"/>
        <v>0</v>
      </c>
      <c r="T864" s="34">
        <f t="shared" si="169"/>
        <v>0</v>
      </c>
      <c r="U864" s="32">
        <f t="shared" si="170"/>
        <v>0</v>
      </c>
      <c r="V864" s="43"/>
      <c r="W864" s="32">
        <f t="shared" si="163"/>
        <v>0</v>
      </c>
      <c r="X864" s="34">
        <f t="shared" si="164"/>
        <v>0</v>
      </c>
      <c r="Y864" s="30">
        <f t="shared" si="165"/>
        <v>0</v>
      </c>
      <c r="Z864" s="34">
        <f t="shared" si="166"/>
        <v>0</v>
      </c>
      <c r="AA864" s="41">
        <f t="shared" si="167"/>
        <v>0</v>
      </c>
      <c r="AB864" s="31">
        <f t="shared" si="168"/>
        <v>0</v>
      </c>
    </row>
    <row r="865" spans="15:28" x14ac:dyDescent="0.7">
      <c r="O865" s="32" t="str">
        <f t="shared" si="162"/>
        <v/>
      </c>
      <c r="P865" s="21"/>
      <c r="Q865" s="21"/>
      <c r="R865" s="33"/>
      <c r="S865" s="36">
        <f t="shared" si="171"/>
        <v>0</v>
      </c>
      <c r="T865" s="34">
        <f t="shared" si="169"/>
        <v>0</v>
      </c>
      <c r="U865" s="32">
        <f t="shared" si="170"/>
        <v>0</v>
      </c>
      <c r="V865" s="43"/>
      <c r="W865" s="32">
        <f t="shared" si="163"/>
        <v>0</v>
      </c>
      <c r="X865" s="34">
        <f t="shared" si="164"/>
        <v>0</v>
      </c>
      <c r="Y865" s="30">
        <f t="shared" si="165"/>
        <v>0</v>
      </c>
      <c r="Z865" s="34">
        <f t="shared" si="166"/>
        <v>0</v>
      </c>
      <c r="AA865" s="41">
        <f t="shared" si="167"/>
        <v>0</v>
      </c>
      <c r="AB865" s="31">
        <f t="shared" si="168"/>
        <v>0</v>
      </c>
    </row>
    <row r="866" spans="15:28" x14ac:dyDescent="0.7">
      <c r="O866" s="32" t="str">
        <f t="shared" si="162"/>
        <v/>
      </c>
      <c r="P866" s="21"/>
      <c r="Q866" s="21"/>
      <c r="R866" s="33"/>
      <c r="S866" s="36">
        <f t="shared" si="171"/>
        <v>0</v>
      </c>
      <c r="T866" s="34">
        <f t="shared" si="169"/>
        <v>0</v>
      </c>
      <c r="U866" s="32">
        <f t="shared" si="170"/>
        <v>0</v>
      </c>
      <c r="V866" s="43"/>
      <c r="W866" s="32">
        <f t="shared" si="163"/>
        <v>0</v>
      </c>
      <c r="X866" s="34">
        <f t="shared" si="164"/>
        <v>0</v>
      </c>
      <c r="Y866" s="30">
        <f t="shared" si="165"/>
        <v>0</v>
      </c>
      <c r="Z866" s="34">
        <f t="shared" si="166"/>
        <v>0</v>
      </c>
      <c r="AA866" s="41">
        <f t="shared" si="167"/>
        <v>0</v>
      </c>
      <c r="AB866" s="31">
        <f t="shared" si="168"/>
        <v>0</v>
      </c>
    </row>
    <row r="867" spans="15:28" x14ac:dyDescent="0.7">
      <c r="O867" s="32" t="str">
        <f t="shared" si="162"/>
        <v/>
      </c>
      <c r="P867" s="21"/>
      <c r="Q867" s="21"/>
      <c r="R867" s="33"/>
      <c r="S867" s="36">
        <f t="shared" si="171"/>
        <v>0</v>
      </c>
      <c r="T867" s="34">
        <f t="shared" si="169"/>
        <v>0</v>
      </c>
      <c r="U867" s="32">
        <f t="shared" si="170"/>
        <v>0</v>
      </c>
      <c r="V867" s="43"/>
      <c r="W867" s="32">
        <f t="shared" si="163"/>
        <v>0</v>
      </c>
      <c r="X867" s="34">
        <f t="shared" si="164"/>
        <v>0</v>
      </c>
      <c r="Y867" s="30">
        <f t="shared" si="165"/>
        <v>0</v>
      </c>
      <c r="Z867" s="34">
        <f t="shared" si="166"/>
        <v>0</v>
      </c>
      <c r="AA867" s="41">
        <f t="shared" si="167"/>
        <v>0</v>
      </c>
      <c r="AB867" s="31">
        <f t="shared" si="168"/>
        <v>0</v>
      </c>
    </row>
    <row r="868" spans="15:28" x14ac:dyDescent="0.7">
      <c r="O868" s="32" t="str">
        <f t="shared" si="162"/>
        <v/>
      </c>
      <c r="P868" s="21"/>
      <c r="Q868" s="21"/>
      <c r="R868" s="33"/>
      <c r="S868" s="36">
        <f t="shared" si="171"/>
        <v>0</v>
      </c>
      <c r="T868" s="34">
        <f t="shared" si="169"/>
        <v>0</v>
      </c>
      <c r="U868" s="32">
        <f t="shared" si="170"/>
        <v>0</v>
      </c>
      <c r="V868" s="43"/>
      <c r="W868" s="32">
        <f t="shared" si="163"/>
        <v>0</v>
      </c>
      <c r="X868" s="34">
        <f t="shared" si="164"/>
        <v>0</v>
      </c>
      <c r="Y868" s="30">
        <f t="shared" si="165"/>
        <v>0</v>
      </c>
      <c r="Z868" s="34">
        <f t="shared" si="166"/>
        <v>0</v>
      </c>
      <c r="AA868" s="41">
        <f t="shared" si="167"/>
        <v>0</v>
      </c>
      <c r="AB868" s="31">
        <f t="shared" si="168"/>
        <v>0</v>
      </c>
    </row>
    <row r="869" spans="15:28" x14ac:dyDescent="0.7">
      <c r="O869" s="32" t="str">
        <f t="shared" si="162"/>
        <v/>
      </c>
      <c r="P869" s="21"/>
      <c r="Q869" s="21"/>
      <c r="R869" s="33"/>
      <c r="S869" s="36">
        <f t="shared" si="171"/>
        <v>0</v>
      </c>
      <c r="T869" s="34">
        <f t="shared" si="169"/>
        <v>0</v>
      </c>
      <c r="U869" s="32">
        <f t="shared" si="170"/>
        <v>0</v>
      </c>
      <c r="V869" s="43"/>
      <c r="W869" s="32">
        <f t="shared" si="163"/>
        <v>0</v>
      </c>
      <c r="X869" s="34">
        <f t="shared" si="164"/>
        <v>0</v>
      </c>
      <c r="Y869" s="30">
        <f t="shared" si="165"/>
        <v>0</v>
      </c>
      <c r="Z869" s="34">
        <f t="shared" si="166"/>
        <v>0</v>
      </c>
      <c r="AA869" s="41">
        <f t="shared" si="167"/>
        <v>0</v>
      </c>
      <c r="AB869" s="31">
        <f t="shared" si="168"/>
        <v>0</v>
      </c>
    </row>
    <row r="870" spans="15:28" x14ac:dyDescent="0.7">
      <c r="O870" s="32" t="str">
        <f t="shared" si="162"/>
        <v/>
      </c>
      <c r="P870" s="21"/>
      <c r="Q870" s="21"/>
      <c r="R870" s="33"/>
      <c r="S870" s="36">
        <f t="shared" si="171"/>
        <v>0</v>
      </c>
      <c r="T870" s="34">
        <f t="shared" si="169"/>
        <v>0</v>
      </c>
      <c r="U870" s="32">
        <f t="shared" si="170"/>
        <v>0</v>
      </c>
      <c r="V870" s="43"/>
      <c r="W870" s="32">
        <f t="shared" si="163"/>
        <v>0</v>
      </c>
      <c r="X870" s="34">
        <f t="shared" si="164"/>
        <v>0</v>
      </c>
      <c r="Y870" s="30">
        <f t="shared" si="165"/>
        <v>0</v>
      </c>
      <c r="Z870" s="34">
        <f t="shared" si="166"/>
        <v>0</v>
      </c>
      <c r="AA870" s="41">
        <f t="shared" si="167"/>
        <v>0</v>
      </c>
      <c r="AB870" s="31">
        <f t="shared" si="168"/>
        <v>0</v>
      </c>
    </row>
    <row r="871" spans="15:28" x14ac:dyDescent="0.7">
      <c r="O871" s="32" t="str">
        <f t="shared" si="162"/>
        <v/>
      </c>
      <c r="P871" s="21"/>
      <c r="Q871" s="21"/>
      <c r="R871" s="33"/>
      <c r="S871" s="36">
        <f t="shared" si="171"/>
        <v>0</v>
      </c>
      <c r="T871" s="34">
        <f t="shared" si="169"/>
        <v>0</v>
      </c>
      <c r="U871" s="32">
        <f t="shared" si="170"/>
        <v>0</v>
      </c>
      <c r="V871" s="43"/>
      <c r="W871" s="32">
        <f t="shared" si="163"/>
        <v>0</v>
      </c>
      <c r="X871" s="34">
        <f t="shared" si="164"/>
        <v>0</v>
      </c>
      <c r="Y871" s="30">
        <f t="shared" si="165"/>
        <v>0</v>
      </c>
      <c r="Z871" s="34">
        <f t="shared" si="166"/>
        <v>0</v>
      </c>
      <c r="AA871" s="41">
        <f t="shared" si="167"/>
        <v>0</v>
      </c>
      <c r="AB871" s="31">
        <f t="shared" si="168"/>
        <v>0</v>
      </c>
    </row>
    <row r="872" spans="15:28" x14ac:dyDescent="0.7">
      <c r="O872" s="32" t="str">
        <f t="shared" si="162"/>
        <v/>
      </c>
      <c r="P872" s="21"/>
      <c r="Q872" s="21"/>
      <c r="R872" s="33"/>
      <c r="S872" s="36">
        <f t="shared" si="171"/>
        <v>0</v>
      </c>
      <c r="T872" s="34">
        <f t="shared" si="169"/>
        <v>0</v>
      </c>
      <c r="U872" s="32">
        <f t="shared" si="170"/>
        <v>0</v>
      </c>
      <c r="V872" s="43"/>
      <c r="W872" s="32">
        <f t="shared" si="163"/>
        <v>0</v>
      </c>
      <c r="X872" s="34">
        <f t="shared" si="164"/>
        <v>0</v>
      </c>
      <c r="Y872" s="30">
        <f t="shared" si="165"/>
        <v>0</v>
      </c>
      <c r="Z872" s="34">
        <f t="shared" si="166"/>
        <v>0</v>
      </c>
      <c r="AA872" s="41">
        <f t="shared" si="167"/>
        <v>0</v>
      </c>
      <c r="AB872" s="31">
        <f t="shared" si="168"/>
        <v>0</v>
      </c>
    </row>
    <row r="873" spans="15:28" x14ac:dyDescent="0.7">
      <c r="O873" s="32" t="str">
        <f t="shared" si="162"/>
        <v/>
      </c>
      <c r="P873" s="21"/>
      <c r="Q873" s="21"/>
      <c r="R873" s="33"/>
      <c r="S873" s="36">
        <f t="shared" si="171"/>
        <v>0</v>
      </c>
      <c r="T873" s="34">
        <f t="shared" si="169"/>
        <v>0</v>
      </c>
      <c r="U873" s="32">
        <f t="shared" si="170"/>
        <v>0</v>
      </c>
      <c r="V873" s="43"/>
      <c r="W873" s="32">
        <f t="shared" si="163"/>
        <v>0</v>
      </c>
      <c r="X873" s="34">
        <f t="shared" si="164"/>
        <v>0</v>
      </c>
      <c r="Y873" s="30">
        <f t="shared" si="165"/>
        <v>0</v>
      </c>
      <c r="Z873" s="34">
        <f t="shared" si="166"/>
        <v>0</v>
      </c>
      <c r="AA873" s="41">
        <f t="shared" si="167"/>
        <v>0</v>
      </c>
      <c r="AB873" s="31">
        <f t="shared" si="168"/>
        <v>0</v>
      </c>
    </row>
    <row r="874" spans="15:28" x14ac:dyDescent="0.7">
      <c r="O874" s="32" t="str">
        <f t="shared" si="162"/>
        <v/>
      </c>
      <c r="P874" s="21"/>
      <c r="Q874" s="21"/>
      <c r="R874" s="33"/>
      <c r="S874" s="36">
        <f t="shared" si="171"/>
        <v>0</v>
      </c>
      <c r="T874" s="34">
        <f t="shared" si="169"/>
        <v>0</v>
      </c>
      <c r="U874" s="32">
        <f t="shared" si="170"/>
        <v>0</v>
      </c>
      <c r="V874" s="43"/>
      <c r="W874" s="32">
        <f t="shared" si="163"/>
        <v>0</v>
      </c>
      <c r="X874" s="34">
        <f t="shared" si="164"/>
        <v>0</v>
      </c>
      <c r="Y874" s="30">
        <f t="shared" si="165"/>
        <v>0</v>
      </c>
      <c r="Z874" s="34">
        <f t="shared" si="166"/>
        <v>0</v>
      </c>
      <c r="AA874" s="41">
        <f t="shared" si="167"/>
        <v>0</v>
      </c>
      <c r="AB874" s="31">
        <f t="shared" si="168"/>
        <v>0</v>
      </c>
    </row>
    <row r="875" spans="15:28" x14ac:dyDescent="0.7">
      <c r="O875" s="32" t="str">
        <f t="shared" si="162"/>
        <v/>
      </c>
      <c r="P875" s="21"/>
      <c r="Q875" s="21"/>
      <c r="R875" s="33"/>
      <c r="S875" s="36">
        <f t="shared" si="171"/>
        <v>0</v>
      </c>
      <c r="T875" s="34">
        <f t="shared" si="169"/>
        <v>0</v>
      </c>
      <c r="U875" s="32">
        <f t="shared" si="170"/>
        <v>0</v>
      </c>
      <c r="V875" s="43"/>
      <c r="W875" s="32">
        <f t="shared" si="163"/>
        <v>0</v>
      </c>
      <c r="X875" s="34">
        <f t="shared" si="164"/>
        <v>0</v>
      </c>
      <c r="Y875" s="30">
        <f t="shared" si="165"/>
        <v>0</v>
      </c>
      <c r="Z875" s="34">
        <f t="shared" si="166"/>
        <v>0</v>
      </c>
      <c r="AA875" s="41">
        <f t="shared" si="167"/>
        <v>0</v>
      </c>
      <c r="AB875" s="31">
        <f t="shared" si="168"/>
        <v>0</v>
      </c>
    </row>
    <row r="876" spans="15:28" x14ac:dyDescent="0.7">
      <c r="O876" s="32" t="str">
        <f t="shared" si="162"/>
        <v/>
      </c>
      <c r="P876" s="21"/>
      <c r="Q876" s="21"/>
      <c r="R876" s="33"/>
      <c r="S876" s="36">
        <f t="shared" si="171"/>
        <v>0</v>
      </c>
      <c r="T876" s="34">
        <f t="shared" si="169"/>
        <v>0</v>
      </c>
      <c r="U876" s="32">
        <f t="shared" si="170"/>
        <v>0</v>
      </c>
      <c r="V876" s="43"/>
      <c r="W876" s="32">
        <f t="shared" si="163"/>
        <v>0</v>
      </c>
      <c r="X876" s="34">
        <f t="shared" si="164"/>
        <v>0</v>
      </c>
      <c r="Y876" s="30">
        <f t="shared" si="165"/>
        <v>0</v>
      </c>
      <c r="Z876" s="34">
        <f t="shared" si="166"/>
        <v>0</v>
      </c>
      <c r="AA876" s="41">
        <f t="shared" si="167"/>
        <v>0</v>
      </c>
      <c r="AB876" s="31">
        <f t="shared" si="168"/>
        <v>0</v>
      </c>
    </row>
    <row r="877" spans="15:28" x14ac:dyDescent="0.7">
      <c r="O877" s="32" t="str">
        <f t="shared" si="162"/>
        <v/>
      </c>
      <c r="P877" s="21"/>
      <c r="Q877" s="21"/>
      <c r="R877" s="33"/>
      <c r="S877" s="36">
        <f t="shared" si="171"/>
        <v>0</v>
      </c>
      <c r="T877" s="34">
        <f t="shared" si="169"/>
        <v>0</v>
      </c>
      <c r="U877" s="32">
        <f t="shared" si="170"/>
        <v>0</v>
      </c>
      <c r="V877" s="43"/>
      <c r="W877" s="32">
        <f t="shared" si="163"/>
        <v>0</v>
      </c>
      <c r="X877" s="34">
        <f t="shared" si="164"/>
        <v>0</v>
      </c>
      <c r="Y877" s="30">
        <f t="shared" si="165"/>
        <v>0</v>
      </c>
      <c r="Z877" s="34">
        <f t="shared" si="166"/>
        <v>0</v>
      </c>
      <c r="AA877" s="41">
        <f t="shared" si="167"/>
        <v>0</v>
      </c>
      <c r="AB877" s="31">
        <f t="shared" si="168"/>
        <v>0</v>
      </c>
    </row>
    <row r="878" spans="15:28" x14ac:dyDescent="0.7">
      <c r="O878" s="32" t="str">
        <f t="shared" si="162"/>
        <v/>
      </c>
      <c r="P878" s="21"/>
      <c r="Q878" s="21"/>
      <c r="R878" s="33"/>
      <c r="S878" s="36">
        <f t="shared" si="171"/>
        <v>0</v>
      </c>
      <c r="T878" s="34">
        <f t="shared" si="169"/>
        <v>0</v>
      </c>
      <c r="U878" s="32">
        <f t="shared" si="170"/>
        <v>0</v>
      </c>
      <c r="V878" s="43"/>
      <c r="W878" s="32">
        <f t="shared" si="163"/>
        <v>0</v>
      </c>
      <c r="X878" s="34">
        <f t="shared" si="164"/>
        <v>0</v>
      </c>
      <c r="Y878" s="30">
        <f t="shared" si="165"/>
        <v>0</v>
      </c>
      <c r="Z878" s="34">
        <f t="shared" si="166"/>
        <v>0</v>
      </c>
      <c r="AA878" s="41">
        <f t="shared" si="167"/>
        <v>0</v>
      </c>
      <c r="AB878" s="31">
        <f t="shared" si="168"/>
        <v>0</v>
      </c>
    </row>
    <row r="879" spans="15:28" x14ac:dyDescent="0.7">
      <c r="O879" s="32" t="str">
        <f t="shared" si="162"/>
        <v/>
      </c>
      <c r="P879" s="21"/>
      <c r="Q879" s="21"/>
      <c r="R879" s="33"/>
      <c r="S879" s="36">
        <f t="shared" si="171"/>
        <v>0</v>
      </c>
      <c r="T879" s="34">
        <f t="shared" si="169"/>
        <v>0</v>
      </c>
      <c r="U879" s="32">
        <f t="shared" si="170"/>
        <v>0</v>
      </c>
      <c r="V879" s="43"/>
      <c r="W879" s="32">
        <f t="shared" si="163"/>
        <v>0</v>
      </c>
      <c r="X879" s="34">
        <f t="shared" si="164"/>
        <v>0</v>
      </c>
      <c r="Y879" s="30">
        <f t="shared" si="165"/>
        <v>0</v>
      </c>
      <c r="Z879" s="34">
        <f t="shared" si="166"/>
        <v>0</v>
      </c>
      <c r="AA879" s="41">
        <f t="shared" si="167"/>
        <v>0</v>
      </c>
      <c r="AB879" s="31">
        <f t="shared" si="168"/>
        <v>0</v>
      </c>
    </row>
    <row r="880" spans="15:28" x14ac:dyDescent="0.7">
      <c r="O880" s="32" t="str">
        <f t="shared" si="162"/>
        <v/>
      </c>
      <c r="P880" s="21"/>
      <c r="Q880" s="21"/>
      <c r="R880" s="33"/>
      <c r="S880" s="36">
        <f t="shared" si="171"/>
        <v>0</v>
      </c>
      <c r="T880" s="34">
        <f t="shared" si="169"/>
        <v>0</v>
      </c>
      <c r="U880" s="32">
        <f t="shared" si="170"/>
        <v>0</v>
      </c>
      <c r="V880" s="43"/>
      <c r="W880" s="32">
        <f t="shared" si="163"/>
        <v>0</v>
      </c>
      <c r="X880" s="34">
        <f t="shared" si="164"/>
        <v>0</v>
      </c>
      <c r="Y880" s="30">
        <f t="shared" si="165"/>
        <v>0</v>
      </c>
      <c r="Z880" s="34">
        <f t="shared" si="166"/>
        <v>0</v>
      </c>
      <c r="AA880" s="41">
        <f t="shared" si="167"/>
        <v>0</v>
      </c>
      <c r="AB880" s="31">
        <f t="shared" si="168"/>
        <v>0</v>
      </c>
    </row>
    <row r="881" spans="15:28" x14ac:dyDescent="0.7">
      <c r="O881" s="32" t="str">
        <f t="shared" si="162"/>
        <v/>
      </c>
      <c r="P881" s="21"/>
      <c r="Q881" s="21"/>
      <c r="R881" s="33"/>
      <c r="S881" s="36">
        <f t="shared" si="171"/>
        <v>0</v>
      </c>
      <c r="T881" s="34">
        <f t="shared" si="169"/>
        <v>0</v>
      </c>
      <c r="U881" s="32">
        <f t="shared" si="170"/>
        <v>0</v>
      </c>
      <c r="V881" s="43"/>
      <c r="W881" s="32">
        <f t="shared" si="163"/>
        <v>0</v>
      </c>
      <c r="X881" s="34">
        <f t="shared" si="164"/>
        <v>0</v>
      </c>
      <c r="Y881" s="30">
        <f t="shared" si="165"/>
        <v>0</v>
      </c>
      <c r="Z881" s="34">
        <f t="shared" si="166"/>
        <v>0</v>
      </c>
      <c r="AA881" s="41">
        <f t="shared" si="167"/>
        <v>0</v>
      </c>
      <c r="AB881" s="31">
        <f t="shared" si="168"/>
        <v>0</v>
      </c>
    </row>
    <row r="882" spans="15:28" x14ac:dyDescent="0.7">
      <c r="O882" s="32" t="str">
        <f t="shared" si="162"/>
        <v/>
      </c>
      <c r="P882" s="21"/>
      <c r="Q882" s="21"/>
      <c r="R882" s="33"/>
      <c r="S882" s="36">
        <f t="shared" si="171"/>
        <v>0</v>
      </c>
      <c r="T882" s="34">
        <f t="shared" si="169"/>
        <v>0</v>
      </c>
      <c r="U882" s="32">
        <f t="shared" si="170"/>
        <v>0</v>
      </c>
      <c r="V882" s="43"/>
      <c r="W882" s="32">
        <f t="shared" si="163"/>
        <v>0</v>
      </c>
      <c r="X882" s="34">
        <f t="shared" si="164"/>
        <v>0</v>
      </c>
      <c r="Y882" s="30">
        <f t="shared" si="165"/>
        <v>0</v>
      </c>
      <c r="Z882" s="34">
        <f t="shared" si="166"/>
        <v>0</v>
      </c>
      <c r="AA882" s="41">
        <f t="shared" si="167"/>
        <v>0</v>
      </c>
      <c r="AB882" s="31">
        <f t="shared" si="168"/>
        <v>0</v>
      </c>
    </row>
    <row r="883" spans="15:28" x14ac:dyDescent="0.7">
      <c r="O883" s="32" t="str">
        <f t="shared" si="162"/>
        <v/>
      </c>
      <c r="P883" s="21"/>
      <c r="Q883" s="21"/>
      <c r="R883" s="33"/>
      <c r="S883" s="36">
        <f t="shared" si="171"/>
        <v>0</v>
      </c>
      <c r="T883" s="34">
        <f t="shared" si="169"/>
        <v>0</v>
      </c>
      <c r="U883" s="32">
        <f t="shared" si="170"/>
        <v>0</v>
      </c>
      <c r="V883" s="43"/>
      <c r="W883" s="32">
        <f t="shared" si="163"/>
        <v>0</v>
      </c>
      <c r="X883" s="34">
        <f t="shared" si="164"/>
        <v>0</v>
      </c>
      <c r="Y883" s="30">
        <f t="shared" si="165"/>
        <v>0</v>
      </c>
      <c r="Z883" s="34">
        <f t="shared" si="166"/>
        <v>0</v>
      </c>
      <c r="AA883" s="41">
        <f t="shared" si="167"/>
        <v>0</v>
      </c>
      <c r="AB883" s="31">
        <f t="shared" si="168"/>
        <v>0</v>
      </c>
    </row>
    <row r="884" spans="15:28" x14ac:dyDescent="0.7">
      <c r="O884" s="32" t="str">
        <f t="shared" si="162"/>
        <v/>
      </c>
      <c r="P884" s="21"/>
      <c r="Q884" s="21"/>
      <c r="R884" s="33"/>
      <c r="S884" s="36">
        <f t="shared" si="171"/>
        <v>0</v>
      </c>
      <c r="T884" s="34">
        <f t="shared" si="169"/>
        <v>0</v>
      </c>
      <c r="U884" s="32">
        <f t="shared" si="170"/>
        <v>0</v>
      </c>
      <c r="V884" s="43"/>
      <c r="W884" s="32">
        <f t="shared" si="163"/>
        <v>0</v>
      </c>
      <c r="X884" s="34">
        <f t="shared" si="164"/>
        <v>0</v>
      </c>
      <c r="Y884" s="30">
        <f t="shared" si="165"/>
        <v>0</v>
      </c>
      <c r="Z884" s="34">
        <f t="shared" si="166"/>
        <v>0</v>
      </c>
      <c r="AA884" s="41">
        <f t="shared" si="167"/>
        <v>0</v>
      </c>
      <c r="AB884" s="31">
        <f t="shared" si="168"/>
        <v>0</v>
      </c>
    </row>
    <row r="885" spans="15:28" x14ac:dyDescent="0.7">
      <c r="O885" s="32" t="str">
        <f t="shared" si="162"/>
        <v/>
      </c>
      <c r="P885" s="21"/>
      <c r="Q885" s="21"/>
      <c r="R885" s="33"/>
      <c r="S885" s="36">
        <f t="shared" si="171"/>
        <v>0</v>
      </c>
      <c r="T885" s="34">
        <f t="shared" si="169"/>
        <v>0</v>
      </c>
      <c r="U885" s="32">
        <f t="shared" si="170"/>
        <v>0</v>
      </c>
      <c r="V885" s="43"/>
      <c r="W885" s="32">
        <f t="shared" si="163"/>
        <v>0</v>
      </c>
      <c r="X885" s="34">
        <f t="shared" si="164"/>
        <v>0</v>
      </c>
      <c r="Y885" s="30">
        <f t="shared" si="165"/>
        <v>0</v>
      </c>
      <c r="Z885" s="34">
        <f t="shared" si="166"/>
        <v>0</v>
      </c>
      <c r="AA885" s="41">
        <f t="shared" si="167"/>
        <v>0</v>
      </c>
      <c r="AB885" s="31">
        <f t="shared" si="168"/>
        <v>0</v>
      </c>
    </row>
    <row r="886" spans="15:28" x14ac:dyDescent="0.7">
      <c r="O886" s="32" t="str">
        <f t="shared" si="162"/>
        <v/>
      </c>
      <c r="P886" s="21"/>
      <c r="Q886" s="21"/>
      <c r="R886" s="33"/>
      <c r="S886" s="36">
        <f t="shared" si="171"/>
        <v>0</v>
      </c>
      <c r="T886" s="34">
        <f t="shared" si="169"/>
        <v>0</v>
      </c>
      <c r="U886" s="32">
        <f t="shared" si="170"/>
        <v>0</v>
      </c>
      <c r="V886" s="43"/>
      <c r="W886" s="32">
        <f t="shared" si="163"/>
        <v>0</v>
      </c>
      <c r="X886" s="34">
        <f t="shared" si="164"/>
        <v>0</v>
      </c>
      <c r="Y886" s="30">
        <f t="shared" si="165"/>
        <v>0</v>
      </c>
      <c r="Z886" s="34">
        <f t="shared" si="166"/>
        <v>0</v>
      </c>
      <c r="AA886" s="41">
        <f t="shared" si="167"/>
        <v>0</v>
      </c>
      <c r="AB886" s="31">
        <f t="shared" si="168"/>
        <v>0</v>
      </c>
    </row>
    <row r="887" spans="15:28" x14ac:dyDescent="0.7">
      <c r="O887" s="32" t="str">
        <f t="shared" si="162"/>
        <v/>
      </c>
      <c r="P887" s="21"/>
      <c r="Q887" s="21"/>
      <c r="R887" s="33"/>
      <c r="S887" s="36">
        <f t="shared" si="171"/>
        <v>0</v>
      </c>
      <c r="T887" s="34">
        <f t="shared" si="169"/>
        <v>0</v>
      </c>
      <c r="U887" s="32">
        <f t="shared" si="170"/>
        <v>0</v>
      </c>
      <c r="V887" s="43"/>
      <c r="W887" s="32">
        <f t="shared" si="163"/>
        <v>0</v>
      </c>
      <c r="X887" s="34">
        <f t="shared" si="164"/>
        <v>0</v>
      </c>
      <c r="Y887" s="30">
        <f t="shared" si="165"/>
        <v>0</v>
      </c>
      <c r="Z887" s="34">
        <f t="shared" si="166"/>
        <v>0</v>
      </c>
      <c r="AA887" s="41">
        <f t="shared" si="167"/>
        <v>0</v>
      </c>
      <c r="AB887" s="31">
        <f t="shared" si="168"/>
        <v>0</v>
      </c>
    </row>
    <row r="888" spans="15:28" x14ac:dyDescent="0.7">
      <c r="O888" s="32" t="str">
        <f t="shared" si="162"/>
        <v/>
      </c>
      <c r="P888" s="21"/>
      <c r="Q888" s="21"/>
      <c r="R888" s="33"/>
      <c r="S888" s="36">
        <f t="shared" si="171"/>
        <v>0</v>
      </c>
      <c r="T888" s="34">
        <f t="shared" si="169"/>
        <v>0</v>
      </c>
      <c r="U888" s="32">
        <f t="shared" si="170"/>
        <v>0</v>
      </c>
      <c r="V888" s="43"/>
      <c r="W888" s="32">
        <f t="shared" si="163"/>
        <v>0</v>
      </c>
      <c r="X888" s="34">
        <f t="shared" si="164"/>
        <v>0</v>
      </c>
      <c r="Y888" s="30">
        <f t="shared" si="165"/>
        <v>0</v>
      </c>
      <c r="Z888" s="34">
        <f t="shared" si="166"/>
        <v>0</v>
      </c>
      <c r="AA888" s="41">
        <f t="shared" si="167"/>
        <v>0</v>
      </c>
      <c r="AB888" s="31">
        <f t="shared" si="168"/>
        <v>0</v>
      </c>
    </row>
    <row r="889" spans="15:28" x14ac:dyDescent="0.7">
      <c r="O889" s="32" t="str">
        <f t="shared" si="162"/>
        <v/>
      </c>
      <c r="P889" s="21"/>
      <c r="Q889" s="21"/>
      <c r="R889" s="33"/>
      <c r="S889" s="36">
        <f t="shared" si="171"/>
        <v>0</v>
      </c>
      <c r="T889" s="34">
        <f t="shared" si="169"/>
        <v>0</v>
      </c>
      <c r="U889" s="32">
        <f t="shared" si="170"/>
        <v>0</v>
      </c>
      <c r="V889" s="43"/>
      <c r="W889" s="32">
        <f t="shared" si="163"/>
        <v>0</v>
      </c>
      <c r="X889" s="34">
        <f t="shared" si="164"/>
        <v>0</v>
      </c>
      <c r="Y889" s="30">
        <f t="shared" si="165"/>
        <v>0</v>
      </c>
      <c r="Z889" s="34">
        <f t="shared" si="166"/>
        <v>0</v>
      </c>
      <c r="AA889" s="41">
        <f t="shared" si="167"/>
        <v>0</v>
      </c>
      <c r="AB889" s="31">
        <f t="shared" si="168"/>
        <v>0</v>
      </c>
    </row>
    <row r="890" spans="15:28" x14ac:dyDescent="0.7">
      <c r="O890" s="32" t="str">
        <f t="shared" si="162"/>
        <v/>
      </c>
      <c r="P890" s="21"/>
      <c r="Q890" s="21"/>
      <c r="R890" s="33"/>
      <c r="S890" s="36">
        <f t="shared" si="171"/>
        <v>0</v>
      </c>
      <c r="T890" s="34">
        <f t="shared" si="169"/>
        <v>0</v>
      </c>
      <c r="U890" s="32">
        <f t="shared" si="170"/>
        <v>0</v>
      </c>
      <c r="V890" s="43"/>
      <c r="W890" s="32">
        <f t="shared" si="163"/>
        <v>0</v>
      </c>
      <c r="X890" s="34">
        <f t="shared" si="164"/>
        <v>0</v>
      </c>
      <c r="Y890" s="30">
        <f t="shared" si="165"/>
        <v>0</v>
      </c>
      <c r="Z890" s="34">
        <f t="shared" si="166"/>
        <v>0</v>
      </c>
      <c r="AA890" s="41">
        <f t="shared" si="167"/>
        <v>0</v>
      </c>
      <c r="AB890" s="31">
        <f t="shared" si="168"/>
        <v>0</v>
      </c>
    </row>
    <row r="891" spans="15:28" x14ac:dyDescent="0.7">
      <c r="O891" s="32" t="str">
        <f t="shared" si="162"/>
        <v/>
      </c>
      <c r="P891" s="21"/>
      <c r="Q891" s="21"/>
      <c r="R891" s="33"/>
      <c r="S891" s="36">
        <f t="shared" si="171"/>
        <v>0</v>
      </c>
      <c r="T891" s="34">
        <f t="shared" si="169"/>
        <v>0</v>
      </c>
      <c r="U891" s="32">
        <f t="shared" si="170"/>
        <v>0</v>
      </c>
      <c r="V891" s="43"/>
      <c r="W891" s="32">
        <f t="shared" si="163"/>
        <v>0</v>
      </c>
      <c r="X891" s="34">
        <f t="shared" si="164"/>
        <v>0</v>
      </c>
      <c r="Y891" s="30">
        <f t="shared" si="165"/>
        <v>0</v>
      </c>
      <c r="Z891" s="34">
        <f t="shared" si="166"/>
        <v>0</v>
      </c>
      <c r="AA891" s="41">
        <f t="shared" si="167"/>
        <v>0</v>
      </c>
      <c r="AB891" s="31">
        <f t="shared" si="168"/>
        <v>0</v>
      </c>
    </row>
    <row r="892" spans="15:28" x14ac:dyDescent="0.7">
      <c r="O892" s="32" t="str">
        <f t="shared" si="162"/>
        <v/>
      </c>
      <c r="P892" s="21"/>
      <c r="Q892" s="21"/>
      <c r="R892" s="33"/>
      <c r="S892" s="36">
        <f t="shared" si="171"/>
        <v>0</v>
      </c>
      <c r="T892" s="34">
        <f t="shared" si="169"/>
        <v>0</v>
      </c>
      <c r="U892" s="32">
        <f t="shared" si="170"/>
        <v>0</v>
      </c>
      <c r="V892" s="43"/>
      <c r="W892" s="32">
        <f t="shared" si="163"/>
        <v>0</v>
      </c>
      <c r="X892" s="34">
        <f t="shared" si="164"/>
        <v>0</v>
      </c>
      <c r="Y892" s="30">
        <f t="shared" si="165"/>
        <v>0</v>
      </c>
      <c r="Z892" s="34">
        <f t="shared" si="166"/>
        <v>0</v>
      </c>
      <c r="AA892" s="41">
        <f t="shared" si="167"/>
        <v>0</v>
      </c>
      <c r="AB892" s="31">
        <f t="shared" si="168"/>
        <v>0</v>
      </c>
    </row>
    <row r="893" spans="15:28" x14ac:dyDescent="0.7">
      <c r="O893" s="32" t="str">
        <f t="shared" si="162"/>
        <v/>
      </c>
      <c r="P893" s="21"/>
      <c r="Q893" s="21"/>
      <c r="R893" s="33"/>
      <c r="S893" s="36">
        <f t="shared" si="171"/>
        <v>0</v>
      </c>
      <c r="T893" s="34">
        <f t="shared" si="169"/>
        <v>0</v>
      </c>
      <c r="U893" s="32">
        <f t="shared" si="170"/>
        <v>0</v>
      </c>
      <c r="V893" s="43"/>
      <c r="W893" s="32">
        <f t="shared" si="163"/>
        <v>0</v>
      </c>
      <c r="X893" s="34">
        <f t="shared" si="164"/>
        <v>0</v>
      </c>
      <c r="Y893" s="30">
        <f t="shared" si="165"/>
        <v>0</v>
      </c>
      <c r="Z893" s="34">
        <f t="shared" si="166"/>
        <v>0</v>
      </c>
      <c r="AA893" s="41">
        <f t="shared" si="167"/>
        <v>0</v>
      </c>
      <c r="AB893" s="31">
        <f t="shared" si="168"/>
        <v>0</v>
      </c>
    </row>
    <row r="894" spans="15:28" x14ac:dyDescent="0.7">
      <c r="O894" s="32" t="str">
        <f t="shared" si="162"/>
        <v/>
      </c>
      <c r="P894" s="21"/>
      <c r="Q894" s="21"/>
      <c r="R894" s="33"/>
      <c r="S894" s="36">
        <f t="shared" si="171"/>
        <v>0</v>
      </c>
      <c r="T894" s="34">
        <f t="shared" si="169"/>
        <v>0</v>
      </c>
      <c r="U894" s="32">
        <f t="shared" si="170"/>
        <v>0</v>
      </c>
      <c r="V894" s="43"/>
      <c r="W894" s="32">
        <f t="shared" si="163"/>
        <v>0</v>
      </c>
      <c r="X894" s="34">
        <f t="shared" si="164"/>
        <v>0</v>
      </c>
      <c r="Y894" s="30">
        <f t="shared" si="165"/>
        <v>0</v>
      </c>
      <c r="Z894" s="34">
        <f t="shared" si="166"/>
        <v>0</v>
      </c>
      <c r="AA894" s="41">
        <f t="shared" si="167"/>
        <v>0</v>
      </c>
      <c r="AB894" s="31">
        <f t="shared" si="168"/>
        <v>0</v>
      </c>
    </row>
    <row r="895" spans="15:28" x14ac:dyDescent="0.7">
      <c r="O895" s="32" t="str">
        <f t="shared" si="162"/>
        <v/>
      </c>
      <c r="P895" s="21"/>
      <c r="Q895" s="21"/>
      <c r="R895" s="33"/>
      <c r="S895" s="36">
        <f t="shared" si="171"/>
        <v>0</v>
      </c>
      <c r="T895" s="34">
        <f t="shared" si="169"/>
        <v>0</v>
      </c>
      <c r="U895" s="32">
        <f t="shared" si="170"/>
        <v>0</v>
      </c>
      <c r="V895" s="43"/>
      <c r="W895" s="32">
        <f t="shared" si="163"/>
        <v>0</v>
      </c>
      <c r="X895" s="34">
        <f t="shared" si="164"/>
        <v>0</v>
      </c>
      <c r="Y895" s="30">
        <f t="shared" si="165"/>
        <v>0</v>
      </c>
      <c r="Z895" s="34">
        <f t="shared" si="166"/>
        <v>0</v>
      </c>
      <c r="AA895" s="41">
        <f t="shared" si="167"/>
        <v>0</v>
      </c>
      <c r="AB895" s="31">
        <f t="shared" si="168"/>
        <v>0</v>
      </c>
    </row>
    <row r="896" spans="15:28" x14ac:dyDescent="0.7">
      <c r="O896" s="32" t="str">
        <f t="shared" si="162"/>
        <v/>
      </c>
      <c r="P896" s="21"/>
      <c r="Q896" s="21"/>
      <c r="R896" s="33"/>
      <c r="S896" s="36">
        <f t="shared" si="171"/>
        <v>0</v>
      </c>
      <c r="T896" s="34">
        <f t="shared" si="169"/>
        <v>0</v>
      </c>
      <c r="U896" s="32">
        <f t="shared" si="170"/>
        <v>0</v>
      </c>
      <c r="V896" s="43"/>
      <c r="W896" s="32">
        <f t="shared" si="163"/>
        <v>0</v>
      </c>
      <c r="X896" s="34">
        <f t="shared" si="164"/>
        <v>0</v>
      </c>
      <c r="Y896" s="30">
        <f t="shared" si="165"/>
        <v>0</v>
      </c>
      <c r="Z896" s="34">
        <f t="shared" si="166"/>
        <v>0</v>
      </c>
      <c r="AA896" s="41">
        <f t="shared" si="167"/>
        <v>0</v>
      </c>
      <c r="AB896" s="31">
        <f t="shared" si="168"/>
        <v>0</v>
      </c>
    </row>
    <row r="897" spans="15:28" x14ac:dyDescent="0.7">
      <c r="O897" s="32" t="str">
        <f t="shared" si="162"/>
        <v/>
      </c>
      <c r="P897" s="21"/>
      <c r="Q897" s="21"/>
      <c r="R897" s="33"/>
      <c r="S897" s="36">
        <f t="shared" si="171"/>
        <v>0</v>
      </c>
      <c r="T897" s="34">
        <f t="shared" si="169"/>
        <v>0</v>
      </c>
      <c r="U897" s="32">
        <f t="shared" si="170"/>
        <v>0</v>
      </c>
      <c r="V897" s="43"/>
      <c r="W897" s="32">
        <f t="shared" si="163"/>
        <v>0</v>
      </c>
      <c r="X897" s="34">
        <f t="shared" si="164"/>
        <v>0</v>
      </c>
      <c r="Y897" s="30">
        <f t="shared" si="165"/>
        <v>0</v>
      </c>
      <c r="Z897" s="34">
        <f t="shared" si="166"/>
        <v>0</v>
      </c>
      <c r="AA897" s="41">
        <f t="shared" si="167"/>
        <v>0</v>
      </c>
      <c r="AB897" s="31">
        <f t="shared" si="168"/>
        <v>0</v>
      </c>
    </row>
    <row r="898" spans="15:28" x14ac:dyDescent="0.7">
      <c r="O898" s="32" t="str">
        <f t="shared" si="162"/>
        <v/>
      </c>
      <c r="P898" s="21"/>
      <c r="Q898" s="21"/>
      <c r="R898" s="33"/>
      <c r="S898" s="36">
        <f t="shared" si="171"/>
        <v>0</v>
      </c>
      <c r="T898" s="34">
        <f t="shared" si="169"/>
        <v>0</v>
      </c>
      <c r="U898" s="32">
        <f t="shared" si="170"/>
        <v>0</v>
      </c>
      <c r="V898" s="43"/>
      <c r="W898" s="32">
        <f t="shared" si="163"/>
        <v>0</v>
      </c>
      <c r="X898" s="34">
        <f t="shared" si="164"/>
        <v>0</v>
      </c>
      <c r="Y898" s="30">
        <f t="shared" si="165"/>
        <v>0</v>
      </c>
      <c r="Z898" s="34">
        <f t="shared" si="166"/>
        <v>0</v>
      </c>
      <c r="AA898" s="41">
        <f t="shared" si="167"/>
        <v>0</v>
      </c>
      <c r="AB898" s="31">
        <f t="shared" si="168"/>
        <v>0</v>
      </c>
    </row>
    <row r="899" spans="15:28" x14ac:dyDescent="0.7">
      <c r="O899" s="32" t="str">
        <f t="shared" si="162"/>
        <v/>
      </c>
      <c r="P899" s="21"/>
      <c r="Q899" s="21"/>
      <c r="R899" s="33"/>
      <c r="S899" s="36">
        <f t="shared" si="171"/>
        <v>0</v>
      </c>
      <c r="T899" s="34">
        <f t="shared" si="169"/>
        <v>0</v>
      </c>
      <c r="U899" s="32">
        <f t="shared" si="170"/>
        <v>0</v>
      </c>
      <c r="V899" s="43"/>
      <c r="W899" s="32">
        <f t="shared" si="163"/>
        <v>0</v>
      </c>
      <c r="X899" s="34">
        <f t="shared" si="164"/>
        <v>0</v>
      </c>
      <c r="Y899" s="30">
        <f t="shared" si="165"/>
        <v>0</v>
      </c>
      <c r="Z899" s="34">
        <f t="shared" si="166"/>
        <v>0</v>
      </c>
      <c r="AA899" s="41">
        <f t="shared" si="167"/>
        <v>0</v>
      </c>
      <c r="AB899" s="31">
        <f t="shared" si="168"/>
        <v>0</v>
      </c>
    </row>
    <row r="900" spans="15:28" x14ac:dyDescent="0.7">
      <c r="O900" s="32" t="str">
        <f t="shared" si="162"/>
        <v/>
      </c>
      <c r="P900" s="21"/>
      <c r="Q900" s="21"/>
      <c r="R900" s="33"/>
      <c r="S900" s="36">
        <f t="shared" si="171"/>
        <v>0</v>
      </c>
      <c r="T900" s="34">
        <f t="shared" si="169"/>
        <v>0</v>
      </c>
      <c r="U900" s="32">
        <f t="shared" si="170"/>
        <v>0</v>
      </c>
      <c r="V900" s="43"/>
      <c r="W900" s="32">
        <f t="shared" si="163"/>
        <v>0</v>
      </c>
      <c r="X900" s="34">
        <f t="shared" si="164"/>
        <v>0</v>
      </c>
      <c r="Y900" s="30">
        <f t="shared" si="165"/>
        <v>0</v>
      </c>
      <c r="Z900" s="34">
        <f t="shared" si="166"/>
        <v>0</v>
      </c>
      <c r="AA900" s="41">
        <f t="shared" si="167"/>
        <v>0</v>
      </c>
      <c r="AB900" s="31">
        <f t="shared" si="168"/>
        <v>0</v>
      </c>
    </row>
    <row r="901" spans="15:28" x14ac:dyDescent="0.7">
      <c r="O901" s="32" t="str">
        <f t="shared" si="162"/>
        <v/>
      </c>
      <c r="P901" s="21"/>
      <c r="Q901" s="21"/>
      <c r="R901" s="33"/>
      <c r="S901" s="36">
        <f t="shared" si="171"/>
        <v>0</v>
      </c>
      <c r="T901" s="34">
        <f t="shared" si="169"/>
        <v>0</v>
      </c>
      <c r="U901" s="32">
        <f t="shared" si="170"/>
        <v>0</v>
      </c>
      <c r="V901" s="43"/>
      <c r="W901" s="32">
        <f t="shared" si="163"/>
        <v>0</v>
      </c>
      <c r="X901" s="34">
        <f t="shared" si="164"/>
        <v>0</v>
      </c>
      <c r="Y901" s="30">
        <f t="shared" si="165"/>
        <v>0</v>
      </c>
      <c r="Z901" s="34">
        <f t="shared" si="166"/>
        <v>0</v>
      </c>
      <c r="AA901" s="41">
        <f t="shared" si="167"/>
        <v>0</v>
      </c>
      <c r="AB901" s="31">
        <f t="shared" si="168"/>
        <v>0</v>
      </c>
    </row>
    <row r="902" spans="15:28" x14ac:dyDescent="0.7">
      <c r="O902" s="32" t="str">
        <f t="shared" si="162"/>
        <v/>
      </c>
      <c r="P902" s="21"/>
      <c r="Q902" s="21"/>
      <c r="R902" s="33"/>
      <c r="S902" s="36">
        <f t="shared" si="171"/>
        <v>0</v>
      </c>
      <c r="T902" s="34">
        <f t="shared" si="169"/>
        <v>0</v>
      </c>
      <c r="U902" s="32">
        <f t="shared" si="170"/>
        <v>0</v>
      </c>
      <c r="V902" s="43"/>
      <c r="W902" s="32">
        <f t="shared" si="163"/>
        <v>0</v>
      </c>
      <c r="X902" s="34">
        <f t="shared" si="164"/>
        <v>0</v>
      </c>
      <c r="Y902" s="30">
        <f t="shared" si="165"/>
        <v>0</v>
      </c>
      <c r="Z902" s="34">
        <f t="shared" si="166"/>
        <v>0</v>
      </c>
      <c r="AA902" s="41">
        <f t="shared" si="167"/>
        <v>0</v>
      </c>
      <c r="AB902" s="31">
        <f t="shared" si="168"/>
        <v>0</v>
      </c>
    </row>
    <row r="903" spans="15:28" x14ac:dyDescent="0.7">
      <c r="O903" s="32" t="str">
        <f t="shared" si="162"/>
        <v/>
      </c>
      <c r="P903" s="21"/>
      <c r="Q903" s="21"/>
      <c r="R903" s="33"/>
      <c r="S903" s="36">
        <f t="shared" si="171"/>
        <v>0</v>
      </c>
      <c r="T903" s="34">
        <f t="shared" si="169"/>
        <v>0</v>
      </c>
      <c r="U903" s="32">
        <f t="shared" si="170"/>
        <v>0</v>
      </c>
      <c r="V903" s="43"/>
      <c r="W903" s="32">
        <f t="shared" si="163"/>
        <v>0</v>
      </c>
      <c r="X903" s="34">
        <f t="shared" si="164"/>
        <v>0</v>
      </c>
      <c r="Y903" s="30">
        <f t="shared" si="165"/>
        <v>0</v>
      </c>
      <c r="Z903" s="34">
        <f t="shared" si="166"/>
        <v>0</v>
      </c>
      <c r="AA903" s="41">
        <f t="shared" si="167"/>
        <v>0</v>
      </c>
      <c r="AB903" s="31">
        <f t="shared" si="168"/>
        <v>0</v>
      </c>
    </row>
    <row r="904" spans="15:28" x14ac:dyDescent="0.7">
      <c r="O904" s="32" t="str">
        <f t="shared" ref="O904:O967" si="172">IF(P904="","",ROW()-ROW($O$6))</f>
        <v/>
      </c>
      <c r="P904" s="21"/>
      <c r="Q904" s="21"/>
      <c r="R904" s="33"/>
      <c r="S904" s="36">
        <f t="shared" si="171"/>
        <v>0</v>
      </c>
      <c r="T904" s="34">
        <f t="shared" si="169"/>
        <v>0</v>
      </c>
      <c r="U904" s="32">
        <f t="shared" si="170"/>
        <v>0</v>
      </c>
      <c r="V904" s="43"/>
      <c r="W904" s="32">
        <f t="shared" ref="W904:W967" si="173">U904-V904</f>
        <v>0</v>
      </c>
      <c r="X904" s="34">
        <f t="shared" ref="X904:X967" si="174">W904/5440</f>
        <v>0</v>
      </c>
      <c r="Y904" s="30">
        <f t="shared" ref="Y904:Y967" si="175">TRUNC(X904)</f>
        <v>0</v>
      </c>
      <c r="Z904" s="34">
        <f t="shared" ref="Z904:Z967" si="176">(X904-Y904)*20</f>
        <v>0</v>
      </c>
      <c r="AA904" s="41">
        <f t="shared" ref="AA904:AA967" si="177">TRUNC(Z904)</f>
        <v>0</v>
      </c>
      <c r="AB904" s="31">
        <f t="shared" ref="AB904:AB967" si="178">(Z904-AA904)*272</f>
        <v>0</v>
      </c>
    </row>
    <row r="905" spans="15:28" x14ac:dyDescent="0.7">
      <c r="O905" s="32" t="str">
        <f t="shared" si="172"/>
        <v/>
      </c>
      <c r="P905" s="21"/>
      <c r="Q905" s="21"/>
      <c r="R905" s="33"/>
      <c r="S905" s="36">
        <f t="shared" si="171"/>
        <v>0</v>
      </c>
      <c r="T905" s="34">
        <f t="shared" ref="T905:T968" si="179">(S905*R905)/100</f>
        <v>0</v>
      </c>
      <c r="U905" s="32">
        <f t="shared" ref="U905:U968" si="180">R905-T905</f>
        <v>0</v>
      </c>
      <c r="V905" s="43"/>
      <c r="W905" s="32">
        <f t="shared" si="173"/>
        <v>0</v>
      </c>
      <c r="X905" s="34">
        <f t="shared" si="174"/>
        <v>0</v>
      </c>
      <c r="Y905" s="30">
        <f t="shared" si="175"/>
        <v>0</v>
      </c>
      <c r="Z905" s="34">
        <f t="shared" si="176"/>
        <v>0</v>
      </c>
      <c r="AA905" s="41">
        <f t="shared" si="177"/>
        <v>0</v>
      </c>
      <c r="AB905" s="31">
        <f t="shared" si="178"/>
        <v>0</v>
      </c>
    </row>
    <row r="906" spans="15:28" x14ac:dyDescent="0.7">
      <c r="O906" s="32" t="str">
        <f t="shared" si="172"/>
        <v/>
      </c>
      <c r="P906" s="21"/>
      <c r="Q906" s="21"/>
      <c r="R906" s="33"/>
      <c r="S906" s="36">
        <f t="shared" si="171"/>
        <v>0</v>
      </c>
      <c r="T906" s="34">
        <f t="shared" si="179"/>
        <v>0</v>
      </c>
      <c r="U906" s="32">
        <f t="shared" si="180"/>
        <v>0</v>
      </c>
      <c r="V906" s="43"/>
      <c r="W906" s="32">
        <f t="shared" si="173"/>
        <v>0</v>
      </c>
      <c r="X906" s="34">
        <f t="shared" si="174"/>
        <v>0</v>
      </c>
      <c r="Y906" s="30">
        <f t="shared" si="175"/>
        <v>0</v>
      </c>
      <c r="Z906" s="34">
        <f t="shared" si="176"/>
        <v>0</v>
      </c>
      <c r="AA906" s="41">
        <f t="shared" si="177"/>
        <v>0</v>
      </c>
      <c r="AB906" s="31">
        <f t="shared" si="178"/>
        <v>0</v>
      </c>
    </row>
    <row r="907" spans="15:28" x14ac:dyDescent="0.7">
      <c r="O907" s="32" t="str">
        <f t="shared" si="172"/>
        <v/>
      </c>
      <c r="P907" s="21"/>
      <c r="Q907" s="21"/>
      <c r="R907" s="33"/>
      <c r="S907" s="36">
        <f t="shared" ref="S907:S970" si="181">S906</f>
        <v>0</v>
      </c>
      <c r="T907" s="34">
        <f t="shared" si="179"/>
        <v>0</v>
      </c>
      <c r="U907" s="32">
        <f t="shared" si="180"/>
        <v>0</v>
      </c>
      <c r="V907" s="43"/>
      <c r="W907" s="32">
        <f t="shared" si="173"/>
        <v>0</v>
      </c>
      <c r="X907" s="34">
        <f t="shared" si="174"/>
        <v>0</v>
      </c>
      <c r="Y907" s="30">
        <f t="shared" si="175"/>
        <v>0</v>
      </c>
      <c r="Z907" s="34">
        <f t="shared" si="176"/>
        <v>0</v>
      </c>
      <c r="AA907" s="41">
        <f t="shared" si="177"/>
        <v>0</v>
      </c>
      <c r="AB907" s="31">
        <f t="shared" si="178"/>
        <v>0</v>
      </c>
    </row>
    <row r="908" spans="15:28" x14ac:dyDescent="0.7">
      <c r="O908" s="32" t="str">
        <f t="shared" si="172"/>
        <v/>
      </c>
      <c r="P908" s="21"/>
      <c r="Q908" s="21"/>
      <c r="R908" s="33"/>
      <c r="S908" s="36">
        <f t="shared" si="181"/>
        <v>0</v>
      </c>
      <c r="T908" s="34">
        <f t="shared" si="179"/>
        <v>0</v>
      </c>
      <c r="U908" s="32">
        <f t="shared" si="180"/>
        <v>0</v>
      </c>
      <c r="V908" s="43"/>
      <c r="W908" s="32">
        <f t="shared" si="173"/>
        <v>0</v>
      </c>
      <c r="X908" s="34">
        <f t="shared" si="174"/>
        <v>0</v>
      </c>
      <c r="Y908" s="30">
        <f t="shared" si="175"/>
        <v>0</v>
      </c>
      <c r="Z908" s="34">
        <f t="shared" si="176"/>
        <v>0</v>
      </c>
      <c r="AA908" s="41">
        <f t="shared" si="177"/>
        <v>0</v>
      </c>
      <c r="AB908" s="31">
        <f t="shared" si="178"/>
        <v>0</v>
      </c>
    </row>
    <row r="909" spans="15:28" x14ac:dyDescent="0.7">
      <c r="O909" s="32" t="str">
        <f t="shared" si="172"/>
        <v/>
      </c>
      <c r="P909" s="21"/>
      <c r="Q909" s="21"/>
      <c r="R909" s="33"/>
      <c r="S909" s="36">
        <f t="shared" si="181"/>
        <v>0</v>
      </c>
      <c r="T909" s="34">
        <f t="shared" si="179"/>
        <v>0</v>
      </c>
      <c r="U909" s="32">
        <f t="shared" si="180"/>
        <v>0</v>
      </c>
      <c r="V909" s="43"/>
      <c r="W909" s="32">
        <f t="shared" si="173"/>
        <v>0</v>
      </c>
      <c r="X909" s="34">
        <f t="shared" si="174"/>
        <v>0</v>
      </c>
      <c r="Y909" s="30">
        <f t="shared" si="175"/>
        <v>0</v>
      </c>
      <c r="Z909" s="34">
        <f t="shared" si="176"/>
        <v>0</v>
      </c>
      <c r="AA909" s="41">
        <f t="shared" si="177"/>
        <v>0</v>
      </c>
      <c r="AB909" s="31">
        <f t="shared" si="178"/>
        <v>0</v>
      </c>
    </row>
    <row r="910" spans="15:28" x14ac:dyDescent="0.7">
      <c r="O910" s="32" t="str">
        <f t="shared" si="172"/>
        <v/>
      </c>
      <c r="P910" s="21"/>
      <c r="Q910" s="21"/>
      <c r="R910" s="33"/>
      <c r="S910" s="36">
        <f t="shared" si="181"/>
        <v>0</v>
      </c>
      <c r="T910" s="34">
        <f t="shared" si="179"/>
        <v>0</v>
      </c>
      <c r="U910" s="32">
        <f t="shared" si="180"/>
        <v>0</v>
      </c>
      <c r="V910" s="43"/>
      <c r="W910" s="32">
        <f t="shared" si="173"/>
        <v>0</v>
      </c>
      <c r="X910" s="34">
        <f t="shared" si="174"/>
        <v>0</v>
      </c>
      <c r="Y910" s="30">
        <f t="shared" si="175"/>
        <v>0</v>
      </c>
      <c r="Z910" s="34">
        <f t="shared" si="176"/>
        <v>0</v>
      </c>
      <c r="AA910" s="41">
        <f t="shared" si="177"/>
        <v>0</v>
      </c>
      <c r="AB910" s="31">
        <f t="shared" si="178"/>
        <v>0</v>
      </c>
    </row>
    <row r="911" spans="15:28" x14ac:dyDescent="0.7">
      <c r="O911" s="32" t="str">
        <f t="shared" si="172"/>
        <v/>
      </c>
      <c r="P911" s="21"/>
      <c r="Q911" s="21"/>
      <c r="R911" s="33"/>
      <c r="S911" s="36">
        <f t="shared" si="181"/>
        <v>0</v>
      </c>
      <c r="T911" s="34">
        <f t="shared" si="179"/>
        <v>0</v>
      </c>
      <c r="U911" s="32">
        <f t="shared" si="180"/>
        <v>0</v>
      </c>
      <c r="V911" s="43"/>
      <c r="W911" s="32">
        <f t="shared" si="173"/>
        <v>0</v>
      </c>
      <c r="X911" s="34">
        <f t="shared" si="174"/>
        <v>0</v>
      </c>
      <c r="Y911" s="30">
        <f t="shared" si="175"/>
        <v>0</v>
      </c>
      <c r="Z911" s="34">
        <f t="shared" si="176"/>
        <v>0</v>
      </c>
      <c r="AA911" s="41">
        <f t="shared" si="177"/>
        <v>0</v>
      </c>
      <c r="AB911" s="31">
        <f t="shared" si="178"/>
        <v>0</v>
      </c>
    </row>
    <row r="912" spans="15:28" x14ac:dyDescent="0.7">
      <c r="O912" s="32" t="str">
        <f t="shared" si="172"/>
        <v/>
      </c>
      <c r="P912" s="21"/>
      <c r="Q912" s="21"/>
      <c r="R912" s="33"/>
      <c r="S912" s="36">
        <f t="shared" si="181"/>
        <v>0</v>
      </c>
      <c r="T912" s="34">
        <f t="shared" si="179"/>
        <v>0</v>
      </c>
      <c r="U912" s="32">
        <f t="shared" si="180"/>
        <v>0</v>
      </c>
      <c r="V912" s="43"/>
      <c r="W912" s="32">
        <f t="shared" si="173"/>
        <v>0</v>
      </c>
      <c r="X912" s="34">
        <f t="shared" si="174"/>
        <v>0</v>
      </c>
      <c r="Y912" s="30">
        <f t="shared" si="175"/>
        <v>0</v>
      </c>
      <c r="Z912" s="34">
        <f t="shared" si="176"/>
        <v>0</v>
      </c>
      <c r="AA912" s="41">
        <f t="shared" si="177"/>
        <v>0</v>
      </c>
      <c r="AB912" s="31">
        <f t="shared" si="178"/>
        <v>0</v>
      </c>
    </row>
    <row r="913" spans="15:28" x14ac:dyDescent="0.7">
      <c r="O913" s="32" t="str">
        <f t="shared" si="172"/>
        <v/>
      </c>
      <c r="P913" s="21"/>
      <c r="Q913" s="21"/>
      <c r="R913" s="33"/>
      <c r="S913" s="36">
        <f t="shared" si="181"/>
        <v>0</v>
      </c>
      <c r="T913" s="34">
        <f t="shared" si="179"/>
        <v>0</v>
      </c>
      <c r="U913" s="32">
        <f t="shared" si="180"/>
        <v>0</v>
      </c>
      <c r="V913" s="43"/>
      <c r="W913" s="32">
        <f t="shared" si="173"/>
        <v>0</v>
      </c>
      <c r="X913" s="34">
        <f t="shared" si="174"/>
        <v>0</v>
      </c>
      <c r="Y913" s="30">
        <f t="shared" si="175"/>
        <v>0</v>
      </c>
      <c r="Z913" s="34">
        <f t="shared" si="176"/>
        <v>0</v>
      </c>
      <c r="AA913" s="41">
        <f t="shared" si="177"/>
        <v>0</v>
      </c>
      <c r="AB913" s="31">
        <f t="shared" si="178"/>
        <v>0</v>
      </c>
    </row>
    <row r="914" spans="15:28" x14ac:dyDescent="0.7">
      <c r="O914" s="32" t="str">
        <f t="shared" si="172"/>
        <v/>
      </c>
      <c r="P914" s="21"/>
      <c r="Q914" s="21"/>
      <c r="R914" s="33"/>
      <c r="S914" s="36">
        <f t="shared" si="181"/>
        <v>0</v>
      </c>
      <c r="T914" s="34">
        <f t="shared" si="179"/>
        <v>0</v>
      </c>
      <c r="U914" s="32">
        <f t="shared" si="180"/>
        <v>0</v>
      </c>
      <c r="V914" s="43"/>
      <c r="W914" s="32">
        <f t="shared" si="173"/>
        <v>0</v>
      </c>
      <c r="X914" s="34">
        <f t="shared" si="174"/>
        <v>0</v>
      </c>
      <c r="Y914" s="30">
        <f t="shared" si="175"/>
        <v>0</v>
      </c>
      <c r="Z914" s="34">
        <f t="shared" si="176"/>
        <v>0</v>
      </c>
      <c r="AA914" s="41">
        <f t="shared" si="177"/>
        <v>0</v>
      </c>
      <c r="AB914" s="31">
        <f t="shared" si="178"/>
        <v>0</v>
      </c>
    </row>
    <row r="915" spans="15:28" x14ac:dyDescent="0.7">
      <c r="O915" s="32" t="str">
        <f t="shared" si="172"/>
        <v/>
      </c>
      <c r="P915" s="21"/>
      <c r="Q915" s="21"/>
      <c r="R915" s="33"/>
      <c r="S915" s="36">
        <f t="shared" si="181"/>
        <v>0</v>
      </c>
      <c r="T915" s="34">
        <f t="shared" si="179"/>
        <v>0</v>
      </c>
      <c r="U915" s="32">
        <f t="shared" si="180"/>
        <v>0</v>
      </c>
      <c r="V915" s="43"/>
      <c r="W915" s="32">
        <f t="shared" si="173"/>
        <v>0</v>
      </c>
      <c r="X915" s="34">
        <f t="shared" si="174"/>
        <v>0</v>
      </c>
      <c r="Y915" s="30">
        <f t="shared" si="175"/>
        <v>0</v>
      </c>
      <c r="Z915" s="34">
        <f t="shared" si="176"/>
        <v>0</v>
      </c>
      <c r="AA915" s="41">
        <f t="shared" si="177"/>
        <v>0</v>
      </c>
      <c r="AB915" s="31">
        <f t="shared" si="178"/>
        <v>0</v>
      </c>
    </row>
    <row r="916" spans="15:28" x14ac:dyDescent="0.7">
      <c r="O916" s="32" t="str">
        <f t="shared" si="172"/>
        <v/>
      </c>
      <c r="P916" s="21"/>
      <c r="Q916" s="21"/>
      <c r="R916" s="33"/>
      <c r="S916" s="36">
        <f t="shared" si="181"/>
        <v>0</v>
      </c>
      <c r="T916" s="34">
        <f t="shared" si="179"/>
        <v>0</v>
      </c>
      <c r="U916" s="32">
        <f t="shared" si="180"/>
        <v>0</v>
      </c>
      <c r="V916" s="43"/>
      <c r="W916" s="32">
        <f t="shared" si="173"/>
        <v>0</v>
      </c>
      <c r="X916" s="34">
        <f t="shared" si="174"/>
        <v>0</v>
      </c>
      <c r="Y916" s="30">
        <f t="shared" si="175"/>
        <v>0</v>
      </c>
      <c r="Z916" s="34">
        <f t="shared" si="176"/>
        <v>0</v>
      </c>
      <c r="AA916" s="41">
        <f t="shared" si="177"/>
        <v>0</v>
      </c>
      <c r="AB916" s="31">
        <f t="shared" si="178"/>
        <v>0</v>
      </c>
    </row>
    <row r="917" spans="15:28" x14ac:dyDescent="0.7">
      <c r="O917" s="32" t="str">
        <f t="shared" si="172"/>
        <v/>
      </c>
      <c r="P917" s="21"/>
      <c r="Q917" s="21"/>
      <c r="R917" s="33"/>
      <c r="S917" s="36">
        <f t="shared" si="181"/>
        <v>0</v>
      </c>
      <c r="T917" s="34">
        <f t="shared" si="179"/>
        <v>0</v>
      </c>
      <c r="U917" s="32">
        <f t="shared" si="180"/>
        <v>0</v>
      </c>
      <c r="V917" s="43"/>
      <c r="W917" s="32">
        <f t="shared" si="173"/>
        <v>0</v>
      </c>
      <c r="X917" s="34">
        <f t="shared" si="174"/>
        <v>0</v>
      </c>
      <c r="Y917" s="30">
        <f t="shared" si="175"/>
        <v>0</v>
      </c>
      <c r="Z917" s="34">
        <f t="shared" si="176"/>
        <v>0</v>
      </c>
      <c r="AA917" s="41">
        <f t="shared" si="177"/>
        <v>0</v>
      </c>
      <c r="AB917" s="31">
        <f t="shared" si="178"/>
        <v>0</v>
      </c>
    </row>
    <row r="918" spans="15:28" x14ac:dyDescent="0.7">
      <c r="O918" s="32" t="str">
        <f t="shared" si="172"/>
        <v/>
      </c>
      <c r="P918" s="21"/>
      <c r="Q918" s="21"/>
      <c r="R918" s="33"/>
      <c r="S918" s="36">
        <f t="shared" si="181"/>
        <v>0</v>
      </c>
      <c r="T918" s="34">
        <f t="shared" si="179"/>
        <v>0</v>
      </c>
      <c r="U918" s="32">
        <f t="shared" si="180"/>
        <v>0</v>
      </c>
      <c r="V918" s="43"/>
      <c r="W918" s="32">
        <f t="shared" si="173"/>
        <v>0</v>
      </c>
      <c r="X918" s="34">
        <f t="shared" si="174"/>
        <v>0</v>
      </c>
      <c r="Y918" s="30">
        <f t="shared" si="175"/>
        <v>0</v>
      </c>
      <c r="Z918" s="34">
        <f t="shared" si="176"/>
        <v>0</v>
      </c>
      <c r="AA918" s="41">
        <f t="shared" si="177"/>
        <v>0</v>
      </c>
      <c r="AB918" s="31">
        <f t="shared" si="178"/>
        <v>0</v>
      </c>
    </row>
    <row r="919" spans="15:28" x14ac:dyDescent="0.7">
      <c r="O919" s="32" t="str">
        <f t="shared" si="172"/>
        <v/>
      </c>
      <c r="P919" s="21"/>
      <c r="Q919" s="21"/>
      <c r="R919" s="33"/>
      <c r="S919" s="36">
        <f t="shared" si="181"/>
        <v>0</v>
      </c>
      <c r="T919" s="34">
        <f t="shared" si="179"/>
        <v>0</v>
      </c>
      <c r="U919" s="32">
        <f t="shared" si="180"/>
        <v>0</v>
      </c>
      <c r="V919" s="43"/>
      <c r="W919" s="32">
        <f t="shared" si="173"/>
        <v>0</v>
      </c>
      <c r="X919" s="34">
        <f t="shared" si="174"/>
        <v>0</v>
      </c>
      <c r="Y919" s="30">
        <f t="shared" si="175"/>
        <v>0</v>
      </c>
      <c r="Z919" s="34">
        <f t="shared" si="176"/>
        <v>0</v>
      </c>
      <c r="AA919" s="41">
        <f t="shared" si="177"/>
        <v>0</v>
      </c>
      <c r="AB919" s="31">
        <f t="shared" si="178"/>
        <v>0</v>
      </c>
    </row>
    <row r="920" spans="15:28" x14ac:dyDescent="0.7">
      <c r="O920" s="32" t="str">
        <f t="shared" si="172"/>
        <v/>
      </c>
      <c r="P920" s="21"/>
      <c r="Q920" s="21"/>
      <c r="R920" s="33"/>
      <c r="S920" s="36">
        <f t="shared" si="181"/>
        <v>0</v>
      </c>
      <c r="T920" s="34">
        <f t="shared" si="179"/>
        <v>0</v>
      </c>
      <c r="U920" s="32">
        <f t="shared" si="180"/>
        <v>0</v>
      </c>
      <c r="V920" s="43"/>
      <c r="W920" s="32">
        <f t="shared" si="173"/>
        <v>0</v>
      </c>
      <c r="X920" s="34">
        <f t="shared" si="174"/>
        <v>0</v>
      </c>
      <c r="Y920" s="30">
        <f t="shared" si="175"/>
        <v>0</v>
      </c>
      <c r="Z920" s="34">
        <f t="shared" si="176"/>
        <v>0</v>
      </c>
      <c r="AA920" s="41">
        <f t="shared" si="177"/>
        <v>0</v>
      </c>
      <c r="AB920" s="31">
        <f t="shared" si="178"/>
        <v>0</v>
      </c>
    </row>
    <row r="921" spans="15:28" x14ac:dyDescent="0.7">
      <c r="O921" s="32" t="str">
        <f t="shared" si="172"/>
        <v/>
      </c>
      <c r="P921" s="21"/>
      <c r="Q921" s="21"/>
      <c r="R921" s="33"/>
      <c r="S921" s="36">
        <f t="shared" si="181"/>
        <v>0</v>
      </c>
      <c r="T921" s="34">
        <f t="shared" si="179"/>
        <v>0</v>
      </c>
      <c r="U921" s="32">
        <f t="shared" si="180"/>
        <v>0</v>
      </c>
      <c r="V921" s="43"/>
      <c r="W921" s="32">
        <f t="shared" si="173"/>
        <v>0</v>
      </c>
      <c r="X921" s="34">
        <f t="shared" si="174"/>
        <v>0</v>
      </c>
      <c r="Y921" s="30">
        <f t="shared" si="175"/>
        <v>0</v>
      </c>
      <c r="Z921" s="34">
        <f t="shared" si="176"/>
        <v>0</v>
      </c>
      <c r="AA921" s="41">
        <f t="shared" si="177"/>
        <v>0</v>
      </c>
      <c r="AB921" s="31">
        <f t="shared" si="178"/>
        <v>0</v>
      </c>
    </row>
    <row r="922" spans="15:28" x14ac:dyDescent="0.7">
      <c r="O922" s="32" t="str">
        <f t="shared" si="172"/>
        <v/>
      </c>
      <c r="P922" s="21"/>
      <c r="Q922" s="21"/>
      <c r="R922" s="33"/>
      <c r="S922" s="36">
        <f t="shared" si="181"/>
        <v>0</v>
      </c>
      <c r="T922" s="34">
        <f t="shared" si="179"/>
        <v>0</v>
      </c>
      <c r="U922" s="32">
        <f t="shared" si="180"/>
        <v>0</v>
      </c>
      <c r="V922" s="43"/>
      <c r="W922" s="32">
        <f t="shared" si="173"/>
        <v>0</v>
      </c>
      <c r="X922" s="34">
        <f t="shared" si="174"/>
        <v>0</v>
      </c>
      <c r="Y922" s="30">
        <f t="shared" si="175"/>
        <v>0</v>
      </c>
      <c r="Z922" s="34">
        <f t="shared" si="176"/>
        <v>0</v>
      </c>
      <c r="AA922" s="41">
        <f t="shared" si="177"/>
        <v>0</v>
      </c>
      <c r="AB922" s="31">
        <f t="shared" si="178"/>
        <v>0</v>
      </c>
    </row>
    <row r="923" spans="15:28" x14ac:dyDescent="0.7">
      <c r="O923" s="32" t="str">
        <f t="shared" si="172"/>
        <v/>
      </c>
      <c r="P923" s="21"/>
      <c r="Q923" s="21"/>
      <c r="R923" s="33"/>
      <c r="S923" s="36">
        <f t="shared" si="181"/>
        <v>0</v>
      </c>
      <c r="T923" s="34">
        <f t="shared" si="179"/>
        <v>0</v>
      </c>
      <c r="U923" s="32">
        <f t="shared" si="180"/>
        <v>0</v>
      </c>
      <c r="V923" s="43"/>
      <c r="W923" s="32">
        <f t="shared" si="173"/>
        <v>0</v>
      </c>
      <c r="X923" s="34">
        <f t="shared" si="174"/>
        <v>0</v>
      </c>
      <c r="Y923" s="30">
        <f t="shared" si="175"/>
        <v>0</v>
      </c>
      <c r="Z923" s="34">
        <f t="shared" si="176"/>
        <v>0</v>
      </c>
      <c r="AA923" s="41">
        <f t="shared" si="177"/>
        <v>0</v>
      </c>
      <c r="AB923" s="31">
        <f t="shared" si="178"/>
        <v>0</v>
      </c>
    </row>
    <row r="924" spans="15:28" x14ac:dyDescent="0.7">
      <c r="O924" s="32" t="str">
        <f t="shared" si="172"/>
        <v/>
      </c>
      <c r="P924" s="21"/>
      <c r="Q924" s="21"/>
      <c r="R924" s="33"/>
      <c r="S924" s="36">
        <f t="shared" si="181"/>
        <v>0</v>
      </c>
      <c r="T924" s="34">
        <f t="shared" si="179"/>
        <v>0</v>
      </c>
      <c r="U924" s="32">
        <f t="shared" si="180"/>
        <v>0</v>
      </c>
      <c r="V924" s="43"/>
      <c r="W924" s="32">
        <f t="shared" si="173"/>
        <v>0</v>
      </c>
      <c r="X924" s="34">
        <f t="shared" si="174"/>
        <v>0</v>
      </c>
      <c r="Y924" s="30">
        <f t="shared" si="175"/>
        <v>0</v>
      </c>
      <c r="Z924" s="34">
        <f t="shared" si="176"/>
        <v>0</v>
      </c>
      <c r="AA924" s="41">
        <f t="shared" si="177"/>
        <v>0</v>
      </c>
      <c r="AB924" s="31">
        <f t="shared" si="178"/>
        <v>0</v>
      </c>
    </row>
    <row r="925" spans="15:28" x14ac:dyDescent="0.7">
      <c r="O925" s="32" t="str">
        <f t="shared" si="172"/>
        <v/>
      </c>
      <c r="P925" s="21"/>
      <c r="Q925" s="21"/>
      <c r="R925" s="33"/>
      <c r="S925" s="36">
        <f t="shared" si="181"/>
        <v>0</v>
      </c>
      <c r="T925" s="34">
        <f t="shared" si="179"/>
        <v>0</v>
      </c>
      <c r="U925" s="32">
        <f t="shared" si="180"/>
        <v>0</v>
      </c>
      <c r="V925" s="43"/>
      <c r="W925" s="32">
        <f t="shared" si="173"/>
        <v>0</v>
      </c>
      <c r="X925" s="34">
        <f t="shared" si="174"/>
        <v>0</v>
      </c>
      <c r="Y925" s="30">
        <f t="shared" si="175"/>
        <v>0</v>
      </c>
      <c r="Z925" s="34">
        <f t="shared" si="176"/>
        <v>0</v>
      </c>
      <c r="AA925" s="41">
        <f t="shared" si="177"/>
        <v>0</v>
      </c>
      <c r="AB925" s="31">
        <f t="shared" si="178"/>
        <v>0</v>
      </c>
    </row>
    <row r="926" spans="15:28" x14ac:dyDescent="0.7">
      <c r="O926" s="32" t="str">
        <f t="shared" si="172"/>
        <v/>
      </c>
      <c r="P926" s="21"/>
      <c r="Q926" s="21"/>
      <c r="R926" s="33"/>
      <c r="S926" s="36">
        <f t="shared" si="181"/>
        <v>0</v>
      </c>
      <c r="T926" s="34">
        <f t="shared" si="179"/>
        <v>0</v>
      </c>
      <c r="U926" s="32">
        <f t="shared" si="180"/>
        <v>0</v>
      </c>
      <c r="V926" s="43"/>
      <c r="W926" s="32">
        <f t="shared" si="173"/>
        <v>0</v>
      </c>
      <c r="X926" s="34">
        <f t="shared" si="174"/>
        <v>0</v>
      </c>
      <c r="Y926" s="30">
        <f t="shared" si="175"/>
        <v>0</v>
      </c>
      <c r="Z926" s="34">
        <f t="shared" si="176"/>
        <v>0</v>
      </c>
      <c r="AA926" s="41">
        <f t="shared" si="177"/>
        <v>0</v>
      </c>
      <c r="AB926" s="31">
        <f t="shared" si="178"/>
        <v>0</v>
      </c>
    </row>
    <row r="927" spans="15:28" x14ac:dyDescent="0.7">
      <c r="O927" s="32" t="str">
        <f t="shared" si="172"/>
        <v/>
      </c>
      <c r="P927" s="21"/>
      <c r="Q927" s="21"/>
      <c r="R927" s="33"/>
      <c r="S927" s="36">
        <f t="shared" si="181"/>
        <v>0</v>
      </c>
      <c r="T927" s="34">
        <f t="shared" si="179"/>
        <v>0</v>
      </c>
      <c r="U927" s="32">
        <f t="shared" si="180"/>
        <v>0</v>
      </c>
      <c r="V927" s="43"/>
      <c r="W927" s="32">
        <f t="shared" si="173"/>
        <v>0</v>
      </c>
      <c r="X927" s="34">
        <f t="shared" si="174"/>
        <v>0</v>
      </c>
      <c r="Y927" s="30">
        <f t="shared" si="175"/>
        <v>0</v>
      </c>
      <c r="Z927" s="34">
        <f t="shared" si="176"/>
        <v>0</v>
      </c>
      <c r="AA927" s="41">
        <f t="shared" si="177"/>
        <v>0</v>
      </c>
      <c r="AB927" s="31">
        <f t="shared" si="178"/>
        <v>0</v>
      </c>
    </row>
    <row r="928" spans="15:28" x14ac:dyDescent="0.7">
      <c r="O928" s="32" t="str">
        <f t="shared" si="172"/>
        <v/>
      </c>
      <c r="P928" s="21"/>
      <c r="Q928" s="21"/>
      <c r="R928" s="33"/>
      <c r="S928" s="36">
        <f t="shared" si="181"/>
        <v>0</v>
      </c>
      <c r="T928" s="34">
        <f t="shared" si="179"/>
        <v>0</v>
      </c>
      <c r="U928" s="32">
        <f t="shared" si="180"/>
        <v>0</v>
      </c>
      <c r="V928" s="43"/>
      <c r="W928" s="32">
        <f t="shared" si="173"/>
        <v>0</v>
      </c>
      <c r="X928" s="34">
        <f t="shared" si="174"/>
        <v>0</v>
      </c>
      <c r="Y928" s="30">
        <f t="shared" si="175"/>
        <v>0</v>
      </c>
      <c r="Z928" s="34">
        <f t="shared" si="176"/>
        <v>0</v>
      </c>
      <c r="AA928" s="41">
        <f t="shared" si="177"/>
        <v>0</v>
      </c>
      <c r="AB928" s="31">
        <f t="shared" si="178"/>
        <v>0</v>
      </c>
    </row>
    <row r="929" spans="15:28" x14ac:dyDescent="0.7">
      <c r="O929" s="32" t="str">
        <f t="shared" si="172"/>
        <v/>
      </c>
      <c r="P929" s="21"/>
      <c r="Q929" s="21"/>
      <c r="R929" s="33"/>
      <c r="S929" s="36">
        <f t="shared" si="181"/>
        <v>0</v>
      </c>
      <c r="T929" s="34">
        <f t="shared" si="179"/>
        <v>0</v>
      </c>
      <c r="U929" s="32">
        <f t="shared" si="180"/>
        <v>0</v>
      </c>
      <c r="V929" s="43"/>
      <c r="W929" s="32">
        <f t="shared" si="173"/>
        <v>0</v>
      </c>
      <c r="X929" s="34">
        <f t="shared" si="174"/>
        <v>0</v>
      </c>
      <c r="Y929" s="30">
        <f t="shared" si="175"/>
        <v>0</v>
      </c>
      <c r="Z929" s="34">
        <f t="shared" si="176"/>
        <v>0</v>
      </c>
      <c r="AA929" s="41">
        <f t="shared" si="177"/>
        <v>0</v>
      </c>
      <c r="AB929" s="31">
        <f t="shared" si="178"/>
        <v>0</v>
      </c>
    </row>
    <row r="930" spans="15:28" x14ac:dyDescent="0.7">
      <c r="O930" s="32" t="str">
        <f t="shared" si="172"/>
        <v/>
      </c>
      <c r="P930" s="21"/>
      <c r="Q930" s="21"/>
      <c r="R930" s="33"/>
      <c r="S930" s="36">
        <f t="shared" si="181"/>
        <v>0</v>
      </c>
      <c r="T930" s="34">
        <f t="shared" si="179"/>
        <v>0</v>
      </c>
      <c r="U930" s="32">
        <f t="shared" si="180"/>
        <v>0</v>
      </c>
      <c r="V930" s="43"/>
      <c r="W930" s="32">
        <f t="shared" si="173"/>
        <v>0</v>
      </c>
      <c r="X930" s="34">
        <f t="shared" si="174"/>
        <v>0</v>
      </c>
      <c r="Y930" s="30">
        <f t="shared" si="175"/>
        <v>0</v>
      </c>
      <c r="Z930" s="34">
        <f t="shared" si="176"/>
        <v>0</v>
      </c>
      <c r="AA930" s="41">
        <f t="shared" si="177"/>
        <v>0</v>
      </c>
      <c r="AB930" s="31">
        <f t="shared" si="178"/>
        <v>0</v>
      </c>
    </row>
    <row r="931" spans="15:28" x14ac:dyDescent="0.7">
      <c r="O931" s="32" t="str">
        <f t="shared" si="172"/>
        <v/>
      </c>
      <c r="P931" s="21"/>
      <c r="Q931" s="21"/>
      <c r="R931" s="33"/>
      <c r="S931" s="36">
        <f t="shared" si="181"/>
        <v>0</v>
      </c>
      <c r="T931" s="34">
        <f t="shared" si="179"/>
        <v>0</v>
      </c>
      <c r="U931" s="32">
        <f t="shared" si="180"/>
        <v>0</v>
      </c>
      <c r="V931" s="43"/>
      <c r="W931" s="32">
        <f t="shared" si="173"/>
        <v>0</v>
      </c>
      <c r="X931" s="34">
        <f t="shared" si="174"/>
        <v>0</v>
      </c>
      <c r="Y931" s="30">
        <f t="shared" si="175"/>
        <v>0</v>
      </c>
      <c r="Z931" s="34">
        <f t="shared" si="176"/>
        <v>0</v>
      </c>
      <c r="AA931" s="41">
        <f t="shared" si="177"/>
        <v>0</v>
      </c>
      <c r="AB931" s="31">
        <f t="shared" si="178"/>
        <v>0</v>
      </c>
    </row>
    <row r="932" spans="15:28" x14ac:dyDescent="0.7">
      <c r="O932" s="32" t="str">
        <f t="shared" si="172"/>
        <v/>
      </c>
      <c r="P932" s="21"/>
      <c r="Q932" s="21"/>
      <c r="R932" s="33"/>
      <c r="S932" s="36">
        <f t="shared" si="181"/>
        <v>0</v>
      </c>
      <c r="T932" s="34">
        <f t="shared" si="179"/>
        <v>0</v>
      </c>
      <c r="U932" s="32">
        <f t="shared" si="180"/>
        <v>0</v>
      </c>
      <c r="V932" s="43"/>
      <c r="W932" s="32">
        <f t="shared" si="173"/>
        <v>0</v>
      </c>
      <c r="X932" s="34">
        <f t="shared" si="174"/>
        <v>0</v>
      </c>
      <c r="Y932" s="30">
        <f t="shared" si="175"/>
        <v>0</v>
      </c>
      <c r="Z932" s="34">
        <f t="shared" si="176"/>
        <v>0</v>
      </c>
      <c r="AA932" s="41">
        <f t="shared" si="177"/>
        <v>0</v>
      </c>
      <c r="AB932" s="31">
        <f t="shared" si="178"/>
        <v>0</v>
      </c>
    </row>
    <row r="933" spans="15:28" x14ac:dyDescent="0.7">
      <c r="O933" s="32" t="str">
        <f t="shared" si="172"/>
        <v/>
      </c>
      <c r="P933" s="21"/>
      <c r="Q933" s="21"/>
      <c r="R933" s="33"/>
      <c r="S933" s="36">
        <f t="shared" si="181"/>
        <v>0</v>
      </c>
      <c r="T933" s="34">
        <f t="shared" si="179"/>
        <v>0</v>
      </c>
      <c r="U933" s="32">
        <f t="shared" si="180"/>
        <v>0</v>
      </c>
      <c r="V933" s="43"/>
      <c r="W933" s="32">
        <f t="shared" si="173"/>
        <v>0</v>
      </c>
      <c r="X933" s="34">
        <f t="shared" si="174"/>
        <v>0</v>
      </c>
      <c r="Y933" s="30">
        <f t="shared" si="175"/>
        <v>0</v>
      </c>
      <c r="Z933" s="34">
        <f t="shared" si="176"/>
        <v>0</v>
      </c>
      <c r="AA933" s="41">
        <f t="shared" si="177"/>
        <v>0</v>
      </c>
      <c r="AB933" s="31">
        <f t="shared" si="178"/>
        <v>0</v>
      </c>
    </row>
    <row r="934" spans="15:28" x14ac:dyDescent="0.7">
      <c r="O934" s="32" t="str">
        <f t="shared" si="172"/>
        <v/>
      </c>
      <c r="P934" s="21"/>
      <c r="Q934" s="21"/>
      <c r="R934" s="33"/>
      <c r="S934" s="36">
        <f t="shared" si="181"/>
        <v>0</v>
      </c>
      <c r="T934" s="34">
        <f t="shared" si="179"/>
        <v>0</v>
      </c>
      <c r="U934" s="32">
        <f t="shared" si="180"/>
        <v>0</v>
      </c>
      <c r="V934" s="43"/>
      <c r="W934" s="32">
        <f t="shared" si="173"/>
        <v>0</v>
      </c>
      <c r="X934" s="34">
        <f t="shared" si="174"/>
        <v>0</v>
      </c>
      <c r="Y934" s="30">
        <f t="shared" si="175"/>
        <v>0</v>
      </c>
      <c r="Z934" s="34">
        <f t="shared" si="176"/>
        <v>0</v>
      </c>
      <c r="AA934" s="41">
        <f t="shared" si="177"/>
        <v>0</v>
      </c>
      <c r="AB934" s="31">
        <f t="shared" si="178"/>
        <v>0</v>
      </c>
    </row>
    <row r="935" spans="15:28" x14ac:dyDescent="0.7">
      <c r="O935" s="32" t="str">
        <f t="shared" si="172"/>
        <v/>
      </c>
      <c r="P935" s="21"/>
      <c r="Q935" s="21"/>
      <c r="R935" s="33"/>
      <c r="S935" s="36">
        <f t="shared" si="181"/>
        <v>0</v>
      </c>
      <c r="T935" s="34">
        <f t="shared" si="179"/>
        <v>0</v>
      </c>
      <c r="U935" s="32">
        <f t="shared" si="180"/>
        <v>0</v>
      </c>
      <c r="V935" s="43"/>
      <c r="W935" s="32">
        <f t="shared" si="173"/>
        <v>0</v>
      </c>
      <c r="X935" s="34">
        <f t="shared" si="174"/>
        <v>0</v>
      </c>
      <c r="Y935" s="30">
        <f t="shared" si="175"/>
        <v>0</v>
      </c>
      <c r="Z935" s="34">
        <f t="shared" si="176"/>
        <v>0</v>
      </c>
      <c r="AA935" s="41">
        <f t="shared" si="177"/>
        <v>0</v>
      </c>
      <c r="AB935" s="31">
        <f t="shared" si="178"/>
        <v>0</v>
      </c>
    </row>
    <row r="936" spans="15:28" x14ac:dyDescent="0.7">
      <c r="O936" s="32" t="str">
        <f t="shared" si="172"/>
        <v/>
      </c>
      <c r="P936" s="21"/>
      <c r="Q936" s="21"/>
      <c r="R936" s="33"/>
      <c r="S936" s="36">
        <f t="shared" si="181"/>
        <v>0</v>
      </c>
      <c r="T936" s="34">
        <f t="shared" si="179"/>
        <v>0</v>
      </c>
      <c r="U936" s="32">
        <f t="shared" si="180"/>
        <v>0</v>
      </c>
      <c r="V936" s="43"/>
      <c r="W936" s="32">
        <f t="shared" si="173"/>
        <v>0</v>
      </c>
      <c r="X936" s="34">
        <f t="shared" si="174"/>
        <v>0</v>
      </c>
      <c r="Y936" s="30">
        <f t="shared" si="175"/>
        <v>0</v>
      </c>
      <c r="Z936" s="34">
        <f t="shared" si="176"/>
        <v>0</v>
      </c>
      <c r="AA936" s="41">
        <f t="shared" si="177"/>
        <v>0</v>
      </c>
      <c r="AB936" s="31">
        <f t="shared" si="178"/>
        <v>0</v>
      </c>
    </row>
    <row r="937" spans="15:28" x14ac:dyDescent="0.7">
      <c r="O937" s="32" t="str">
        <f t="shared" si="172"/>
        <v/>
      </c>
      <c r="P937" s="21"/>
      <c r="Q937" s="21"/>
      <c r="R937" s="33"/>
      <c r="S937" s="36">
        <f t="shared" si="181"/>
        <v>0</v>
      </c>
      <c r="T937" s="34">
        <f t="shared" si="179"/>
        <v>0</v>
      </c>
      <c r="U937" s="32">
        <f t="shared" si="180"/>
        <v>0</v>
      </c>
      <c r="V937" s="43"/>
      <c r="W937" s="32">
        <f t="shared" si="173"/>
        <v>0</v>
      </c>
      <c r="X937" s="34">
        <f t="shared" si="174"/>
        <v>0</v>
      </c>
      <c r="Y937" s="30">
        <f t="shared" si="175"/>
        <v>0</v>
      </c>
      <c r="Z937" s="34">
        <f t="shared" si="176"/>
        <v>0</v>
      </c>
      <c r="AA937" s="41">
        <f t="shared" si="177"/>
        <v>0</v>
      </c>
      <c r="AB937" s="31">
        <f t="shared" si="178"/>
        <v>0</v>
      </c>
    </row>
    <row r="938" spans="15:28" x14ac:dyDescent="0.7">
      <c r="O938" s="32" t="str">
        <f t="shared" si="172"/>
        <v/>
      </c>
      <c r="P938" s="21"/>
      <c r="Q938" s="21"/>
      <c r="R938" s="33"/>
      <c r="S938" s="36">
        <f t="shared" si="181"/>
        <v>0</v>
      </c>
      <c r="T938" s="34">
        <f t="shared" si="179"/>
        <v>0</v>
      </c>
      <c r="U938" s="32">
        <f t="shared" si="180"/>
        <v>0</v>
      </c>
      <c r="V938" s="43"/>
      <c r="W938" s="32">
        <f t="shared" si="173"/>
        <v>0</v>
      </c>
      <c r="X938" s="34">
        <f t="shared" si="174"/>
        <v>0</v>
      </c>
      <c r="Y938" s="30">
        <f t="shared" si="175"/>
        <v>0</v>
      </c>
      <c r="Z938" s="34">
        <f t="shared" si="176"/>
        <v>0</v>
      </c>
      <c r="AA938" s="41">
        <f t="shared" si="177"/>
        <v>0</v>
      </c>
      <c r="AB938" s="31">
        <f t="shared" si="178"/>
        <v>0</v>
      </c>
    </row>
    <row r="939" spans="15:28" x14ac:dyDescent="0.7">
      <c r="O939" s="32" t="str">
        <f t="shared" si="172"/>
        <v/>
      </c>
      <c r="P939" s="21"/>
      <c r="Q939" s="21"/>
      <c r="R939" s="33"/>
      <c r="S939" s="36">
        <f t="shared" si="181"/>
        <v>0</v>
      </c>
      <c r="T939" s="34">
        <f t="shared" si="179"/>
        <v>0</v>
      </c>
      <c r="U939" s="32">
        <f t="shared" si="180"/>
        <v>0</v>
      </c>
      <c r="V939" s="43"/>
      <c r="W939" s="32">
        <f t="shared" si="173"/>
        <v>0</v>
      </c>
      <c r="X939" s="34">
        <f t="shared" si="174"/>
        <v>0</v>
      </c>
      <c r="Y939" s="30">
        <f t="shared" si="175"/>
        <v>0</v>
      </c>
      <c r="Z939" s="34">
        <f t="shared" si="176"/>
        <v>0</v>
      </c>
      <c r="AA939" s="41">
        <f t="shared" si="177"/>
        <v>0</v>
      </c>
      <c r="AB939" s="31">
        <f t="shared" si="178"/>
        <v>0</v>
      </c>
    </row>
    <row r="940" spans="15:28" x14ac:dyDescent="0.7">
      <c r="O940" s="32" t="str">
        <f t="shared" si="172"/>
        <v/>
      </c>
      <c r="P940" s="21"/>
      <c r="Q940" s="21"/>
      <c r="R940" s="33"/>
      <c r="S940" s="36">
        <f t="shared" si="181"/>
        <v>0</v>
      </c>
      <c r="T940" s="34">
        <f t="shared" si="179"/>
        <v>0</v>
      </c>
      <c r="U940" s="32">
        <f t="shared" si="180"/>
        <v>0</v>
      </c>
      <c r="V940" s="43"/>
      <c r="W940" s="32">
        <f t="shared" si="173"/>
        <v>0</v>
      </c>
      <c r="X940" s="34">
        <f t="shared" si="174"/>
        <v>0</v>
      </c>
      <c r="Y940" s="30">
        <f t="shared" si="175"/>
        <v>0</v>
      </c>
      <c r="Z940" s="34">
        <f t="shared" si="176"/>
        <v>0</v>
      </c>
      <c r="AA940" s="41">
        <f t="shared" si="177"/>
        <v>0</v>
      </c>
      <c r="AB940" s="31">
        <f t="shared" si="178"/>
        <v>0</v>
      </c>
    </row>
    <row r="941" spans="15:28" x14ac:dyDescent="0.7">
      <c r="O941" s="32" t="str">
        <f t="shared" si="172"/>
        <v/>
      </c>
      <c r="P941" s="21"/>
      <c r="Q941" s="21"/>
      <c r="R941" s="33"/>
      <c r="S941" s="36">
        <f t="shared" si="181"/>
        <v>0</v>
      </c>
      <c r="T941" s="34">
        <f t="shared" si="179"/>
        <v>0</v>
      </c>
      <c r="U941" s="32">
        <f t="shared" si="180"/>
        <v>0</v>
      </c>
      <c r="V941" s="43"/>
      <c r="W941" s="32">
        <f t="shared" si="173"/>
        <v>0</v>
      </c>
      <c r="X941" s="34">
        <f t="shared" si="174"/>
        <v>0</v>
      </c>
      <c r="Y941" s="30">
        <f t="shared" si="175"/>
        <v>0</v>
      </c>
      <c r="Z941" s="34">
        <f t="shared" si="176"/>
        <v>0</v>
      </c>
      <c r="AA941" s="41">
        <f t="shared" si="177"/>
        <v>0</v>
      </c>
      <c r="AB941" s="31">
        <f t="shared" si="178"/>
        <v>0</v>
      </c>
    </row>
    <row r="942" spans="15:28" x14ac:dyDescent="0.7">
      <c r="O942" s="32" t="str">
        <f t="shared" si="172"/>
        <v/>
      </c>
      <c r="P942" s="21"/>
      <c r="Q942" s="21"/>
      <c r="R942" s="33"/>
      <c r="S942" s="36">
        <f t="shared" si="181"/>
        <v>0</v>
      </c>
      <c r="T942" s="34">
        <f t="shared" si="179"/>
        <v>0</v>
      </c>
      <c r="U942" s="32">
        <f t="shared" si="180"/>
        <v>0</v>
      </c>
      <c r="V942" s="43"/>
      <c r="W942" s="32">
        <f t="shared" si="173"/>
        <v>0</v>
      </c>
      <c r="X942" s="34">
        <f t="shared" si="174"/>
        <v>0</v>
      </c>
      <c r="Y942" s="30">
        <f t="shared" si="175"/>
        <v>0</v>
      </c>
      <c r="Z942" s="34">
        <f t="shared" si="176"/>
        <v>0</v>
      </c>
      <c r="AA942" s="41">
        <f t="shared" si="177"/>
        <v>0</v>
      </c>
      <c r="AB942" s="31">
        <f t="shared" si="178"/>
        <v>0</v>
      </c>
    </row>
    <row r="943" spans="15:28" x14ac:dyDescent="0.7">
      <c r="O943" s="32" t="str">
        <f t="shared" si="172"/>
        <v/>
      </c>
      <c r="P943" s="21"/>
      <c r="Q943" s="21"/>
      <c r="R943" s="33"/>
      <c r="S943" s="36">
        <f t="shared" si="181"/>
        <v>0</v>
      </c>
      <c r="T943" s="34">
        <f t="shared" si="179"/>
        <v>0</v>
      </c>
      <c r="U943" s="32">
        <f t="shared" si="180"/>
        <v>0</v>
      </c>
      <c r="V943" s="43"/>
      <c r="W943" s="32">
        <f t="shared" si="173"/>
        <v>0</v>
      </c>
      <c r="X943" s="34">
        <f t="shared" si="174"/>
        <v>0</v>
      </c>
      <c r="Y943" s="30">
        <f t="shared" si="175"/>
        <v>0</v>
      </c>
      <c r="Z943" s="34">
        <f t="shared" si="176"/>
        <v>0</v>
      </c>
      <c r="AA943" s="41">
        <f t="shared" si="177"/>
        <v>0</v>
      </c>
      <c r="AB943" s="31">
        <f t="shared" si="178"/>
        <v>0</v>
      </c>
    </row>
    <row r="944" spans="15:28" x14ac:dyDescent="0.7">
      <c r="O944" s="32" t="str">
        <f t="shared" si="172"/>
        <v/>
      </c>
      <c r="P944" s="21"/>
      <c r="Q944" s="21"/>
      <c r="R944" s="33"/>
      <c r="S944" s="36">
        <f t="shared" si="181"/>
        <v>0</v>
      </c>
      <c r="T944" s="34">
        <f t="shared" si="179"/>
        <v>0</v>
      </c>
      <c r="U944" s="32">
        <f t="shared" si="180"/>
        <v>0</v>
      </c>
      <c r="V944" s="43"/>
      <c r="W944" s="32">
        <f t="shared" si="173"/>
        <v>0</v>
      </c>
      <c r="X944" s="34">
        <f t="shared" si="174"/>
        <v>0</v>
      </c>
      <c r="Y944" s="30">
        <f t="shared" si="175"/>
        <v>0</v>
      </c>
      <c r="Z944" s="34">
        <f t="shared" si="176"/>
        <v>0</v>
      </c>
      <c r="AA944" s="41">
        <f t="shared" si="177"/>
        <v>0</v>
      </c>
      <c r="AB944" s="31">
        <f t="shared" si="178"/>
        <v>0</v>
      </c>
    </row>
    <row r="945" spans="15:28" x14ac:dyDescent="0.7">
      <c r="O945" s="32" t="str">
        <f t="shared" si="172"/>
        <v/>
      </c>
      <c r="P945" s="21"/>
      <c r="Q945" s="21"/>
      <c r="R945" s="33"/>
      <c r="S945" s="36">
        <f t="shared" si="181"/>
        <v>0</v>
      </c>
      <c r="T945" s="34">
        <f t="shared" si="179"/>
        <v>0</v>
      </c>
      <c r="U945" s="32">
        <f t="shared" si="180"/>
        <v>0</v>
      </c>
      <c r="V945" s="43"/>
      <c r="W945" s="32">
        <f t="shared" si="173"/>
        <v>0</v>
      </c>
      <c r="X945" s="34">
        <f t="shared" si="174"/>
        <v>0</v>
      </c>
      <c r="Y945" s="30">
        <f t="shared" si="175"/>
        <v>0</v>
      </c>
      <c r="Z945" s="34">
        <f t="shared" si="176"/>
        <v>0</v>
      </c>
      <c r="AA945" s="41">
        <f t="shared" si="177"/>
        <v>0</v>
      </c>
      <c r="AB945" s="31">
        <f t="shared" si="178"/>
        <v>0</v>
      </c>
    </row>
    <row r="946" spans="15:28" x14ac:dyDescent="0.7">
      <c r="O946" s="32" t="str">
        <f t="shared" si="172"/>
        <v/>
      </c>
      <c r="P946" s="21"/>
      <c r="Q946" s="21"/>
      <c r="R946" s="33"/>
      <c r="S946" s="36">
        <f t="shared" si="181"/>
        <v>0</v>
      </c>
      <c r="T946" s="34">
        <f t="shared" si="179"/>
        <v>0</v>
      </c>
      <c r="U946" s="32">
        <f t="shared" si="180"/>
        <v>0</v>
      </c>
      <c r="V946" s="43"/>
      <c r="W946" s="32">
        <f t="shared" si="173"/>
        <v>0</v>
      </c>
      <c r="X946" s="34">
        <f t="shared" si="174"/>
        <v>0</v>
      </c>
      <c r="Y946" s="30">
        <f t="shared" si="175"/>
        <v>0</v>
      </c>
      <c r="Z946" s="34">
        <f t="shared" si="176"/>
        <v>0</v>
      </c>
      <c r="AA946" s="41">
        <f t="shared" si="177"/>
        <v>0</v>
      </c>
      <c r="AB946" s="31">
        <f t="shared" si="178"/>
        <v>0</v>
      </c>
    </row>
    <row r="947" spans="15:28" x14ac:dyDescent="0.7">
      <c r="O947" s="32" t="str">
        <f t="shared" si="172"/>
        <v/>
      </c>
      <c r="P947" s="21"/>
      <c r="Q947" s="21"/>
      <c r="R947" s="33"/>
      <c r="S947" s="36">
        <f t="shared" si="181"/>
        <v>0</v>
      </c>
      <c r="T947" s="34">
        <f t="shared" si="179"/>
        <v>0</v>
      </c>
      <c r="U947" s="32">
        <f t="shared" si="180"/>
        <v>0</v>
      </c>
      <c r="V947" s="43"/>
      <c r="W947" s="32">
        <f t="shared" si="173"/>
        <v>0</v>
      </c>
      <c r="X947" s="34">
        <f t="shared" si="174"/>
        <v>0</v>
      </c>
      <c r="Y947" s="30">
        <f t="shared" si="175"/>
        <v>0</v>
      </c>
      <c r="Z947" s="34">
        <f t="shared" si="176"/>
        <v>0</v>
      </c>
      <c r="AA947" s="41">
        <f t="shared" si="177"/>
        <v>0</v>
      </c>
      <c r="AB947" s="31">
        <f t="shared" si="178"/>
        <v>0</v>
      </c>
    </row>
    <row r="948" spans="15:28" x14ac:dyDescent="0.7">
      <c r="O948" s="32" t="str">
        <f t="shared" si="172"/>
        <v/>
      </c>
      <c r="P948" s="21"/>
      <c r="Q948" s="21"/>
      <c r="R948" s="33"/>
      <c r="S948" s="36">
        <f t="shared" si="181"/>
        <v>0</v>
      </c>
      <c r="T948" s="34">
        <f t="shared" si="179"/>
        <v>0</v>
      </c>
      <c r="U948" s="32">
        <f t="shared" si="180"/>
        <v>0</v>
      </c>
      <c r="V948" s="43"/>
      <c r="W948" s="32">
        <f t="shared" si="173"/>
        <v>0</v>
      </c>
      <c r="X948" s="34">
        <f t="shared" si="174"/>
        <v>0</v>
      </c>
      <c r="Y948" s="30">
        <f t="shared" si="175"/>
        <v>0</v>
      </c>
      <c r="Z948" s="34">
        <f t="shared" si="176"/>
        <v>0</v>
      </c>
      <c r="AA948" s="41">
        <f t="shared" si="177"/>
        <v>0</v>
      </c>
      <c r="AB948" s="31">
        <f t="shared" si="178"/>
        <v>0</v>
      </c>
    </row>
    <row r="949" spans="15:28" x14ac:dyDescent="0.7">
      <c r="O949" s="32" t="str">
        <f t="shared" si="172"/>
        <v/>
      </c>
      <c r="P949" s="21"/>
      <c r="Q949" s="21"/>
      <c r="R949" s="33"/>
      <c r="S949" s="36">
        <f t="shared" si="181"/>
        <v>0</v>
      </c>
      <c r="T949" s="34">
        <f t="shared" si="179"/>
        <v>0</v>
      </c>
      <c r="U949" s="32">
        <f t="shared" si="180"/>
        <v>0</v>
      </c>
      <c r="V949" s="43"/>
      <c r="W949" s="32">
        <f t="shared" si="173"/>
        <v>0</v>
      </c>
      <c r="X949" s="34">
        <f t="shared" si="174"/>
        <v>0</v>
      </c>
      <c r="Y949" s="30">
        <f t="shared" si="175"/>
        <v>0</v>
      </c>
      <c r="Z949" s="34">
        <f t="shared" si="176"/>
        <v>0</v>
      </c>
      <c r="AA949" s="41">
        <f t="shared" si="177"/>
        <v>0</v>
      </c>
      <c r="AB949" s="31">
        <f t="shared" si="178"/>
        <v>0</v>
      </c>
    </row>
    <row r="950" spans="15:28" x14ac:dyDescent="0.7">
      <c r="O950" s="32" t="str">
        <f t="shared" si="172"/>
        <v/>
      </c>
      <c r="P950" s="21"/>
      <c r="Q950" s="21"/>
      <c r="R950" s="33"/>
      <c r="S950" s="36">
        <f t="shared" si="181"/>
        <v>0</v>
      </c>
      <c r="T950" s="34">
        <f t="shared" si="179"/>
        <v>0</v>
      </c>
      <c r="U950" s="32">
        <f t="shared" si="180"/>
        <v>0</v>
      </c>
      <c r="V950" s="43"/>
      <c r="W950" s="32">
        <f t="shared" si="173"/>
        <v>0</v>
      </c>
      <c r="X950" s="34">
        <f t="shared" si="174"/>
        <v>0</v>
      </c>
      <c r="Y950" s="30">
        <f t="shared" si="175"/>
        <v>0</v>
      </c>
      <c r="Z950" s="34">
        <f t="shared" si="176"/>
        <v>0</v>
      </c>
      <c r="AA950" s="41">
        <f t="shared" si="177"/>
        <v>0</v>
      </c>
      <c r="AB950" s="31">
        <f t="shared" si="178"/>
        <v>0</v>
      </c>
    </row>
    <row r="951" spans="15:28" x14ac:dyDescent="0.7">
      <c r="O951" s="32" t="str">
        <f t="shared" si="172"/>
        <v/>
      </c>
      <c r="P951" s="21"/>
      <c r="Q951" s="21"/>
      <c r="R951" s="33"/>
      <c r="S951" s="36">
        <f t="shared" si="181"/>
        <v>0</v>
      </c>
      <c r="T951" s="34">
        <f t="shared" si="179"/>
        <v>0</v>
      </c>
      <c r="U951" s="32">
        <f t="shared" si="180"/>
        <v>0</v>
      </c>
      <c r="V951" s="43"/>
      <c r="W951" s="32">
        <f t="shared" si="173"/>
        <v>0</v>
      </c>
      <c r="X951" s="34">
        <f t="shared" si="174"/>
        <v>0</v>
      </c>
      <c r="Y951" s="30">
        <f t="shared" si="175"/>
        <v>0</v>
      </c>
      <c r="Z951" s="34">
        <f t="shared" si="176"/>
        <v>0</v>
      </c>
      <c r="AA951" s="41">
        <f t="shared" si="177"/>
        <v>0</v>
      </c>
      <c r="AB951" s="31">
        <f t="shared" si="178"/>
        <v>0</v>
      </c>
    </row>
    <row r="952" spans="15:28" x14ac:dyDescent="0.7">
      <c r="O952" s="32" t="str">
        <f t="shared" si="172"/>
        <v/>
      </c>
      <c r="P952" s="21"/>
      <c r="Q952" s="21"/>
      <c r="R952" s="33"/>
      <c r="S952" s="36">
        <f t="shared" si="181"/>
        <v>0</v>
      </c>
      <c r="T952" s="34">
        <f t="shared" si="179"/>
        <v>0</v>
      </c>
      <c r="U952" s="32">
        <f t="shared" si="180"/>
        <v>0</v>
      </c>
      <c r="V952" s="43"/>
      <c r="W952" s="32">
        <f t="shared" si="173"/>
        <v>0</v>
      </c>
      <c r="X952" s="34">
        <f t="shared" si="174"/>
        <v>0</v>
      </c>
      <c r="Y952" s="30">
        <f t="shared" si="175"/>
        <v>0</v>
      </c>
      <c r="Z952" s="34">
        <f t="shared" si="176"/>
        <v>0</v>
      </c>
      <c r="AA952" s="41">
        <f t="shared" si="177"/>
        <v>0</v>
      </c>
      <c r="AB952" s="31">
        <f t="shared" si="178"/>
        <v>0</v>
      </c>
    </row>
    <row r="953" spans="15:28" x14ac:dyDescent="0.7">
      <c r="O953" s="32" t="str">
        <f t="shared" si="172"/>
        <v/>
      </c>
      <c r="P953" s="21"/>
      <c r="Q953" s="21"/>
      <c r="R953" s="33"/>
      <c r="S953" s="36">
        <f t="shared" si="181"/>
        <v>0</v>
      </c>
      <c r="T953" s="34">
        <f t="shared" si="179"/>
        <v>0</v>
      </c>
      <c r="U953" s="32">
        <f t="shared" si="180"/>
        <v>0</v>
      </c>
      <c r="V953" s="43"/>
      <c r="W953" s="32">
        <f t="shared" si="173"/>
        <v>0</v>
      </c>
      <c r="X953" s="34">
        <f t="shared" si="174"/>
        <v>0</v>
      </c>
      <c r="Y953" s="30">
        <f t="shared" si="175"/>
        <v>0</v>
      </c>
      <c r="Z953" s="34">
        <f t="shared" si="176"/>
        <v>0</v>
      </c>
      <c r="AA953" s="41">
        <f t="shared" si="177"/>
        <v>0</v>
      </c>
      <c r="AB953" s="31">
        <f t="shared" si="178"/>
        <v>0</v>
      </c>
    </row>
    <row r="954" spans="15:28" x14ac:dyDescent="0.7">
      <c r="O954" s="32" t="str">
        <f t="shared" si="172"/>
        <v/>
      </c>
      <c r="P954" s="21"/>
      <c r="Q954" s="21"/>
      <c r="R954" s="33"/>
      <c r="S954" s="36">
        <f t="shared" si="181"/>
        <v>0</v>
      </c>
      <c r="T954" s="34">
        <f t="shared" si="179"/>
        <v>0</v>
      </c>
      <c r="U954" s="32">
        <f t="shared" si="180"/>
        <v>0</v>
      </c>
      <c r="V954" s="43"/>
      <c r="W954" s="32">
        <f t="shared" si="173"/>
        <v>0</v>
      </c>
      <c r="X954" s="34">
        <f t="shared" si="174"/>
        <v>0</v>
      </c>
      <c r="Y954" s="30">
        <f t="shared" si="175"/>
        <v>0</v>
      </c>
      <c r="Z954" s="34">
        <f t="shared" si="176"/>
        <v>0</v>
      </c>
      <c r="AA954" s="41">
        <f t="shared" si="177"/>
        <v>0</v>
      </c>
      <c r="AB954" s="31">
        <f t="shared" si="178"/>
        <v>0</v>
      </c>
    </row>
    <row r="955" spans="15:28" x14ac:dyDescent="0.7">
      <c r="O955" s="32" t="str">
        <f t="shared" si="172"/>
        <v/>
      </c>
      <c r="P955" s="21"/>
      <c r="Q955" s="21"/>
      <c r="R955" s="33"/>
      <c r="S955" s="36">
        <f t="shared" si="181"/>
        <v>0</v>
      </c>
      <c r="T955" s="34">
        <f t="shared" si="179"/>
        <v>0</v>
      </c>
      <c r="U955" s="32">
        <f t="shared" si="180"/>
        <v>0</v>
      </c>
      <c r="V955" s="43"/>
      <c r="W955" s="32">
        <f t="shared" si="173"/>
        <v>0</v>
      </c>
      <c r="X955" s="34">
        <f t="shared" si="174"/>
        <v>0</v>
      </c>
      <c r="Y955" s="30">
        <f t="shared" si="175"/>
        <v>0</v>
      </c>
      <c r="Z955" s="34">
        <f t="shared" si="176"/>
        <v>0</v>
      </c>
      <c r="AA955" s="41">
        <f t="shared" si="177"/>
        <v>0</v>
      </c>
      <c r="AB955" s="31">
        <f t="shared" si="178"/>
        <v>0</v>
      </c>
    </row>
    <row r="956" spans="15:28" x14ac:dyDescent="0.7">
      <c r="O956" s="32" t="str">
        <f t="shared" si="172"/>
        <v/>
      </c>
      <c r="P956" s="21"/>
      <c r="Q956" s="21"/>
      <c r="R956" s="33"/>
      <c r="S956" s="36">
        <f t="shared" si="181"/>
        <v>0</v>
      </c>
      <c r="T956" s="34">
        <f t="shared" si="179"/>
        <v>0</v>
      </c>
      <c r="U956" s="32">
        <f t="shared" si="180"/>
        <v>0</v>
      </c>
      <c r="V956" s="43"/>
      <c r="W956" s="32">
        <f t="shared" si="173"/>
        <v>0</v>
      </c>
      <c r="X956" s="34">
        <f t="shared" si="174"/>
        <v>0</v>
      </c>
      <c r="Y956" s="30">
        <f t="shared" si="175"/>
        <v>0</v>
      </c>
      <c r="Z956" s="34">
        <f t="shared" si="176"/>
        <v>0</v>
      </c>
      <c r="AA956" s="41">
        <f t="shared" si="177"/>
        <v>0</v>
      </c>
      <c r="AB956" s="31">
        <f t="shared" si="178"/>
        <v>0</v>
      </c>
    </row>
    <row r="957" spans="15:28" x14ac:dyDescent="0.7">
      <c r="O957" s="32" t="str">
        <f t="shared" si="172"/>
        <v/>
      </c>
      <c r="P957" s="21"/>
      <c r="Q957" s="21"/>
      <c r="R957" s="33"/>
      <c r="S957" s="36">
        <f t="shared" si="181"/>
        <v>0</v>
      </c>
      <c r="T957" s="34">
        <f t="shared" si="179"/>
        <v>0</v>
      </c>
      <c r="U957" s="32">
        <f t="shared" si="180"/>
        <v>0</v>
      </c>
      <c r="V957" s="43"/>
      <c r="W957" s="32">
        <f t="shared" si="173"/>
        <v>0</v>
      </c>
      <c r="X957" s="34">
        <f t="shared" si="174"/>
        <v>0</v>
      </c>
      <c r="Y957" s="30">
        <f t="shared" si="175"/>
        <v>0</v>
      </c>
      <c r="Z957" s="34">
        <f t="shared" si="176"/>
        <v>0</v>
      </c>
      <c r="AA957" s="41">
        <f t="shared" si="177"/>
        <v>0</v>
      </c>
      <c r="AB957" s="31">
        <f t="shared" si="178"/>
        <v>0</v>
      </c>
    </row>
    <row r="958" spans="15:28" x14ac:dyDescent="0.7">
      <c r="O958" s="32" t="str">
        <f t="shared" si="172"/>
        <v/>
      </c>
      <c r="P958" s="21"/>
      <c r="Q958" s="21"/>
      <c r="R958" s="33"/>
      <c r="S958" s="36">
        <f t="shared" si="181"/>
        <v>0</v>
      </c>
      <c r="T958" s="34">
        <f t="shared" si="179"/>
        <v>0</v>
      </c>
      <c r="U958" s="32">
        <f t="shared" si="180"/>
        <v>0</v>
      </c>
      <c r="V958" s="43"/>
      <c r="W958" s="32">
        <f t="shared" si="173"/>
        <v>0</v>
      </c>
      <c r="X958" s="34">
        <f t="shared" si="174"/>
        <v>0</v>
      </c>
      <c r="Y958" s="30">
        <f t="shared" si="175"/>
        <v>0</v>
      </c>
      <c r="Z958" s="34">
        <f t="shared" si="176"/>
        <v>0</v>
      </c>
      <c r="AA958" s="41">
        <f t="shared" si="177"/>
        <v>0</v>
      </c>
      <c r="AB958" s="31">
        <f t="shared" si="178"/>
        <v>0</v>
      </c>
    </row>
    <row r="959" spans="15:28" x14ac:dyDescent="0.7">
      <c r="O959" s="32" t="str">
        <f t="shared" si="172"/>
        <v/>
      </c>
      <c r="P959" s="21"/>
      <c r="Q959" s="21"/>
      <c r="R959" s="33"/>
      <c r="S959" s="36">
        <f t="shared" si="181"/>
        <v>0</v>
      </c>
      <c r="T959" s="34">
        <f t="shared" si="179"/>
        <v>0</v>
      </c>
      <c r="U959" s="32">
        <f t="shared" si="180"/>
        <v>0</v>
      </c>
      <c r="V959" s="43"/>
      <c r="W959" s="32">
        <f t="shared" si="173"/>
        <v>0</v>
      </c>
      <c r="X959" s="34">
        <f t="shared" si="174"/>
        <v>0</v>
      </c>
      <c r="Y959" s="30">
        <f t="shared" si="175"/>
        <v>0</v>
      </c>
      <c r="Z959" s="34">
        <f t="shared" si="176"/>
        <v>0</v>
      </c>
      <c r="AA959" s="41">
        <f t="shared" si="177"/>
        <v>0</v>
      </c>
      <c r="AB959" s="31">
        <f t="shared" si="178"/>
        <v>0</v>
      </c>
    </row>
    <row r="960" spans="15:28" x14ac:dyDescent="0.7">
      <c r="O960" s="32" t="str">
        <f t="shared" si="172"/>
        <v/>
      </c>
      <c r="P960" s="21"/>
      <c r="Q960" s="21"/>
      <c r="R960" s="33"/>
      <c r="S960" s="36">
        <f t="shared" si="181"/>
        <v>0</v>
      </c>
      <c r="T960" s="34">
        <f t="shared" si="179"/>
        <v>0</v>
      </c>
      <c r="U960" s="32">
        <f t="shared" si="180"/>
        <v>0</v>
      </c>
      <c r="V960" s="43"/>
      <c r="W960" s="32">
        <f t="shared" si="173"/>
        <v>0</v>
      </c>
      <c r="X960" s="34">
        <f t="shared" si="174"/>
        <v>0</v>
      </c>
      <c r="Y960" s="30">
        <f t="shared" si="175"/>
        <v>0</v>
      </c>
      <c r="Z960" s="34">
        <f t="shared" si="176"/>
        <v>0</v>
      </c>
      <c r="AA960" s="41">
        <f t="shared" si="177"/>
        <v>0</v>
      </c>
      <c r="AB960" s="31">
        <f t="shared" si="178"/>
        <v>0</v>
      </c>
    </row>
    <row r="961" spans="15:28" x14ac:dyDescent="0.7">
      <c r="O961" s="32" t="str">
        <f t="shared" si="172"/>
        <v/>
      </c>
      <c r="P961" s="21"/>
      <c r="Q961" s="21"/>
      <c r="R961" s="33"/>
      <c r="S961" s="36">
        <f t="shared" si="181"/>
        <v>0</v>
      </c>
      <c r="T961" s="34">
        <f t="shared" si="179"/>
        <v>0</v>
      </c>
      <c r="U961" s="32">
        <f t="shared" si="180"/>
        <v>0</v>
      </c>
      <c r="V961" s="43"/>
      <c r="W961" s="32">
        <f t="shared" si="173"/>
        <v>0</v>
      </c>
      <c r="X961" s="34">
        <f t="shared" si="174"/>
        <v>0</v>
      </c>
      <c r="Y961" s="30">
        <f t="shared" si="175"/>
        <v>0</v>
      </c>
      <c r="Z961" s="34">
        <f t="shared" si="176"/>
        <v>0</v>
      </c>
      <c r="AA961" s="41">
        <f t="shared" si="177"/>
        <v>0</v>
      </c>
      <c r="AB961" s="31">
        <f t="shared" si="178"/>
        <v>0</v>
      </c>
    </row>
    <row r="962" spans="15:28" x14ac:dyDescent="0.7">
      <c r="O962" s="32" t="str">
        <f t="shared" si="172"/>
        <v/>
      </c>
      <c r="P962" s="21"/>
      <c r="Q962" s="21"/>
      <c r="R962" s="33"/>
      <c r="S962" s="36">
        <f t="shared" si="181"/>
        <v>0</v>
      </c>
      <c r="T962" s="34">
        <f t="shared" si="179"/>
        <v>0</v>
      </c>
      <c r="U962" s="32">
        <f t="shared" si="180"/>
        <v>0</v>
      </c>
      <c r="V962" s="43"/>
      <c r="W962" s="32">
        <f t="shared" si="173"/>
        <v>0</v>
      </c>
      <c r="X962" s="34">
        <f t="shared" si="174"/>
        <v>0</v>
      </c>
      <c r="Y962" s="30">
        <f t="shared" si="175"/>
        <v>0</v>
      </c>
      <c r="Z962" s="34">
        <f t="shared" si="176"/>
        <v>0</v>
      </c>
      <c r="AA962" s="41">
        <f t="shared" si="177"/>
        <v>0</v>
      </c>
      <c r="AB962" s="31">
        <f t="shared" si="178"/>
        <v>0</v>
      </c>
    </row>
    <row r="963" spans="15:28" x14ac:dyDescent="0.7">
      <c r="O963" s="32" t="str">
        <f t="shared" si="172"/>
        <v/>
      </c>
      <c r="P963" s="21"/>
      <c r="Q963" s="21"/>
      <c r="R963" s="33"/>
      <c r="S963" s="36">
        <f t="shared" si="181"/>
        <v>0</v>
      </c>
      <c r="T963" s="34">
        <f t="shared" si="179"/>
        <v>0</v>
      </c>
      <c r="U963" s="32">
        <f t="shared" si="180"/>
        <v>0</v>
      </c>
      <c r="V963" s="43"/>
      <c r="W963" s="32">
        <f t="shared" si="173"/>
        <v>0</v>
      </c>
      <c r="X963" s="34">
        <f t="shared" si="174"/>
        <v>0</v>
      </c>
      <c r="Y963" s="30">
        <f t="shared" si="175"/>
        <v>0</v>
      </c>
      <c r="Z963" s="34">
        <f t="shared" si="176"/>
        <v>0</v>
      </c>
      <c r="AA963" s="41">
        <f t="shared" si="177"/>
        <v>0</v>
      </c>
      <c r="AB963" s="31">
        <f t="shared" si="178"/>
        <v>0</v>
      </c>
    </row>
    <row r="964" spans="15:28" x14ac:dyDescent="0.7">
      <c r="O964" s="32" t="str">
        <f t="shared" si="172"/>
        <v/>
      </c>
      <c r="P964" s="21"/>
      <c r="Q964" s="21"/>
      <c r="R964" s="33"/>
      <c r="S964" s="36">
        <f t="shared" si="181"/>
        <v>0</v>
      </c>
      <c r="T964" s="34">
        <f t="shared" si="179"/>
        <v>0</v>
      </c>
      <c r="U964" s="32">
        <f t="shared" si="180"/>
        <v>0</v>
      </c>
      <c r="V964" s="43"/>
      <c r="W964" s="32">
        <f t="shared" si="173"/>
        <v>0</v>
      </c>
      <c r="X964" s="34">
        <f t="shared" si="174"/>
        <v>0</v>
      </c>
      <c r="Y964" s="30">
        <f t="shared" si="175"/>
        <v>0</v>
      </c>
      <c r="Z964" s="34">
        <f t="shared" si="176"/>
        <v>0</v>
      </c>
      <c r="AA964" s="41">
        <f t="shared" si="177"/>
        <v>0</v>
      </c>
      <c r="AB964" s="31">
        <f t="shared" si="178"/>
        <v>0</v>
      </c>
    </row>
    <row r="965" spans="15:28" x14ac:dyDescent="0.7">
      <c r="O965" s="32" t="str">
        <f t="shared" si="172"/>
        <v/>
      </c>
      <c r="P965" s="21"/>
      <c r="Q965" s="21"/>
      <c r="R965" s="33"/>
      <c r="S965" s="36">
        <f t="shared" si="181"/>
        <v>0</v>
      </c>
      <c r="T965" s="34">
        <f t="shared" si="179"/>
        <v>0</v>
      </c>
      <c r="U965" s="32">
        <f t="shared" si="180"/>
        <v>0</v>
      </c>
      <c r="V965" s="43"/>
      <c r="W965" s="32">
        <f t="shared" si="173"/>
        <v>0</v>
      </c>
      <c r="X965" s="34">
        <f t="shared" si="174"/>
        <v>0</v>
      </c>
      <c r="Y965" s="30">
        <f t="shared" si="175"/>
        <v>0</v>
      </c>
      <c r="Z965" s="34">
        <f t="shared" si="176"/>
        <v>0</v>
      </c>
      <c r="AA965" s="41">
        <f t="shared" si="177"/>
        <v>0</v>
      </c>
      <c r="AB965" s="31">
        <f t="shared" si="178"/>
        <v>0</v>
      </c>
    </row>
    <row r="966" spans="15:28" x14ac:dyDescent="0.7">
      <c r="O966" s="32" t="str">
        <f t="shared" si="172"/>
        <v/>
      </c>
      <c r="P966" s="21"/>
      <c r="Q966" s="21"/>
      <c r="R966" s="33"/>
      <c r="S966" s="36">
        <f t="shared" si="181"/>
        <v>0</v>
      </c>
      <c r="T966" s="34">
        <f t="shared" si="179"/>
        <v>0</v>
      </c>
      <c r="U966" s="32">
        <f t="shared" si="180"/>
        <v>0</v>
      </c>
      <c r="V966" s="43"/>
      <c r="W966" s="32">
        <f t="shared" si="173"/>
        <v>0</v>
      </c>
      <c r="X966" s="34">
        <f t="shared" si="174"/>
        <v>0</v>
      </c>
      <c r="Y966" s="30">
        <f t="shared" si="175"/>
        <v>0</v>
      </c>
      <c r="Z966" s="34">
        <f t="shared" si="176"/>
        <v>0</v>
      </c>
      <c r="AA966" s="41">
        <f t="shared" si="177"/>
        <v>0</v>
      </c>
      <c r="AB966" s="31">
        <f t="shared" si="178"/>
        <v>0</v>
      </c>
    </row>
    <row r="967" spans="15:28" x14ac:dyDescent="0.7">
      <c r="O967" s="32" t="str">
        <f t="shared" si="172"/>
        <v/>
      </c>
      <c r="P967" s="21"/>
      <c r="Q967" s="21"/>
      <c r="R967" s="33"/>
      <c r="S967" s="36">
        <f t="shared" si="181"/>
        <v>0</v>
      </c>
      <c r="T967" s="34">
        <f t="shared" si="179"/>
        <v>0</v>
      </c>
      <c r="U967" s="32">
        <f t="shared" si="180"/>
        <v>0</v>
      </c>
      <c r="V967" s="43"/>
      <c r="W967" s="32">
        <f t="shared" si="173"/>
        <v>0</v>
      </c>
      <c r="X967" s="34">
        <f t="shared" si="174"/>
        <v>0</v>
      </c>
      <c r="Y967" s="30">
        <f t="shared" si="175"/>
        <v>0</v>
      </c>
      <c r="Z967" s="34">
        <f t="shared" si="176"/>
        <v>0</v>
      </c>
      <c r="AA967" s="41">
        <f t="shared" si="177"/>
        <v>0</v>
      </c>
      <c r="AB967" s="31">
        <f t="shared" si="178"/>
        <v>0</v>
      </c>
    </row>
    <row r="968" spans="15:28" x14ac:dyDescent="0.7">
      <c r="O968" s="32" t="str">
        <f t="shared" ref="O968:O1004" si="182">IF(P968="","",ROW()-ROW($O$6))</f>
        <v/>
      </c>
      <c r="P968" s="21"/>
      <c r="Q968" s="21"/>
      <c r="R968" s="33"/>
      <c r="S968" s="36">
        <f t="shared" si="181"/>
        <v>0</v>
      </c>
      <c r="T968" s="34">
        <f t="shared" si="179"/>
        <v>0</v>
      </c>
      <c r="U968" s="32">
        <f t="shared" si="180"/>
        <v>0</v>
      </c>
      <c r="V968" s="43"/>
      <c r="W968" s="32">
        <f t="shared" ref="W968:W1004" si="183">U968-V968</f>
        <v>0</v>
      </c>
      <c r="X968" s="34">
        <f t="shared" ref="X968:X1004" si="184">W968/5440</f>
        <v>0</v>
      </c>
      <c r="Y968" s="30">
        <f t="shared" ref="Y968:Y1004" si="185">TRUNC(X968)</f>
        <v>0</v>
      </c>
      <c r="Z968" s="34">
        <f t="shared" ref="Z968:Z1004" si="186">(X968-Y968)*20</f>
        <v>0</v>
      </c>
      <c r="AA968" s="41">
        <f t="shared" ref="AA968:AA1004" si="187">TRUNC(Z968)</f>
        <v>0</v>
      </c>
      <c r="AB968" s="31">
        <f t="shared" ref="AB968:AB1004" si="188">(Z968-AA968)*272</f>
        <v>0</v>
      </c>
    </row>
    <row r="969" spans="15:28" x14ac:dyDescent="0.7">
      <c r="O969" s="32" t="str">
        <f t="shared" si="182"/>
        <v/>
      </c>
      <c r="P969" s="21"/>
      <c r="Q969" s="21"/>
      <c r="R969" s="33"/>
      <c r="S969" s="36">
        <f t="shared" si="181"/>
        <v>0</v>
      </c>
      <c r="T969" s="34">
        <f t="shared" ref="T969:T1004" si="189">(S969*R969)/100</f>
        <v>0</v>
      </c>
      <c r="U969" s="32">
        <f t="shared" ref="U969:U1004" si="190">R969-T969</f>
        <v>0</v>
      </c>
      <c r="V969" s="43"/>
      <c r="W969" s="32">
        <f t="shared" si="183"/>
        <v>0</v>
      </c>
      <c r="X969" s="34">
        <f t="shared" si="184"/>
        <v>0</v>
      </c>
      <c r="Y969" s="30">
        <f t="shared" si="185"/>
        <v>0</v>
      </c>
      <c r="Z969" s="34">
        <f t="shared" si="186"/>
        <v>0</v>
      </c>
      <c r="AA969" s="41">
        <f t="shared" si="187"/>
        <v>0</v>
      </c>
      <c r="AB969" s="31">
        <f t="shared" si="188"/>
        <v>0</v>
      </c>
    </row>
    <row r="970" spans="15:28" x14ac:dyDescent="0.7">
      <c r="O970" s="32" t="str">
        <f t="shared" si="182"/>
        <v/>
      </c>
      <c r="P970" s="21"/>
      <c r="Q970" s="21"/>
      <c r="R970" s="33"/>
      <c r="S970" s="36">
        <f t="shared" si="181"/>
        <v>0</v>
      </c>
      <c r="T970" s="34">
        <f t="shared" si="189"/>
        <v>0</v>
      </c>
      <c r="U970" s="32">
        <f t="shared" si="190"/>
        <v>0</v>
      </c>
      <c r="V970" s="43"/>
      <c r="W970" s="32">
        <f t="shared" si="183"/>
        <v>0</v>
      </c>
      <c r="X970" s="34">
        <f t="shared" si="184"/>
        <v>0</v>
      </c>
      <c r="Y970" s="30">
        <f t="shared" si="185"/>
        <v>0</v>
      </c>
      <c r="Z970" s="34">
        <f t="shared" si="186"/>
        <v>0</v>
      </c>
      <c r="AA970" s="41">
        <f t="shared" si="187"/>
        <v>0</v>
      </c>
      <c r="AB970" s="31">
        <f t="shared" si="188"/>
        <v>0</v>
      </c>
    </row>
    <row r="971" spans="15:28" x14ac:dyDescent="0.7">
      <c r="O971" s="32" t="str">
        <f t="shared" si="182"/>
        <v/>
      </c>
      <c r="P971" s="21"/>
      <c r="Q971" s="21"/>
      <c r="R971" s="33"/>
      <c r="S971" s="36">
        <f t="shared" ref="S971:S1004" si="191">S970</f>
        <v>0</v>
      </c>
      <c r="T971" s="34">
        <f t="shared" si="189"/>
        <v>0</v>
      </c>
      <c r="U971" s="32">
        <f t="shared" si="190"/>
        <v>0</v>
      </c>
      <c r="V971" s="43"/>
      <c r="W971" s="32">
        <f t="shared" si="183"/>
        <v>0</v>
      </c>
      <c r="X971" s="34">
        <f t="shared" si="184"/>
        <v>0</v>
      </c>
      <c r="Y971" s="30">
        <f t="shared" si="185"/>
        <v>0</v>
      </c>
      <c r="Z971" s="34">
        <f t="shared" si="186"/>
        <v>0</v>
      </c>
      <c r="AA971" s="41">
        <f t="shared" si="187"/>
        <v>0</v>
      </c>
      <c r="AB971" s="31">
        <f t="shared" si="188"/>
        <v>0</v>
      </c>
    </row>
    <row r="972" spans="15:28" x14ac:dyDescent="0.7">
      <c r="O972" s="32" t="str">
        <f t="shared" si="182"/>
        <v/>
      </c>
      <c r="P972" s="21"/>
      <c r="Q972" s="21"/>
      <c r="R972" s="33"/>
      <c r="S972" s="36">
        <f t="shared" si="191"/>
        <v>0</v>
      </c>
      <c r="T972" s="34">
        <f t="shared" si="189"/>
        <v>0</v>
      </c>
      <c r="U972" s="32">
        <f t="shared" si="190"/>
        <v>0</v>
      </c>
      <c r="V972" s="43"/>
      <c r="W972" s="32">
        <f t="shared" si="183"/>
        <v>0</v>
      </c>
      <c r="X972" s="34">
        <f t="shared" si="184"/>
        <v>0</v>
      </c>
      <c r="Y972" s="30">
        <f t="shared" si="185"/>
        <v>0</v>
      </c>
      <c r="Z972" s="34">
        <f t="shared" si="186"/>
        <v>0</v>
      </c>
      <c r="AA972" s="41">
        <f t="shared" si="187"/>
        <v>0</v>
      </c>
      <c r="AB972" s="31">
        <f t="shared" si="188"/>
        <v>0</v>
      </c>
    </row>
    <row r="973" spans="15:28" x14ac:dyDescent="0.7">
      <c r="O973" s="32" t="str">
        <f t="shared" si="182"/>
        <v/>
      </c>
      <c r="P973" s="21"/>
      <c r="Q973" s="21"/>
      <c r="R973" s="33"/>
      <c r="S973" s="36">
        <f t="shared" si="191"/>
        <v>0</v>
      </c>
      <c r="T973" s="34">
        <f t="shared" si="189"/>
        <v>0</v>
      </c>
      <c r="U973" s="32">
        <f t="shared" si="190"/>
        <v>0</v>
      </c>
      <c r="V973" s="43"/>
      <c r="W973" s="32">
        <f t="shared" si="183"/>
        <v>0</v>
      </c>
      <c r="X973" s="34">
        <f t="shared" si="184"/>
        <v>0</v>
      </c>
      <c r="Y973" s="30">
        <f t="shared" si="185"/>
        <v>0</v>
      </c>
      <c r="Z973" s="34">
        <f t="shared" si="186"/>
        <v>0</v>
      </c>
      <c r="AA973" s="41">
        <f t="shared" si="187"/>
        <v>0</v>
      </c>
      <c r="AB973" s="31">
        <f t="shared" si="188"/>
        <v>0</v>
      </c>
    </row>
    <row r="974" spans="15:28" x14ac:dyDescent="0.7">
      <c r="O974" s="32" t="str">
        <f t="shared" si="182"/>
        <v/>
      </c>
      <c r="P974" s="21"/>
      <c r="Q974" s="21"/>
      <c r="R974" s="33"/>
      <c r="S974" s="36">
        <f t="shared" si="191"/>
        <v>0</v>
      </c>
      <c r="T974" s="34">
        <f t="shared" si="189"/>
        <v>0</v>
      </c>
      <c r="U974" s="32">
        <f t="shared" si="190"/>
        <v>0</v>
      </c>
      <c r="V974" s="43"/>
      <c r="W974" s="32">
        <f t="shared" si="183"/>
        <v>0</v>
      </c>
      <c r="X974" s="34">
        <f t="shared" si="184"/>
        <v>0</v>
      </c>
      <c r="Y974" s="30">
        <f t="shared" si="185"/>
        <v>0</v>
      </c>
      <c r="Z974" s="34">
        <f t="shared" si="186"/>
        <v>0</v>
      </c>
      <c r="AA974" s="41">
        <f t="shared" si="187"/>
        <v>0</v>
      </c>
      <c r="AB974" s="31">
        <f t="shared" si="188"/>
        <v>0</v>
      </c>
    </row>
    <row r="975" spans="15:28" x14ac:dyDescent="0.7">
      <c r="O975" s="32" t="str">
        <f t="shared" si="182"/>
        <v/>
      </c>
      <c r="P975" s="21"/>
      <c r="Q975" s="21"/>
      <c r="R975" s="33"/>
      <c r="S975" s="36">
        <f t="shared" si="191"/>
        <v>0</v>
      </c>
      <c r="T975" s="34">
        <f t="shared" si="189"/>
        <v>0</v>
      </c>
      <c r="U975" s="32">
        <f t="shared" si="190"/>
        <v>0</v>
      </c>
      <c r="V975" s="43"/>
      <c r="W975" s="32">
        <f t="shared" si="183"/>
        <v>0</v>
      </c>
      <c r="X975" s="34">
        <f t="shared" si="184"/>
        <v>0</v>
      </c>
      <c r="Y975" s="30">
        <f t="shared" si="185"/>
        <v>0</v>
      </c>
      <c r="Z975" s="34">
        <f t="shared" si="186"/>
        <v>0</v>
      </c>
      <c r="AA975" s="41">
        <f t="shared" si="187"/>
        <v>0</v>
      </c>
      <c r="AB975" s="31">
        <f t="shared" si="188"/>
        <v>0</v>
      </c>
    </row>
    <row r="976" spans="15:28" x14ac:dyDescent="0.7">
      <c r="O976" s="32" t="str">
        <f t="shared" si="182"/>
        <v/>
      </c>
      <c r="P976" s="21"/>
      <c r="Q976" s="21"/>
      <c r="R976" s="33"/>
      <c r="S976" s="36">
        <f t="shared" si="191"/>
        <v>0</v>
      </c>
      <c r="T976" s="34">
        <f t="shared" si="189"/>
        <v>0</v>
      </c>
      <c r="U976" s="32">
        <f t="shared" si="190"/>
        <v>0</v>
      </c>
      <c r="V976" s="43"/>
      <c r="W976" s="32">
        <f t="shared" si="183"/>
        <v>0</v>
      </c>
      <c r="X976" s="34">
        <f t="shared" si="184"/>
        <v>0</v>
      </c>
      <c r="Y976" s="30">
        <f t="shared" si="185"/>
        <v>0</v>
      </c>
      <c r="Z976" s="34">
        <f t="shared" si="186"/>
        <v>0</v>
      </c>
      <c r="AA976" s="41">
        <f t="shared" si="187"/>
        <v>0</v>
      </c>
      <c r="AB976" s="31">
        <f t="shared" si="188"/>
        <v>0</v>
      </c>
    </row>
    <row r="977" spans="15:28" x14ac:dyDescent="0.7">
      <c r="O977" s="32" t="str">
        <f t="shared" si="182"/>
        <v/>
      </c>
      <c r="P977" s="21"/>
      <c r="Q977" s="21"/>
      <c r="R977" s="33"/>
      <c r="S977" s="36">
        <f t="shared" si="191"/>
        <v>0</v>
      </c>
      <c r="T977" s="34">
        <f t="shared" si="189"/>
        <v>0</v>
      </c>
      <c r="U977" s="32">
        <f t="shared" si="190"/>
        <v>0</v>
      </c>
      <c r="V977" s="43"/>
      <c r="W977" s="32">
        <f t="shared" si="183"/>
        <v>0</v>
      </c>
      <c r="X977" s="34">
        <f t="shared" si="184"/>
        <v>0</v>
      </c>
      <c r="Y977" s="30">
        <f t="shared" si="185"/>
        <v>0</v>
      </c>
      <c r="Z977" s="34">
        <f t="shared" si="186"/>
        <v>0</v>
      </c>
      <c r="AA977" s="41">
        <f t="shared" si="187"/>
        <v>0</v>
      </c>
      <c r="AB977" s="31">
        <f t="shared" si="188"/>
        <v>0</v>
      </c>
    </row>
    <row r="978" spans="15:28" x14ac:dyDescent="0.7">
      <c r="O978" s="32" t="str">
        <f t="shared" si="182"/>
        <v/>
      </c>
      <c r="P978" s="21"/>
      <c r="Q978" s="21"/>
      <c r="R978" s="33"/>
      <c r="S978" s="36">
        <f t="shared" si="191"/>
        <v>0</v>
      </c>
      <c r="T978" s="34">
        <f t="shared" si="189"/>
        <v>0</v>
      </c>
      <c r="U978" s="32">
        <f t="shared" si="190"/>
        <v>0</v>
      </c>
      <c r="V978" s="43"/>
      <c r="W978" s="32">
        <f t="shared" si="183"/>
        <v>0</v>
      </c>
      <c r="X978" s="34">
        <f t="shared" si="184"/>
        <v>0</v>
      </c>
      <c r="Y978" s="30">
        <f t="shared" si="185"/>
        <v>0</v>
      </c>
      <c r="Z978" s="34">
        <f t="shared" si="186"/>
        <v>0</v>
      </c>
      <c r="AA978" s="41">
        <f t="shared" si="187"/>
        <v>0</v>
      </c>
      <c r="AB978" s="31">
        <f t="shared" si="188"/>
        <v>0</v>
      </c>
    </row>
    <row r="979" spans="15:28" x14ac:dyDescent="0.7">
      <c r="O979" s="32" t="str">
        <f t="shared" si="182"/>
        <v/>
      </c>
      <c r="P979" s="21"/>
      <c r="Q979" s="21"/>
      <c r="R979" s="33"/>
      <c r="S979" s="36">
        <f t="shared" si="191"/>
        <v>0</v>
      </c>
      <c r="T979" s="34">
        <f t="shared" si="189"/>
        <v>0</v>
      </c>
      <c r="U979" s="32">
        <f t="shared" si="190"/>
        <v>0</v>
      </c>
      <c r="V979" s="43"/>
      <c r="W979" s="32">
        <f t="shared" si="183"/>
        <v>0</v>
      </c>
      <c r="X979" s="34">
        <f t="shared" si="184"/>
        <v>0</v>
      </c>
      <c r="Y979" s="30">
        <f t="shared" si="185"/>
        <v>0</v>
      </c>
      <c r="Z979" s="34">
        <f t="shared" si="186"/>
        <v>0</v>
      </c>
      <c r="AA979" s="41">
        <f t="shared" si="187"/>
        <v>0</v>
      </c>
      <c r="AB979" s="31">
        <f t="shared" si="188"/>
        <v>0</v>
      </c>
    </row>
    <row r="980" spans="15:28" x14ac:dyDescent="0.7">
      <c r="O980" s="32" t="str">
        <f t="shared" si="182"/>
        <v/>
      </c>
      <c r="P980" s="21"/>
      <c r="Q980" s="21"/>
      <c r="R980" s="33"/>
      <c r="S980" s="36">
        <f t="shared" si="191"/>
        <v>0</v>
      </c>
      <c r="T980" s="34">
        <f t="shared" si="189"/>
        <v>0</v>
      </c>
      <c r="U980" s="32">
        <f t="shared" si="190"/>
        <v>0</v>
      </c>
      <c r="V980" s="43"/>
      <c r="W980" s="32">
        <f t="shared" si="183"/>
        <v>0</v>
      </c>
      <c r="X980" s="34">
        <f t="shared" si="184"/>
        <v>0</v>
      </c>
      <c r="Y980" s="30">
        <f t="shared" si="185"/>
        <v>0</v>
      </c>
      <c r="Z980" s="34">
        <f t="shared" si="186"/>
        <v>0</v>
      </c>
      <c r="AA980" s="41">
        <f t="shared" si="187"/>
        <v>0</v>
      </c>
      <c r="AB980" s="31">
        <f t="shared" si="188"/>
        <v>0</v>
      </c>
    </row>
    <row r="981" spans="15:28" x14ac:dyDescent="0.7">
      <c r="O981" s="32" t="str">
        <f t="shared" si="182"/>
        <v/>
      </c>
      <c r="P981" s="21"/>
      <c r="Q981" s="21"/>
      <c r="R981" s="33"/>
      <c r="S981" s="36">
        <f t="shared" si="191"/>
        <v>0</v>
      </c>
      <c r="T981" s="34">
        <f t="shared" si="189"/>
        <v>0</v>
      </c>
      <c r="U981" s="32">
        <f t="shared" si="190"/>
        <v>0</v>
      </c>
      <c r="V981" s="43"/>
      <c r="W981" s="32">
        <f t="shared" si="183"/>
        <v>0</v>
      </c>
      <c r="X981" s="34">
        <f t="shared" si="184"/>
        <v>0</v>
      </c>
      <c r="Y981" s="30">
        <f t="shared" si="185"/>
        <v>0</v>
      </c>
      <c r="Z981" s="34">
        <f t="shared" si="186"/>
        <v>0</v>
      </c>
      <c r="AA981" s="41">
        <f t="shared" si="187"/>
        <v>0</v>
      </c>
      <c r="AB981" s="31">
        <f t="shared" si="188"/>
        <v>0</v>
      </c>
    </row>
    <row r="982" spans="15:28" x14ac:dyDescent="0.7">
      <c r="O982" s="32" t="str">
        <f t="shared" si="182"/>
        <v/>
      </c>
      <c r="P982" s="21"/>
      <c r="Q982" s="21"/>
      <c r="R982" s="33"/>
      <c r="S982" s="36">
        <f t="shared" si="191"/>
        <v>0</v>
      </c>
      <c r="T982" s="34">
        <f t="shared" si="189"/>
        <v>0</v>
      </c>
      <c r="U982" s="32">
        <f t="shared" si="190"/>
        <v>0</v>
      </c>
      <c r="V982" s="43"/>
      <c r="W982" s="32">
        <f t="shared" si="183"/>
        <v>0</v>
      </c>
      <c r="X982" s="34">
        <f t="shared" si="184"/>
        <v>0</v>
      </c>
      <c r="Y982" s="30">
        <f t="shared" si="185"/>
        <v>0</v>
      </c>
      <c r="Z982" s="34">
        <f t="shared" si="186"/>
        <v>0</v>
      </c>
      <c r="AA982" s="41">
        <f t="shared" si="187"/>
        <v>0</v>
      </c>
      <c r="AB982" s="31">
        <f t="shared" si="188"/>
        <v>0</v>
      </c>
    </row>
    <row r="983" spans="15:28" x14ac:dyDescent="0.7">
      <c r="O983" s="32" t="str">
        <f t="shared" si="182"/>
        <v/>
      </c>
      <c r="P983" s="21"/>
      <c r="Q983" s="21"/>
      <c r="R983" s="33"/>
      <c r="S983" s="36">
        <f t="shared" si="191"/>
        <v>0</v>
      </c>
      <c r="T983" s="34">
        <f t="shared" si="189"/>
        <v>0</v>
      </c>
      <c r="U983" s="32">
        <f t="shared" si="190"/>
        <v>0</v>
      </c>
      <c r="V983" s="43"/>
      <c r="W983" s="32">
        <f t="shared" si="183"/>
        <v>0</v>
      </c>
      <c r="X983" s="34">
        <f t="shared" si="184"/>
        <v>0</v>
      </c>
      <c r="Y983" s="30">
        <f t="shared" si="185"/>
        <v>0</v>
      </c>
      <c r="Z983" s="34">
        <f t="shared" si="186"/>
        <v>0</v>
      </c>
      <c r="AA983" s="41">
        <f t="shared" si="187"/>
        <v>0</v>
      </c>
      <c r="AB983" s="31">
        <f t="shared" si="188"/>
        <v>0</v>
      </c>
    </row>
    <row r="984" spans="15:28" x14ac:dyDescent="0.7">
      <c r="O984" s="32" t="str">
        <f t="shared" si="182"/>
        <v/>
      </c>
      <c r="P984" s="21"/>
      <c r="Q984" s="21"/>
      <c r="R984" s="33"/>
      <c r="S984" s="36">
        <f t="shared" si="191"/>
        <v>0</v>
      </c>
      <c r="T984" s="34">
        <f t="shared" si="189"/>
        <v>0</v>
      </c>
      <c r="U984" s="32">
        <f t="shared" si="190"/>
        <v>0</v>
      </c>
      <c r="V984" s="43"/>
      <c r="W984" s="32">
        <f t="shared" si="183"/>
        <v>0</v>
      </c>
      <c r="X984" s="34">
        <f t="shared" si="184"/>
        <v>0</v>
      </c>
      <c r="Y984" s="30">
        <f t="shared" si="185"/>
        <v>0</v>
      </c>
      <c r="Z984" s="34">
        <f t="shared" si="186"/>
        <v>0</v>
      </c>
      <c r="AA984" s="41">
        <f t="shared" si="187"/>
        <v>0</v>
      </c>
      <c r="AB984" s="31">
        <f t="shared" si="188"/>
        <v>0</v>
      </c>
    </row>
    <row r="985" spans="15:28" x14ac:dyDescent="0.7">
      <c r="O985" s="32" t="str">
        <f t="shared" si="182"/>
        <v/>
      </c>
      <c r="P985" s="21"/>
      <c r="Q985" s="21"/>
      <c r="R985" s="33"/>
      <c r="S985" s="36">
        <f t="shared" si="191"/>
        <v>0</v>
      </c>
      <c r="T985" s="34">
        <f t="shared" si="189"/>
        <v>0</v>
      </c>
      <c r="U985" s="32">
        <f t="shared" si="190"/>
        <v>0</v>
      </c>
      <c r="V985" s="43"/>
      <c r="W985" s="32">
        <f t="shared" si="183"/>
        <v>0</v>
      </c>
      <c r="X985" s="34">
        <f t="shared" si="184"/>
        <v>0</v>
      </c>
      <c r="Y985" s="30">
        <f t="shared" si="185"/>
        <v>0</v>
      </c>
      <c r="Z985" s="34">
        <f t="shared" si="186"/>
        <v>0</v>
      </c>
      <c r="AA985" s="41">
        <f t="shared" si="187"/>
        <v>0</v>
      </c>
      <c r="AB985" s="31">
        <f t="shared" si="188"/>
        <v>0</v>
      </c>
    </row>
    <row r="986" spans="15:28" x14ac:dyDescent="0.7">
      <c r="O986" s="32" t="str">
        <f t="shared" si="182"/>
        <v/>
      </c>
      <c r="P986" s="21"/>
      <c r="Q986" s="21"/>
      <c r="R986" s="33"/>
      <c r="S986" s="36">
        <f t="shared" si="191"/>
        <v>0</v>
      </c>
      <c r="T986" s="34">
        <f t="shared" si="189"/>
        <v>0</v>
      </c>
      <c r="U986" s="32">
        <f t="shared" si="190"/>
        <v>0</v>
      </c>
      <c r="V986" s="43"/>
      <c r="W986" s="32">
        <f t="shared" si="183"/>
        <v>0</v>
      </c>
      <c r="X986" s="34">
        <f t="shared" si="184"/>
        <v>0</v>
      </c>
      <c r="Y986" s="30">
        <f t="shared" si="185"/>
        <v>0</v>
      </c>
      <c r="Z986" s="34">
        <f t="shared" si="186"/>
        <v>0</v>
      </c>
      <c r="AA986" s="41">
        <f t="shared" si="187"/>
        <v>0</v>
      </c>
      <c r="AB986" s="31">
        <f t="shared" si="188"/>
        <v>0</v>
      </c>
    </row>
    <row r="987" spans="15:28" x14ac:dyDescent="0.7">
      <c r="O987" s="32" t="str">
        <f t="shared" si="182"/>
        <v/>
      </c>
      <c r="P987" s="21"/>
      <c r="Q987" s="21"/>
      <c r="R987" s="33"/>
      <c r="S987" s="36">
        <f t="shared" si="191"/>
        <v>0</v>
      </c>
      <c r="T987" s="34">
        <f t="shared" si="189"/>
        <v>0</v>
      </c>
      <c r="U987" s="32">
        <f t="shared" si="190"/>
        <v>0</v>
      </c>
      <c r="V987" s="43"/>
      <c r="W987" s="32">
        <f t="shared" si="183"/>
        <v>0</v>
      </c>
      <c r="X987" s="34">
        <f t="shared" si="184"/>
        <v>0</v>
      </c>
      <c r="Y987" s="30">
        <f t="shared" si="185"/>
        <v>0</v>
      </c>
      <c r="Z987" s="34">
        <f t="shared" si="186"/>
        <v>0</v>
      </c>
      <c r="AA987" s="41">
        <f t="shared" si="187"/>
        <v>0</v>
      </c>
      <c r="AB987" s="31">
        <f t="shared" si="188"/>
        <v>0</v>
      </c>
    </row>
    <row r="988" spans="15:28" x14ac:dyDescent="0.7">
      <c r="O988" s="32" t="str">
        <f t="shared" si="182"/>
        <v/>
      </c>
      <c r="P988" s="21"/>
      <c r="Q988" s="21"/>
      <c r="R988" s="33"/>
      <c r="S988" s="36">
        <f t="shared" si="191"/>
        <v>0</v>
      </c>
      <c r="T988" s="34">
        <f t="shared" si="189"/>
        <v>0</v>
      </c>
      <c r="U988" s="32">
        <f t="shared" si="190"/>
        <v>0</v>
      </c>
      <c r="V988" s="43"/>
      <c r="W988" s="32">
        <f t="shared" si="183"/>
        <v>0</v>
      </c>
      <c r="X988" s="34">
        <f t="shared" si="184"/>
        <v>0</v>
      </c>
      <c r="Y988" s="30">
        <f t="shared" si="185"/>
        <v>0</v>
      </c>
      <c r="Z988" s="34">
        <f t="shared" si="186"/>
        <v>0</v>
      </c>
      <c r="AA988" s="41">
        <f t="shared" si="187"/>
        <v>0</v>
      </c>
      <c r="AB988" s="31">
        <f t="shared" si="188"/>
        <v>0</v>
      </c>
    </row>
    <row r="989" spans="15:28" x14ac:dyDescent="0.7">
      <c r="O989" s="32" t="str">
        <f t="shared" si="182"/>
        <v/>
      </c>
      <c r="P989" s="21"/>
      <c r="Q989" s="21"/>
      <c r="R989" s="33"/>
      <c r="S989" s="36">
        <f t="shared" si="191"/>
        <v>0</v>
      </c>
      <c r="T989" s="34">
        <f t="shared" si="189"/>
        <v>0</v>
      </c>
      <c r="U989" s="32">
        <f t="shared" si="190"/>
        <v>0</v>
      </c>
      <c r="V989" s="43"/>
      <c r="W989" s="32">
        <f t="shared" si="183"/>
        <v>0</v>
      </c>
      <c r="X989" s="34">
        <f t="shared" si="184"/>
        <v>0</v>
      </c>
      <c r="Y989" s="30">
        <f t="shared" si="185"/>
        <v>0</v>
      </c>
      <c r="Z989" s="34">
        <f t="shared" si="186"/>
        <v>0</v>
      </c>
      <c r="AA989" s="41">
        <f t="shared" si="187"/>
        <v>0</v>
      </c>
      <c r="AB989" s="31">
        <f t="shared" si="188"/>
        <v>0</v>
      </c>
    </row>
    <row r="990" spans="15:28" x14ac:dyDescent="0.7">
      <c r="O990" s="32" t="str">
        <f t="shared" si="182"/>
        <v/>
      </c>
      <c r="P990" s="21"/>
      <c r="Q990" s="21"/>
      <c r="R990" s="33"/>
      <c r="S990" s="36">
        <f t="shared" si="191"/>
        <v>0</v>
      </c>
      <c r="T990" s="34">
        <f t="shared" si="189"/>
        <v>0</v>
      </c>
      <c r="U990" s="32">
        <f t="shared" si="190"/>
        <v>0</v>
      </c>
      <c r="V990" s="43"/>
      <c r="W990" s="32">
        <f t="shared" si="183"/>
        <v>0</v>
      </c>
      <c r="X990" s="34">
        <f t="shared" si="184"/>
        <v>0</v>
      </c>
      <c r="Y990" s="30">
        <f t="shared" si="185"/>
        <v>0</v>
      </c>
      <c r="Z990" s="34">
        <f t="shared" si="186"/>
        <v>0</v>
      </c>
      <c r="AA990" s="41">
        <f t="shared" si="187"/>
        <v>0</v>
      </c>
      <c r="AB990" s="31">
        <f t="shared" si="188"/>
        <v>0</v>
      </c>
    </row>
    <row r="991" spans="15:28" x14ac:dyDescent="0.7">
      <c r="O991" s="32" t="str">
        <f t="shared" si="182"/>
        <v/>
      </c>
      <c r="P991" s="21"/>
      <c r="Q991" s="21"/>
      <c r="R991" s="33"/>
      <c r="S991" s="36">
        <f t="shared" si="191"/>
        <v>0</v>
      </c>
      <c r="T991" s="34">
        <f t="shared" si="189"/>
        <v>0</v>
      </c>
      <c r="U991" s="32">
        <f t="shared" si="190"/>
        <v>0</v>
      </c>
      <c r="V991" s="43"/>
      <c r="W991" s="32">
        <f t="shared" si="183"/>
        <v>0</v>
      </c>
      <c r="X991" s="34">
        <f t="shared" si="184"/>
        <v>0</v>
      </c>
      <c r="Y991" s="30">
        <f t="shared" si="185"/>
        <v>0</v>
      </c>
      <c r="Z991" s="34">
        <f t="shared" si="186"/>
        <v>0</v>
      </c>
      <c r="AA991" s="41">
        <f t="shared" si="187"/>
        <v>0</v>
      </c>
      <c r="AB991" s="31">
        <f t="shared" si="188"/>
        <v>0</v>
      </c>
    </row>
    <row r="992" spans="15:28" x14ac:dyDescent="0.7">
      <c r="O992" s="32" t="str">
        <f t="shared" si="182"/>
        <v/>
      </c>
      <c r="P992" s="21"/>
      <c r="Q992" s="21"/>
      <c r="R992" s="33"/>
      <c r="S992" s="36">
        <f t="shared" si="191"/>
        <v>0</v>
      </c>
      <c r="T992" s="34">
        <f t="shared" si="189"/>
        <v>0</v>
      </c>
      <c r="U992" s="32">
        <f t="shared" si="190"/>
        <v>0</v>
      </c>
      <c r="V992" s="43"/>
      <c r="W992" s="32">
        <f t="shared" si="183"/>
        <v>0</v>
      </c>
      <c r="X992" s="34">
        <f t="shared" si="184"/>
        <v>0</v>
      </c>
      <c r="Y992" s="30">
        <f t="shared" si="185"/>
        <v>0</v>
      </c>
      <c r="Z992" s="34">
        <f t="shared" si="186"/>
        <v>0</v>
      </c>
      <c r="AA992" s="41">
        <f t="shared" si="187"/>
        <v>0</v>
      </c>
      <c r="AB992" s="31">
        <f t="shared" si="188"/>
        <v>0</v>
      </c>
    </row>
    <row r="993" spans="4:28" x14ac:dyDescent="0.7">
      <c r="O993" s="32" t="str">
        <f t="shared" si="182"/>
        <v/>
      </c>
      <c r="P993" s="21"/>
      <c r="Q993" s="21"/>
      <c r="R993" s="33"/>
      <c r="S993" s="36">
        <f t="shared" si="191"/>
        <v>0</v>
      </c>
      <c r="T993" s="34">
        <f t="shared" si="189"/>
        <v>0</v>
      </c>
      <c r="U993" s="32">
        <f t="shared" si="190"/>
        <v>0</v>
      </c>
      <c r="V993" s="43"/>
      <c r="W993" s="32">
        <f t="shared" si="183"/>
        <v>0</v>
      </c>
      <c r="X993" s="34">
        <f t="shared" si="184"/>
        <v>0</v>
      </c>
      <c r="Y993" s="30">
        <f t="shared" si="185"/>
        <v>0</v>
      </c>
      <c r="Z993" s="34">
        <f t="shared" si="186"/>
        <v>0</v>
      </c>
      <c r="AA993" s="41">
        <f t="shared" si="187"/>
        <v>0</v>
      </c>
      <c r="AB993" s="31">
        <f t="shared" si="188"/>
        <v>0</v>
      </c>
    </row>
    <row r="994" spans="4:28" x14ac:dyDescent="0.7">
      <c r="O994" s="32" t="str">
        <f t="shared" si="182"/>
        <v/>
      </c>
      <c r="P994" s="21"/>
      <c r="Q994" s="21"/>
      <c r="R994" s="33"/>
      <c r="S994" s="36">
        <f t="shared" si="191"/>
        <v>0</v>
      </c>
      <c r="T994" s="34">
        <f t="shared" si="189"/>
        <v>0</v>
      </c>
      <c r="U994" s="32">
        <f t="shared" si="190"/>
        <v>0</v>
      </c>
      <c r="V994" s="43"/>
      <c r="W994" s="32">
        <f t="shared" si="183"/>
        <v>0</v>
      </c>
      <c r="X994" s="34">
        <f t="shared" si="184"/>
        <v>0</v>
      </c>
      <c r="Y994" s="30">
        <f t="shared" si="185"/>
        <v>0</v>
      </c>
      <c r="Z994" s="34">
        <f t="shared" si="186"/>
        <v>0</v>
      </c>
      <c r="AA994" s="41">
        <f t="shared" si="187"/>
        <v>0</v>
      </c>
      <c r="AB994" s="31">
        <f t="shared" si="188"/>
        <v>0</v>
      </c>
    </row>
    <row r="995" spans="4:28" x14ac:dyDescent="0.7">
      <c r="O995" s="32" t="str">
        <f t="shared" si="182"/>
        <v/>
      </c>
      <c r="P995" s="21"/>
      <c r="Q995" s="21"/>
      <c r="R995" s="33"/>
      <c r="S995" s="36">
        <f t="shared" si="191"/>
        <v>0</v>
      </c>
      <c r="T995" s="34">
        <f t="shared" si="189"/>
        <v>0</v>
      </c>
      <c r="U995" s="32">
        <f t="shared" si="190"/>
        <v>0</v>
      </c>
      <c r="V995" s="43"/>
      <c r="W995" s="32">
        <f t="shared" si="183"/>
        <v>0</v>
      </c>
      <c r="X995" s="34">
        <f t="shared" si="184"/>
        <v>0</v>
      </c>
      <c r="Y995" s="30">
        <f t="shared" si="185"/>
        <v>0</v>
      </c>
      <c r="Z995" s="34">
        <f t="shared" si="186"/>
        <v>0</v>
      </c>
      <c r="AA995" s="41">
        <f t="shared" si="187"/>
        <v>0</v>
      </c>
      <c r="AB995" s="31">
        <f t="shared" si="188"/>
        <v>0</v>
      </c>
    </row>
    <row r="996" spans="4:28" x14ac:dyDescent="0.7">
      <c r="O996" s="32" t="str">
        <f t="shared" si="182"/>
        <v/>
      </c>
      <c r="P996" s="21"/>
      <c r="Q996" s="21"/>
      <c r="R996" s="33"/>
      <c r="S996" s="36">
        <f t="shared" si="191"/>
        <v>0</v>
      </c>
      <c r="T996" s="34">
        <f t="shared" si="189"/>
        <v>0</v>
      </c>
      <c r="U996" s="32">
        <f t="shared" si="190"/>
        <v>0</v>
      </c>
      <c r="V996" s="43"/>
      <c r="W996" s="32">
        <f t="shared" si="183"/>
        <v>0</v>
      </c>
      <c r="X996" s="34">
        <f t="shared" si="184"/>
        <v>0</v>
      </c>
      <c r="Y996" s="30">
        <f t="shared" si="185"/>
        <v>0</v>
      </c>
      <c r="Z996" s="34">
        <f t="shared" si="186"/>
        <v>0</v>
      </c>
      <c r="AA996" s="41">
        <f t="shared" si="187"/>
        <v>0</v>
      </c>
      <c r="AB996" s="31">
        <f t="shared" si="188"/>
        <v>0</v>
      </c>
    </row>
    <row r="997" spans="4:28" x14ac:dyDescent="0.7">
      <c r="O997" s="32" t="str">
        <f t="shared" si="182"/>
        <v/>
      </c>
      <c r="P997" s="21"/>
      <c r="Q997" s="21"/>
      <c r="R997" s="33"/>
      <c r="S997" s="36">
        <f t="shared" si="191"/>
        <v>0</v>
      </c>
      <c r="T997" s="34">
        <f t="shared" si="189"/>
        <v>0</v>
      </c>
      <c r="U997" s="32">
        <f t="shared" si="190"/>
        <v>0</v>
      </c>
      <c r="V997" s="43"/>
      <c r="W997" s="32">
        <f t="shared" si="183"/>
        <v>0</v>
      </c>
      <c r="X997" s="34">
        <f t="shared" si="184"/>
        <v>0</v>
      </c>
      <c r="Y997" s="30">
        <f t="shared" si="185"/>
        <v>0</v>
      </c>
      <c r="Z997" s="34">
        <f t="shared" si="186"/>
        <v>0</v>
      </c>
      <c r="AA997" s="41">
        <f t="shared" si="187"/>
        <v>0</v>
      </c>
      <c r="AB997" s="31">
        <f t="shared" si="188"/>
        <v>0</v>
      </c>
    </row>
    <row r="998" spans="4:28" x14ac:dyDescent="0.7">
      <c r="O998" s="32" t="str">
        <f t="shared" si="182"/>
        <v/>
      </c>
      <c r="P998" s="21"/>
      <c r="Q998" s="21"/>
      <c r="R998" s="33"/>
      <c r="S998" s="36">
        <f t="shared" si="191"/>
        <v>0</v>
      </c>
      <c r="T998" s="34">
        <f t="shared" si="189"/>
        <v>0</v>
      </c>
      <c r="U998" s="32">
        <f t="shared" si="190"/>
        <v>0</v>
      </c>
      <c r="V998" s="43"/>
      <c r="W998" s="32">
        <f t="shared" si="183"/>
        <v>0</v>
      </c>
      <c r="X998" s="34">
        <f t="shared" si="184"/>
        <v>0</v>
      </c>
      <c r="Y998" s="30">
        <f t="shared" si="185"/>
        <v>0</v>
      </c>
      <c r="Z998" s="34">
        <f t="shared" si="186"/>
        <v>0</v>
      </c>
      <c r="AA998" s="41">
        <f t="shared" si="187"/>
        <v>0</v>
      </c>
      <c r="AB998" s="31">
        <f t="shared" si="188"/>
        <v>0</v>
      </c>
    </row>
    <row r="999" spans="4:28" x14ac:dyDescent="0.7">
      <c r="O999" s="32" t="str">
        <f t="shared" si="182"/>
        <v/>
      </c>
      <c r="P999" s="21"/>
      <c r="Q999" s="21"/>
      <c r="R999" s="33"/>
      <c r="S999" s="36">
        <f t="shared" si="191"/>
        <v>0</v>
      </c>
      <c r="T999" s="34">
        <f t="shared" si="189"/>
        <v>0</v>
      </c>
      <c r="U999" s="32">
        <f t="shared" si="190"/>
        <v>0</v>
      </c>
      <c r="V999" s="43"/>
      <c r="W999" s="32">
        <f t="shared" si="183"/>
        <v>0</v>
      </c>
      <c r="X999" s="34">
        <f t="shared" si="184"/>
        <v>0</v>
      </c>
      <c r="Y999" s="30">
        <f t="shared" si="185"/>
        <v>0</v>
      </c>
      <c r="Z999" s="34">
        <f t="shared" si="186"/>
        <v>0</v>
      </c>
      <c r="AA999" s="41">
        <f t="shared" si="187"/>
        <v>0</v>
      </c>
      <c r="AB999" s="31">
        <f t="shared" si="188"/>
        <v>0</v>
      </c>
    </row>
    <row r="1000" spans="4:28" x14ac:dyDescent="0.7">
      <c r="O1000" s="32" t="str">
        <f t="shared" si="182"/>
        <v/>
      </c>
      <c r="P1000" s="21"/>
      <c r="Q1000" s="21"/>
      <c r="R1000" s="33"/>
      <c r="S1000" s="36">
        <f t="shared" si="191"/>
        <v>0</v>
      </c>
      <c r="T1000" s="34">
        <f t="shared" si="189"/>
        <v>0</v>
      </c>
      <c r="U1000" s="32">
        <f t="shared" si="190"/>
        <v>0</v>
      </c>
      <c r="V1000" s="43"/>
      <c r="W1000" s="32">
        <f t="shared" si="183"/>
        <v>0</v>
      </c>
      <c r="X1000" s="34">
        <f t="shared" si="184"/>
        <v>0</v>
      </c>
      <c r="Y1000" s="30">
        <f t="shared" si="185"/>
        <v>0</v>
      </c>
      <c r="Z1000" s="34">
        <f t="shared" si="186"/>
        <v>0</v>
      </c>
      <c r="AA1000" s="41">
        <f t="shared" si="187"/>
        <v>0</v>
      </c>
      <c r="AB1000" s="31">
        <f t="shared" si="188"/>
        <v>0</v>
      </c>
    </row>
    <row r="1001" spans="4:28" x14ac:dyDescent="0.7">
      <c r="O1001" s="32" t="str">
        <f t="shared" si="182"/>
        <v/>
      </c>
      <c r="P1001" s="21"/>
      <c r="Q1001" s="21"/>
      <c r="R1001" s="33"/>
      <c r="S1001" s="36">
        <f t="shared" si="191"/>
        <v>0</v>
      </c>
      <c r="T1001" s="34">
        <f t="shared" si="189"/>
        <v>0</v>
      </c>
      <c r="U1001" s="32">
        <f t="shared" si="190"/>
        <v>0</v>
      </c>
      <c r="V1001" s="43"/>
      <c r="W1001" s="32">
        <f t="shared" si="183"/>
        <v>0</v>
      </c>
      <c r="X1001" s="34">
        <f t="shared" si="184"/>
        <v>0</v>
      </c>
      <c r="Y1001" s="30">
        <f t="shared" si="185"/>
        <v>0</v>
      </c>
      <c r="Z1001" s="34">
        <f t="shared" si="186"/>
        <v>0</v>
      </c>
      <c r="AA1001" s="41">
        <f t="shared" si="187"/>
        <v>0</v>
      </c>
      <c r="AB1001" s="31">
        <f t="shared" si="188"/>
        <v>0</v>
      </c>
    </row>
    <row r="1002" spans="4:28" x14ac:dyDescent="0.7">
      <c r="O1002" s="32" t="str">
        <f t="shared" si="182"/>
        <v/>
      </c>
      <c r="P1002" s="21"/>
      <c r="Q1002" s="21"/>
      <c r="R1002" s="33"/>
      <c r="S1002" s="36">
        <f t="shared" si="191"/>
        <v>0</v>
      </c>
      <c r="T1002" s="34">
        <f t="shared" si="189"/>
        <v>0</v>
      </c>
      <c r="U1002" s="32">
        <f t="shared" si="190"/>
        <v>0</v>
      </c>
      <c r="V1002" s="43"/>
      <c r="W1002" s="32">
        <f t="shared" si="183"/>
        <v>0</v>
      </c>
      <c r="X1002" s="34">
        <f t="shared" si="184"/>
        <v>0</v>
      </c>
      <c r="Y1002" s="30">
        <f t="shared" si="185"/>
        <v>0</v>
      </c>
      <c r="Z1002" s="34">
        <f t="shared" si="186"/>
        <v>0</v>
      </c>
      <c r="AA1002" s="41">
        <f t="shared" si="187"/>
        <v>0</v>
      </c>
      <c r="AB1002" s="31">
        <f t="shared" si="188"/>
        <v>0</v>
      </c>
    </row>
    <row r="1003" spans="4:28" x14ac:dyDescent="0.7">
      <c r="O1003" s="32" t="str">
        <f t="shared" si="182"/>
        <v/>
      </c>
      <c r="P1003" s="21"/>
      <c r="Q1003" s="21"/>
      <c r="R1003" s="33"/>
      <c r="S1003" s="36">
        <f t="shared" si="191"/>
        <v>0</v>
      </c>
      <c r="T1003" s="34">
        <f t="shared" si="189"/>
        <v>0</v>
      </c>
      <c r="U1003" s="32">
        <f t="shared" si="190"/>
        <v>0</v>
      </c>
      <c r="V1003" s="43"/>
      <c r="W1003" s="32">
        <f t="shared" si="183"/>
        <v>0</v>
      </c>
      <c r="X1003" s="34">
        <f t="shared" si="184"/>
        <v>0</v>
      </c>
      <c r="Y1003" s="30">
        <f t="shared" si="185"/>
        <v>0</v>
      </c>
      <c r="Z1003" s="34">
        <f t="shared" si="186"/>
        <v>0</v>
      </c>
      <c r="AA1003" s="41">
        <f t="shared" si="187"/>
        <v>0</v>
      </c>
      <c r="AB1003" s="31">
        <f t="shared" si="188"/>
        <v>0</v>
      </c>
    </row>
    <row r="1004" spans="4:28" x14ac:dyDescent="0.7">
      <c r="O1004" s="32" t="str">
        <f t="shared" si="182"/>
        <v/>
      </c>
      <c r="P1004" s="21"/>
      <c r="Q1004" s="21"/>
      <c r="R1004" s="33"/>
      <c r="S1004" s="36">
        <f t="shared" si="191"/>
        <v>0</v>
      </c>
      <c r="T1004" s="34">
        <f t="shared" si="189"/>
        <v>0</v>
      </c>
      <c r="U1004" s="32">
        <f t="shared" si="190"/>
        <v>0</v>
      </c>
      <c r="V1004" s="43"/>
      <c r="W1004" s="32">
        <f t="shared" si="183"/>
        <v>0</v>
      </c>
      <c r="X1004" s="34">
        <f t="shared" si="184"/>
        <v>0</v>
      </c>
      <c r="Y1004" s="30">
        <f t="shared" si="185"/>
        <v>0</v>
      </c>
      <c r="Z1004" s="34">
        <f t="shared" si="186"/>
        <v>0</v>
      </c>
      <c r="AA1004" s="41">
        <f t="shared" si="187"/>
        <v>0</v>
      </c>
      <c r="AB1004" s="31">
        <f t="shared" si="188"/>
        <v>0</v>
      </c>
    </row>
    <row r="1005" spans="4:28" s="7" customFormat="1" x14ac:dyDescent="0.7">
      <c r="D1005" s="6"/>
      <c r="E1005" s="6"/>
      <c r="F1005" s="6"/>
      <c r="G1005" s="6"/>
    </row>
  </sheetData>
  <mergeCells count="3">
    <mergeCell ref="T3:V3"/>
    <mergeCell ref="W3:AB3"/>
    <mergeCell ref="T4:V4"/>
  </mergeCells>
  <conditionalFormatting sqref="P40:P83">
    <cfRule type="duplicateValues" dxfId="13" priority="13"/>
    <cfRule type="duplicateValues" dxfId="12" priority="14"/>
  </conditionalFormatting>
  <conditionalFormatting sqref="P129:P151 P155:P170 P153">
    <cfRule type="duplicateValues" dxfId="11" priority="11"/>
    <cfRule type="duplicateValues" dxfId="10" priority="12"/>
  </conditionalFormatting>
  <conditionalFormatting sqref="P171:P175">
    <cfRule type="duplicateValues" dxfId="9" priority="7"/>
    <cfRule type="duplicateValues" dxfId="8" priority="8"/>
  </conditionalFormatting>
  <conditionalFormatting sqref="P176:P183">
    <cfRule type="duplicateValues" dxfId="7" priority="5"/>
    <cfRule type="duplicateValues" dxfId="6" priority="6"/>
  </conditionalFormatting>
  <conditionalFormatting sqref="P184:P212">
    <cfRule type="duplicateValues" dxfId="5" priority="9"/>
    <cfRule type="duplicateValues" dxfId="4" priority="10"/>
  </conditionalFormatting>
  <conditionalFormatting sqref="P213:P228">
    <cfRule type="duplicateValues" dxfId="3" priority="3"/>
    <cfRule type="duplicateValues" dxfId="2" priority="4"/>
  </conditionalFormatting>
  <conditionalFormatting sqref="P249:P270 P272:P291">
    <cfRule type="duplicateValues" dxfId="1" priority="1"/>
    <cfRule type="duplicateValues" dxfId="0" priority="2"/>
  </conditionalFormatting>
  <pageMargins left="0.7" right="0.7" top="0.75" bottom="0.75" header="0.3" footer="0.3"/>
  <pageSetup orientation="portrait" horizontalDpi="4294967295" verticalDpi="4294967295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N</vt:lpstr>
      <vt:lpstr>Print</vt:lpstr>
      <vt:lpstr>1</vt:lpstr>
      <vt:lpstr>'1'!G</vt:lpstr>
      <vt:lpstr>'1'!KK</vt:lpstr>
      <vt:lpstr>Print!Print_Area</vt:lpstr>
      <vt:lpstr>Print!Print_Titles</vt:lpstr>
      <vt:lpstr>'1'!T</vt:lpstr>
      <vt:lpstr>'1'!TT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aamir hussain</dc:creator>
  <cp:keywords/>
  <dc:description/>
  <cp:lastModifiedBy>♌</cp:lastModifiedBy>
  <cp:revision/>
  <cp:lastPrinted>2024-08-09T15:31:47Z</cp:lastPrinted>
  <dcterms:created xsi:type="dcterms:W3CDTF">2023-09-03T10:29:35Z</dcterms:created>
  <dcterms:modified xsi:type="dcterms:W3CDTF">2024-09-17T11:57:29Z</dcterms:modified>
  <cp:category/>
  <cp:contentStatus/>
</cp:coreProperties>
</file>