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1\"/>
    </mc:Choice>
  </mc:AlternateContent>
  <xr:revisionPtr revIDLastSave="0" documentId="13_ncr:1_{7405BAE9-FA24-45CA-A00E-F0E48085ABDD}" xr6:coauthVersionLast="47" xr6:coauthVersionMax="47" xr10:uidLastSave="{00000000-0000-0000-0000-000000000000}"/>
  <bookViews>
    <workbookView xWindow="-120" yWindow="-120" windowWidth="20730" windowHeight="11040" activeTab="1" xr2:uid="{A58BB375-5A9C-49B9-A180-54D09EB82E46}"/>
  </bookViews>
  <sheets>
    <sheet name="Print" sheetId="134" r:id="rId1"/>
    <sheet name="Main Khewat" sheetId="145" r:id="rId2"/>
  </sheets>
  <externalReferences>
    <externalReference r:id="rId3"/>
    <externalReference r:id="rId4"/>
  </externalReferences>
  <definedNames>
    <definedName name="_xlnm._FilterDatabase" localSheetId="0" hidden="1">Print!$A$1:$L$525</definedName>
    <definedName name="_xlnm.Print_Area" localSheetId="0">Print!$B$1:$K$525</definedName>
    <definedName name="T">'Main Khewat'!$A$3:$D$1048576</definedName>
    <definedName name="TT">'Main Khewat'!$I$3:$T$1048576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134" l="1"/>
  <c r="H6" i="134"/>
  <c r="H7" i="134"/>
  <c r="H8" i="134"/>
  <c r="H9" i="134"/>
  <c r="H10" i="134"/>
  <c r="H11" i="134"/>
  <c r="H12" i="134"/>
  <c r="H13" i="134"/>
  <c r="H14" i="134"/>
  <c r="H15" i="134"/>
  <c r="H16" i="134"/>
  <c r="H17" i="134"/>
  <c r="H18" i="134"/>
  <c r="H19" i="134"/>
  <c r="H20" i="134"/>
  <c r="H21" i="134"/>
  <c r="H22" i="134"/>
  <c r="H23" i="134"/>
  <c r="H24" i="134"/>
  <c r="H25" i="134"/>
  <c r="H26" i="134"/>
  <c r="H27" i="134"/>
  <c r="H28" i="134"/>
  <c r="H29" i="134"/>
  <c r="H30" i="134"/>
  <c r="H31" i="134"/>
  <c r="H32" i="134"/>
  <c r="H33" i="134"/>
  <c r="H34" i="134"/>
  <c r="H35" i="134"/>
  <c r="H36" i="134"/>
  <c r="H37" i="134"/>
  <c r="H38" i="134"/>
  <c r="H39" i="134"/>
  <c r="H40" i="134"/>
  <c r="H41" i="134"/>
  <c r="H42" i="134"/>
  <c r="H43" i="134"/>
  <c r="H44" i="134"/>
  <c r="H45" i="134"/>
  <c r="H46" i="134"/>
  <c r="H47" i="134"/>
  <c r="H48" i="134"/>
  <c r="H49" i="134"/>
  <c r="H50" i="134"/>
  <c r="H51" i="134"/>
  <c r="H52" i="134"/>
  <c r="H53" i="134"/>
  <c r="H54" i="134"/>
  <c r="H55" i="134"/>
  <c r="H56" i="134"/>
  <c r="H57" i="134"/>
  <c r="H58" i="134"/>
  <c r="H59" i="134"/>
  <c r="H60" i="134"/>
  <c r="H61" i="134"/>
  <c r="H62" i="134"/>
  <c r="H63" i="134"/>
  <c r="H64" i="134"/>
  <c r="H65" i="134"/>
  <c r="H66" i="134"/>
  <c r="H67" i="134"/>
  <c r="H68" i="134"/>
  <c r="H69" i="134"/>
  <c r="H70" i="134"/>
  <c r="H71" i="134"/>
  <c r="H72" i="134"/>
  <c r="H73" i="134"/>
  <c r="H74" i="134"/>
  <c r="H75" i="134"/>
  <c r="H76" i="134"/>
  <c r="H77" i="134"/>
  <c r="H78" i="134"/>
  <c r="H79" i="134"/>
  <c r="H80" i="134"/>
  <c r="H81" i="134"/>
  <c r="H82" i="134"/>
  <c r="H83" i="134"/>
  <c r="H84" i="134"/>
  <c r="H85" i="134"/>
  <c r="H86" i="134"/>
  <c r="H87" i="134"/>
  <c r="H88" i="134"/>
  <c r="H89" i="134"/>
  <c r="H90" i="134"/>
  <c r="H91" i="134"/>
  <c r="H92" i="134"/>
  <c r="H93" i="134"/>
  <c r="H94" i="134"/>
  <c r="H95" i="134"/>
  <c r="H96" i="134"/>
  <c r="H97" i="134"/>
  <c r="H98" i="134"/>
  <c r="H99" i="134"/>
  <c r="H100" i="134"/>
  <c r="H101" i="134"/>
  <c r="H102" i="134"/>
  <c r="H103" i="134"/>
  <c r="H104" i="134"/>
  <c r="H105" i="134"/>
  <c r="H106" i="134"/>
  <c r="H107" i="134"/>
  <c r="H108" i="134"/>
  <c r="H109" i="134"/>
  <c r="H110" i="134"/>
  <c r="H111" i="134"/>
  <c r="H112" i="134"/>
  <c r="H113" i="134"/>
  <c r="H114" i="134"/>
  <c r="H115" i="134"/>
  <c r="H116" i="134"/>
  <c r="H117" i="134"/>
  <c r="H118" i="134"/>
  <c r="H119" i="134"/>
  <c r="H120" i="134"/>
  <c r="H121" i="134"/>
  <c r="H122" i="134"/>
  <c r="H123" i="134"/>
  <c r="H124" i="134"/>
  <c r="H125" i="134"/>
  <c r="H126" i="134"/>
  <c r="H127" i="134"/>
  <c r="H128" i="134"/>
  <c r="H129" i="134"/>
  <c r="H130" i="134"/>
  <c r="H131" i="134"/>
  <c r="H132" i="134"/>
  <c r="H133" i="134"/>
  <c r="H134" i="134"/>
  <c r="H135" i="134"/>
  <c r="H136" i="134"/>
  <c r="H137" i="134"/>
  <c r="H138" i="134"/>
  <c r="H139" i="134"/>
  <c r="H140" i="134"/>
  <c r="H141" i="134"/>
  <c r="H142" i="134"/>
  <c r="H143" i="134"/>
  <c r="H144" i="134"/>
  <c r="H145" i="134"/>
  <c r="H146" i="134"/>
  <c r="H147" i="134"/>
  <c r="H148" i="134"/>
  <c r="H149" i="134"/>
  <c r="H150" i="134"/>
  <c r="H151" i="134"/>
  <c r="H152" i="134"/>
  <c r="H153" i="134"/>
  <c r="H154" i="134"/>
  <c r="H155" i="134"/>
  <c r="H156" i="134"/>
  <c r="H157" i="134"/>
  <c r="H158" i="134"/>
  <c r="H159" i="134"/>
  <c r="H160" i="134"/>
  <c r="H161" i="134"/>
  <c r="H162" i="134"/>
  <c r="H163" i="134"/>
  <c r="H164" i="134"/>
  <c r="H165" i="134"/>
  <c r="H166" i="134"/>
  <c r="H167" i="134"/>
  <c r="H168" i="134"/>
  <c r="H169" i="134"/>
  <c r="H170" i="134"/>
  <c r="H171" i="134"/>
  <c r="H172" i="134"/>
  <c r="H173" i="134"/>
  <c r="H174" i="134"/>
  <c r="H175" i="134"/>
  <c r="H176" i="134"/>
  <c r="H177" i="134"/>
  <c r="H178" i="134"/>
  <c r="H179" i="134"/>
  <c r="H180" i="134"/>
  <c r="H181" i="134"/>
  <c r="H182" i="134"/>
  <c r="H183" i="134"/>
  <c r="H184" i="134"/>
  <c r="H185" i="134"/>
  <c r="H186" i="134"/>
  <c r="H187" i="134"/>
  <c r="H188" i="134"/>
  <c r="H189" i="134"/>
  <c r="H190" i="134"/>
  <c r="H191" i="134"/>
  <c r="H192" i="134"/>
  <c r="H193" i="134"/>
  <c r="H194" i="134"/>
  <c r="H195" i="134"/>
  <c r="H196" i="134"/>
  <c r="H197" i="134"/>
  <c r="H198" i="134"/>
  <c r="H199" i="134"/>
  <c r="H200" i="134"/>
  <c r="H201" i="134"/>
  <c r="H202" i="134"/>
  <c r="H203" i="134"/>
  <c r="H204" i="134"/>
  <c r="H205" i="134"/>
  <c r="H206" i="134"/>
  <c r="H207" i="134"/>
  <c r="H208" i="134"/>
  <c r="H209" i="134"/>
  <c r="H210" i="134"/>
  <c r="H211" i="134"/>
  <c r="H212" i="134"/>
  <c r="H213" i="134"/>
  <c r="H214" i="134"/>
  <c r="H215" i="134"/>
  <c r="H216" i="134"/>
  <c r="H217" i="134"/>
  <c r="H218" i="134"/>
  <c r="H219" i="134"/>
  <c r="H220" i="134"/>
  <c r="H221" i="134"/>
  <c r="H222" i="134"/>
  <c r="H223" i="134"/>
  <c r="H224" i="134"/>
  <c r="H225" i="134"/>
  <c r="H226" i="134"/>
  <c r="H227" i="134"/>
  <c r="H228" i="134"/>
  <c r="H229" i="134"/>
  <c r="H230" i="134"/>
  <c r="H231" i="134"/>
  <c r="H232" i="134"/>
  <c r="H233" i="134"/>
  <c r="H234" i="134"/>
  <c r="H235" i="134"/>
  <c r="H236" i="134"/>
  <c r="H237" i="134"/>
  <c r="H238" i="134"/>
  <c r="H239" i="134"/>
  <c r="H240" i="134"/>
  <c r="H241" i="134"/>
  <c r="H242" i="134"/>
  <c r="H243" i="134"/>
  <c r="H244" i="134"/>
  <c r="H245" i="134"/>
  <c r="H246" i="134"/>
  <c r="H247" i="134"/>
  <c r="H248" i="134"/>
  <c r="H249" i="134"/>
  <c r="H250" i="134"/>
  <c r="H251" i="134"/>
  <c r="H252" i="134"/>
  <c r="H253" i="134"/>
  <c r="H254" i="134"/>
  <c r="H255" i="134"/>
  <c r="H256" i="134"/>
  <c r="H257" i="134"/>
  <c r="H258" i="134"/>
  <c r="H259" i="134"/>
  <c r="H260" i="134"/>
  <c r="H261" i="134"/>
  <c r="H262" i="134"/>
  <c r="H263" i="134"/>
  <c r="H264" i="134"/>
  <c r="H265" i="134"/>
  <c r="H266" i="134"/>
  <c r="H267" i="134"/>
  <c r="H268" i="134"/>
  <c r="H269" i="134"/>
  <c r="H270" i="134"/>
  <c r="H271" i="134"/>
  <c r="H272" i="134"/>
  <c r="H273" i="134"/>
  <c r="H274" i="134"/>
  <c r="H275" i="134"/>
  <c r="H276" i="134"/>
  <c r="H277" i="134"/>
  <c r="H278" i="134"/>
  <c r="H279" i="134"/>
  <c r="H280" i="134"/>
  <c r="H281" i="134"/>
  <c r="H282" i="134"/>
  <c r="H283" i="134"/>
  <c r="H284" i="134"/>
  <c r="H285" i="134"/>
  <c r="H286" i="134"/>
  <c r="H287" i="134"/>
  <c r="H288" i="134"/>
  <c r="H289" i="134"/>
  <c r="H290" i="134"/>
  <c r="H291" i="134"/>
  <c r="H292" i="134"/>
  <c r="H293" i="134"/>
  <c r="H294" i="134"/>
  <c r="H295" i="134"/>
  <c r="H296" i="134"/>
  <c r="H297" i="134"/>
  <c r="H298" i="134"/>
  <c r="H299" i="134"/>
  <c r="H300" i="134"/>
  <c r="H301" i="134"/>
  <c r="H302" i="134"/>
  <c r="H303" i="134"/>
  <c r="H304" i="134"/>
  <c r="H305" i="134"/>
  <c r="H306" i="134"/>
  <c r="H307" i="134"/>
  <c r="H308" i="134"/>
  <c r="H309" i="134"/>
  <c r="H310" i="134"/>
  <c r="H311" i="134"/>
  <c r="H312" i="134"/>
  <c r="H313" i="134"/>
  <c r="H314" i="134"/>
  <c r="H315" i="134"/>
  <c r="H316" i="134"/>
  <c r="H317" i="134"/>
  <c r="H318" i="134"/>
  <c r="H319" i="134"/>
  <c r="H320" i="134"/>
  <c r="H321" i="134"/>
  <c r="H322" i="134"/>
  <c r="H323" i="134"/>
  <c r="H324" i="134"/>
  <c r="H325" i="134"/>
  <c r="H326" i="134"/>
  <c r="H327" i="134"/>
  <c r="H328" i="134"/>
  <c r="H329" i="134"/>
  <c r="H330" i="134"/>
  <c r="H331" i="134"/>
  <c r="H332" i="134"/>
  <c r="H333" i="134"/>
  <c r="H334" i="134"/>
  <c r="H335" i="134"/>
  <c r="H336" i="134"/>
  <c r="H337" i="134"/>
  <c r="H338" i="134"/>
  <c r="H339" i="134"/>
  <c r="H340" i="134"/>
  <c r="H341" i="134"/>
  <c r="H342" i="134"/>
  <c r="H343" i="134"/>
  <c r="H344" i="134"/>
  <c r="H345" i="134"/>
  <c r="H346" i="134"/>
  <c r="H347" i="134"/>
  <c r="H348" i="134"/>
  <c r="H349" i="134"/>
  <c r="H350" i="134"/>
  <c r="H351" i="134"/>
  <c r="H352" i="134"/>
  <c r="H353" i="134"/>
  <c r="H354" i="134"/>
  <c r="H355" i="134"/>
  <c r="H356" i="134"/>
  <c r="H357" i="134"/>
  <c r="H358" i="134"/>
  <c r="H359" i="134"/>
  <c r="H360" i="134"/>
  <c r="H361" i="134"/>
  <c r="H362" i="134"/>
  <c r="H363" i="134"/>
  <c r="H364" i="134"/>
  <c r="H365" i="134"/>
  <c r="H366" i="134"/>
  <c r="H367" i="134"/>
  <c r="H368" i="134"/>
  <c r="H369" i="134"/>
  <c r="H370" i="134"/>
  <c r="H371" i="134"/>
  <c r="H372" i="134"/>
  <c r="H373" i="134"/>
  <c r="H374" i="134"/>
  <c r="H375" i="134"/>
  <c r="H376" i="134"/>
  <c r="H377" i="134"/>
  <c r="H378" i="134"/>
  <c r="H379" i="134"/>
  <c r="H380" i="134"/>
  <c r="H381" i="134"/>
  <c r="H382" i="134"/>
  <c r="H383" i="134"/>
  <c r="H384" i="134"/>
  <c r="H385" i="134"/>
  <c r="H386" i="134"/>
  <c r="H387" i="134"/>
  <c r="H388" i="134"/>
  <c r="H389" i="134"/>
  <c r="H390" i="134"/>
  <c r="H391" i="134"/>
  <c r="H392" i="134"/>
  <c r="H393" i="134"/>
  <c r="H394" i="134"/>
  <c r="H395" i="134"/>
  <c r="H396" i="134"/>
  <c r="H397" i="134"/>
  <c r="H398" i="134"/>
  <c r="H399" i="134"/>
  <c r="H400" i="134"/>
  <c r="H401" i="134"/>
  <c r="H402" i="134"/>
  <c r="H403" i="134"/>
  <c r="H404" i="134"/>
  <c r="H405" i="134"/>
  <c r="H406" i="134"/>
  <c r="H407" i="134"/>
  <c r="H408" i="134"/>
  <c r="H409" i="134"/>
  <c r="H410" i="134"/>
  <c r="H411" i="134"/>
  <c r="H412" i="134"/>
  <c r="H413" i="134"/>
  <c r="H414" i="134"/>
  <c r="H415" i="134"/>
  <c r="H416" i="134"/>
  <c r="H417" i="134"/>
  <c r="H418" i="134"/>
  <c r="H419" i="134"/>
  <c r="H420" i="134"/>
  <c r="H421" i="134"/>
  <c r="H422" i="134"/>
  <c r="H423" i="134"/>
  <c r="H424" i="134"/>
  <c r="H425" i="134"/>
  <c r="H426" i="134"/>
  <c r="H427" i="134"/>
  <c r="H428" i="134"/>
  <c r="H429" i="134"/>
  <c r="H430" i="134"/>
  <c r="H431" i="134"/>
  <c r="H432" i="134"/>
  <c r="H433" i="134"/>
  <c r="H434" i="134"/>
  <c r="H435" i="134"/>
  <c r="H436" i="134"/>
  <c r="H437" i="134"/>
  <c r="H438" i="134"/>
  <c r="H439" i="134"/>
  <c r="H440" i="134"/>
  <c r="H441" i="134"/>
  <c r="H442" i="134"/>
  <c r="H443" i="134"/>
  <c r="H444" i="134"/>
  <c r="H445" i="134"/>
  <c r="H446" i="134"/>
  <c r="H447" i="134"/>
  <c r="H448" i="134"/>
  <c r="H449" i="134"/>
  <c r="H450" i="134"/>
  <c r="H451" i="134"/>
  <c r="H452" i="134"/>
  <c r="H453" i="134"/>
  <c r="H454" i="134"/>
  <c r="H455" i="134"/>
  <c r="H456" i="134"/>
  <c r="H457" i="134"/>
  <c r="H458" i="134"/>
  <c r="H459" i="134"/>
  <c r="H460" i="134"/>
  <c r="H461" i="134"/>
  <c r="H462" i="134"/>
  <c r="H463" i="134"/>
  <c r="H464" i="134"/>
  <c r="H465" i="134"/>
  <c r="H466" i="134"/>
  <c r="H467" i="134"/>
  <c r="H468" i="134"/>
  <c r="H469" i="134"/>
  <c r="H470" i="134"/>
  <c r="H471" i="134"/>
  <c r="H472" i="134"/>
  <c r="H473" i="134"/>
  <c r="H474" i="134"/>
  <c r="H475" i="134"/>
  <c r="H476" i="134"/>
  <c r="H477" i="134"/>
  <c r="H478" i="134"/>
  <c r="H479" i="134"/>
  <c r="H480" i="134"/>
  <c r="H481" i="134"/>
  <c r="H482" i="134"/>
  <c r="H483" i="134"/>
  <c r="H484" i="134"/>
  <c r="H485" i="134"/>
  <c r="H486" i="134"/>
  <c r="H487" i="134"/>
  <c r="H488" i="134"/>
  <c r="H489" i="134"/>
  <c r="H490" i="134"/>
  <c r="H491" i="134"/>
  <c r="H492" i="134"/>
  <c r="H493" i="134"/>
  <c r="H494" i="134"/>
  <c r="H495" i="134"/>
  <c r="H496" i="134"/>
  <c r="H497" i="134"/>
  <c r="H498" i="134"/>
  <c r="H499" i="134"/>
  <c r="H500" i="134"/>
  <c r="H501" i="134"/>
  <c r="H502" i="134"/>
  <c r="H503" i="134"/>
  <c r="H504" i="134"/>
  <c r="H505" i="134"/>
  <c r="H506" i="134"/>
  <c r="H507" i="134"/>
  <c r="H508" i="134"/>
  <c r="H509" i="134"/>
  <c r="H510" i="134"/>
  <c r="H511" i="134"/>
  <c r="H512" i="134"/>
  <c r="H513" i="134"/>
  <c r="H514" i="134"/>
  <c r="H515" i="134"/>
  <c r="H516" i="134"/>
  <c r="H517" i="134"/>
  <c r="H518" i="134"/>
  <c r="H519" i="134"/>
  <c r="H520" i="134"/>
  <c r="H521" i="134"/>
  <c r="H522" i="134"/>
  <c r="H523" i="134"/>
  <c r="H524" i="134"/>
  <c r="H525" i="134"/>
  <c r="H4" i="134"/>
  <c r="I4" i="134"/>
  <c r="E101" i="134"/>
  <c r="E102" i="134"/>
  <c r="E103" i="134"/>
  <c r="E104" i="134"/>
  <c r="E105" i="134"/>
  <c r="E106" i="134"/>
  <c r="E107" i="134"/>
  <c r="E108" i="134"/>
  <c r="E109" i="134"/>
  <c r="E110" i="134"/>
  <c r="E111" i="134"/>
  <c r="E112" i="134"/>
  <c r="E113" i="134"/>
  <c r="E114" i="134"/>
  <c r="E115" i="134"/>
  <c r="E116" i="134"/>
  <c r="E117" i="134"/>
  <c r="E118" i="134"/>
  <c r="E119" i="134"/>
  <c r="E120" i="134"/>
  <c r="E121" i="134"/>
  <c r="E122" i="134"/>
  <c r="E123" i="134"/>
  <c r="E124" i="134"/>
  <c r="E125" i="134"/>
  <c r="E126" i="134"/>
  <c r="E127" i="134"/>
  <c r="E128" i="134"/>
  <c r="E129" i="134"/>
  <c r="E130" i="134"/>
  <c r="E131" i="134"/>
  <c r="E132" i="134"/>
  <c r="E133" i="134"/>
  <c r="E134" i="134"/>
  <c r="E135" i="134"/>
  <c r="E136" i="134"/>
  <c r="E137" i="134"/>
  <c r="E138" i="134"/>
  <c r="E139" i="134"/>
  <c r="E140" i="134"/>
  <c r="E141" i="134"/>
  <c r="E142" i="134"/>
  <c r="E143" i="134"/>
  <c r="E144" i="134"/>
  <c r="E145" i="134"/>
  <c r="E146" i="134"/>
  <c r="E147" i="134"/>
  <c r="E148" i="134"/>
  <c r="E149" i="134"/>
  <c r="E150" i="134"/>
  <c r="E151" i="134"/>
  <c r="E152" i="134"/>
  <c r="E153" i="134"/>
  <c r="E154" i="134"/>
  <c r="E155" i="134"/>
  <c r="E156" i="134"/>
  <c r="E157" i="134"/>
  <c r="E158" i="134"/>
  <c r="E159" i="134"/>
  <c r="E160" i="134"/>
  <c r="E161" i="134"/>
  <c r="E162" i="134"/>
  <c r="E163" i="134"/>
  <c r="E164" i="134"/>
  <c r="E165" i="134"/>
  <c r="E166" i="134"/>
  <c r="E167" i="134"/>
  <c r="E168" i="134"/>
  <c r="E169" i="134"/>
  <c r="E170" i="134"/>
  <c r="E171" i="134"/>
  <c r="E172" i="134"/>
  <c r="E173" i="134"/>
  <c r="E174" i="134"/>
  <c r="E175" i="134"/>
  <c r="E176" i="134"/>
  <c r="E177" i="134"/>
  <c r="E178" i="134"/>
  <c r="E179" i="134"/>
  <c r="E180" i="134"/>
  <c r="E181" i="134"/>
  <c r="E182" i="134"/>
  <c r="E183" i="134"/>
  <c r="E184" i="134"/>
  <c r="E185" i="134"/>
  <c r="E186" i="134"/>
  <c r="E187" i="134"/>
  <c r="E188" i="134"/>
  <c r="E189" i="134"/>
  <c r="E190" i="134"/>
  <c r="E191" i="134"/>
  <c r="E192" i="134"/>
  <c r="E193" i="134"/>
  <c r="E194" i="134"/>
  <c r="E195" i="134"/>
  <c r="E196" i="134"/>
  <c r="E197" i="134"/>
  <c r="E198" i="134"/>
  <c r="E199" i="134"/>
  <c r="E200" i="134"/>
  <c r="E201" i="134"/>
  <c r="E202" i="134"/>
  <c r="E203" i="134"/>
  <c r="E204" i="134"/>
  <c r="E205" i="134"/>
  <c r="E206" i="134"/>
  <c r="E207" i="134"/>
  <c r="E208" i="134"/>
  <c r="E209" i="134"/>
  <c r="E210" i="134"/>
  <c r="E211" i="134"/>
  <c r="E212" i="134"/>
  <c r="E213" i="134"/>
  <c r="E214" i="134"/>
  <c r="E215" i="134"/>
  <c r="E216" i="134"/>
  <c r="E217" i="134"/>
  <c r="E218" i="134"/>
  <c r="E219" i="134"/>
  <c r="E220" i="134"/>
  <c r="E221" i="134"/>
  <c r="E222" i="134"/>
  <c r="E223" i="134"/>
  <c r="E224" i="134"/>
  <c r="E225" i="134"/>
  <c r="E226" i="134"/>
  <c r="E227" i="134"/>
  <c r="E228" i="134"/>
  <c r="E229" i="134"/>
  <c r="E230" i="134"/>
  <c r="E231" i="134"/>
  <c r="E232" i="134"/>
  <c r="E233" i="134"/>
  <c r="E234" i="134"/>
  <c r="E235" i="134"/>
  <c r="E236" i="134"/>
  <c r="E237" i="134"/>
  <c r="E238" i="134"/>
  <c r="E239" i="134"/>
  <c r="E240" i="134"/>
  <c r="E241" i="134"/>
  <c r="E242" i="134"/>
  <c r="E243" i="134"/>
  <c r="E244" i="134"/>
  <c r="E245" i="134"/>
  <c r="E246" i="134"/>
  <c r="E247" i="134"/>
  <c r="E248" i="134"/>
  <c r="E249" i="134"/>
  <c r="E250" i="134"/>
  <c r="E251" i="134"/>
  <c r="E252" i="134"/>
  <c r="E253" i="134"/>
  <c r="E254" i="134"/>
  <c r="E255" i="134"/>
  <c r="E256" i="134"/>
  <c r="E257" i="134"/>
  <c r="E258" i="134"/>
  <c r="E259" i="134"/>
  <c r="E260" i="134"/>
  <c r="E261" i="134"/>
  <c r="E262" i="134"/>
  <c r="E263" i="134"/>
  <c r="E264" i="134"/>
  <c r="E265" i="134"/>
  <c r="E266" i="134"/>
  <c r="E267" i="134"/>
  <c r="E268" i="134"/>
  <c r="E269" i="134"/>
  <c r="E270" i="134"/>
  <c r="E271" i="134"/>
  <c r="E272" i="134"/>
  <c r="E273" i="134"/>
  <c r="E274" i="134"/>
  <c r="E275" i="134"/>
  <c r="E276" i="134"/>
  <c r="E277" i="134"/>
  <c r="E278" i="134"/>
  <c r="E279" i="134"/>
  <c r="E280" i="134"/>
  <c r="E281" i="134"/>
  <c r="E282" i="134"/>
  <c r="E283" i="134"/>
  <c r="E284" i="134"/>
  <c r="E285" i="134"/>
  <c r="E286" i="134"/>
  <c r="E287" i="134"/>
  <c r="E288" i="134"/>
  <c r="E289" i="134"/>
  <c r="E290" i="134"/>
  <c r="E291" i="134"/>
  <c r="E292" i="134"/>
  <c r="E293" i="134"/>
  <c r="E294" i="134"/>
  <c r="E295" i="134"/>
  <c r="E296" i="134"/>
  <c r="E297" i="134"/>
  <c r="E298" i="134"/>
  <c r="E299" i="134"/>
  <c r="E300" i="134"/>
  <c r="E301" i="134"/>
  <c r="E302" i="134"/>
  <c r="E303" i="134"/>
  <c r="E304" i="134"/>
  <c r="E305" i="134"/>
  <c r="E306" i="134"/>
  <c r="E307" i="134"/>
  <c r="E308" i="134"/>
  <c r="E309" i="134"/>
  <c r="E310" i="134"/>
  <c r="E311" i="134"/>
  <c r="E312" i="134"/>
  <c r="E313" i="134"/>
  <c r="E314" i="134"/>
  <c r="E315" i="134"/>
  <c r="E316" i="134"/>
  <c r="E317" i="134"/>
  <c r="E318" i="134"/>
  <c r="E319" i="134"/>
  <c r="E320" i="134"/>
  <c r="E321" i="134"/>
  <c r="E322" i="134"/>
  <c r="E323" i="134"/>
  <c r="E324" i="134"/>
  <c r="E325" i="134"/>
  <c r="E326" i="134"/>
  <c r="E327" i="134"/>
  <c r="E328" i="134"/>
  <c r="E329" i="134"/>
  <c r="E330" i="134"/>
  <c r="E331" i="134"/>
  <c r="E332" i="134"/>
  <c r="E333" i="134"/>
  <c r="E334" i="134"/>
  <c r="E335" i="134"/>
  <c r="E336" i="134"/>
  <c r="E337" i="134"/>
  <c r="E338" i="134"/>
  <c r="E339" i="134"/>
  <c r="E340" i="134"/>
  <c r="E341" i="134"/>
  <c r="E342" i="134"/>
  <c r="E343" i="134"/>
  <c r="E344" i="134"/>
  <c r="E345" i="134"/>
  <c r="E346" i="134"/>
  <c r="E347" i="134"/>
  <c r="E348" i="134"/>
  <c r="E349" i="134"/>
  <c r="E350" i="134"/>
  <c r="E351" i="134"/>
  <c r="E352" i="134"/>
  <c r="E353" i="134"/>
  <c r="E354" i="134"/>
  <c r="E355" i="134"/>
  <c r="E356" i="134"/>
  <c r="E357" i="134"/>
  <c r="E358" i="134"/>
  <c r="E359" i="134"/>
  <c r="E360" i="134"/>
  <c r="E361" i="134"/>
  <c r="E362" i="134"/>
  <c r="E363" i="134"/>
  <c r="E364" i="134"/>
  <c r="E365" i="134"/>
  <c r="E366" i="134"/>
  <c r="E367" i="134"/>
  <c r="E368" i="134"/>
  <c r="E369" i="134"/>
  <c r="E370" i="134"/>
  <c r="E371" i="134"/>
  <c r="E372" i="134"/>
  <c r="E373" i="134"/>
  <c r="E374" i="134"/>
  <c r="E375" i="134"/>
  <c r="E376" i="134"/>
  <c r="E377" i="134"/>
  <c r="E378" i="134"/>
  <c r="E379" i="134"/>
  <c r="E380" i="134"/>
  <c r="E381" i="134"/>
  <c r="E382" i="134"/>
  <c r="E383" i="134"/>
  <c r="E384" i="134"/>
  <c r="E385" i="134"/>
  <c r="E386" i="134"/>
  <c r="E387" i="134"/>
  <c r="E388" i="134"/>
  <c r="E389" i="134"/>
  <c r="E390" i="134"/>
  <c r="E391" i="134"/>
  <c r="E392" i="134"/>
  <c r="E393" i="134"/>
  <c r="E394" i="134"/>
  <c r="E395" i="134"/>
  <c r="E396" i="134"/>
  <c r="E397" i="134"/>
  <c r="E398" i="134"/>
  <c r="E399" i="134"/>
  <c r="E400" i="134"/>
  <c r="E401" i="134"/>
  <c r="E402" i="134"/>
  <c r="E403" i="134"/>
  <c r="E404" i="134"/>
  <c r="E405" i="134"/>
  <c r="E406" i="134"/>
  <c r="E407" i="134"/>
  <c r="E408" i="134"/>
  <c r="E409" i="134"/>
  <c r="E410" i="134"/>
  <c r="E411" i="134"/>
  <c r="E412" i="134"/>
  <c r="E413" i="134"/>
  <c r="E414" i="134"/>
  <c r="E415" i="134"/>
  <c r="E416" i="134"/>
  <c r="E417" i="134"/>
  <c r="E418" i="134"/>
  <c r="E419" i="134"/>
  <c r="E420" i="134"/>
  <c r="E421" i="134"/>
  <c r="E422" i="134"/>
  <c r="E423" i="134"/>
  <c r="E424" i="134"/>
  <c r="E425" i="134"/>
  <c r="E426" i="134"/>
  <c r="E427" i="134"/>
  <c r="E428" i="134"/>
  <c r="E429" i="134"/>
  <c r="E430" i="134"/>
  <c r="E431" i="134"/>
  <c r="E432" i="134"/>
  <c r="E433" i="134"/>
  <c r="E434" i="134"/>
  <c r="E435" i="134"/>
  <c r="E436" i="134"/>
  <c r="E437" i="134"/>
  <c r="E438" i="134"/>
  <c r="E439" i="134"/>
  <c r="E440" i="134"/>
  <c r="E441" i="134"/>
  <c r="E442" i="134"/>
  <c r="E443" i="134"/>
  <c r="E444" i="134"/>
  <c r="E445" i="134"/>
  <c r="E446" i="134"/>
  <c r="E447" i="134"/>
  <c r="E448" i="134"/>
  <c r="E449" i="134"/>
  <c r="E450" i="134"/>
  <c r="E451" i="134"/>
  <c r="E452" i="134"/>
  <c r="E453" i="134"/>
  <c r="E454" i="134"/>
  <c r="E455" i="134"/>
  <c r="E456" i="134"/>
  <c r="E457" i="134"/>
  <c r="E458" i="134"/>
  <c r="E459" i="134"/>
  <c r="E460" i="134"/>
  <c r="E461" i="134"/>
  <c r="E462" i="134"/>
  <c r="E463" i="134"/>
  <c r="E464" i="134"/>
  <c r="E465" i="134"/>
  <c r="E466" i="134"/>
  <c r="E467" i="134"/>
  <c r="E468" i="134"/>
  <c r="E469" i="134"/>
  <c r="E470" i="134"/>
  <c r="E471" i="134"/>
  <c r="E472" i="134"/>
  <c r="E473" i="134"/>
  <c r="E474" i="134"/>
  <c r="E475" i="134"/>
  <c r="E476" i="134"/>
  <c r="E477" i="134"/>
  <c r="E478" i="134"/>
  <c r="E479" i="134"/>
  <c r="E480" i="134"/>
  <c r="E481" i="134"/>
  <c r="E482" i="134"/>
  <c r="E483" i="134"/>
  <c r="E484" i="134"/>
  <c r="E485" i="134"/>
  <c r="E486" i="134"/>
  <c r="E487" i="134"/>
  <c r="E488" i="134"/>
  <c r="E489" i="134"/>
  <c r="E490" i="134"/>
  <c r="E491" i="134"/>
  <c r="E492" i="134"/>
  <c r="E493" i="134"/>
  <c r="E494" i="134"/>
  <c r="E495" i="134"/>
  <c r="E496" i="134"/>
  <c r="E497" i="134"/>
  <c r="E498" i="134"/>
  <c r="E499" i="134"/>
  <c r="E500" i="134"/>
  <c r="E501" i="134"/>
  <c r="E502" i="134"/>
  <c r="E503" i="134"/>
  <c r="E504" i="134"/>
  <c r="E505" i="134"/>
  <c r="E506" i="134"/>
  <c r="E507" i="134"/>
  <c r="E508" i="134"/>
  <c r="E509" i="134"/>
  <c r="E510" i="134"/>
  <c r="E511" i="134"/>
  <c r="E512" i="134"/>
  <c r="E513" i="134"/>
  <c r="E514" i="134"/>
  <c r="E515" i="134"/>
  <c r="E516" i="134"/>
  <c r="E517" i="134"/>
  <c r="E518" i="134"/>
  <c r="E519" i="134"/>
  <c r="E520" i="134"/>
  <c r="E521" i="134"/>
  <c r="E522" i="134"/>
  <c r="E523" i="134"/>
  <c r="E524" i="134"/>
  <c r="E525" i="134"/>
  <c r="E10" i="134"/>
  <c r="E5" i="134"/>
  <c r="E6" i="134"/>
  <c r="E7" i="134"/>
  <c r="E8" i="134"/>
  <c r="E9" i="134"/>
  <c r="E11" i="134"/>
  <c r="E12" i="134"/>
  <c r="E13" i="134"/>
  <c r="E14" i="134"/>
  <c r="E15" i="134"/>
  <c r="E16" i="134"/>
  <c r="E17" i="134"/>
  <c r="E18" i="134"/>
  <c r="E19" i="134"/>
  <c r="E20" i="134"/>
  <c r="E21" i="134"/>
  <c r="E22" i="134"/>
  <c r="E23" i="134"/>
  <c r="E24" i="134"/>
  <c r="E25" i="134"/>
  <c r="E26" i="134"/>
  <c r="E27" i="134"/>
  <c r="E28" i="134"/>
  <c r="E29" i="134"/>
  <c r="E30" i="134"/>
  <c r="E31" i="134"/>
  <c r="E32" i="134"/>
  <c r="E33" i="134"/>
  <c r="E34" i="134"/>
  <c r="E35" i="134"/>
  <c r="E36" i="134"/>
  <c r="E37" i="134"/>
  <c r="E38" i="134"/>
  <c r="E39" i="134"/>
  <c r="E40" i="134"/>
  <c r="E41" i="134"/>
  <c r="E42" i="134"/>
  <c r="E43" i="134"/>
  <c r="E44" i="134"/>
  <c r="E45" i="134"/>
  <c r="E46" i="134"/>
  <c r="E47" i="134"/>
  <c r="E48" i="134"/>
  <c r="E49" i="134"/>
  <c r="E50" i="134"/>
  <c r="E51" i="134"/>
  <c r="E52" i="134"/>
  <c r="E53" i="134"/>
  <c r="E54" i="134"/>
  <c r="E55" i="134"/>
  <c r="E56" i="134"/>
  <c r="E57" i="134"/>
  <c r="E58" i="134"/>
  <c r="E59" i="134"/>
  <c r="E60" i="134"/>
  <c r="E61" i="134"/>
  <c r="E62" i="134"/>
  <c r="E63" i="134"/>
  <c r="E64" i="134"/>
  <c r="E65" i="134"/>
  <c r="E66" i="134"/>
  <c r="E67" i="134"/>
  <c r="E68" i="134"/>
  <c r="E69" i="134"/>
  <c r="E70" i="134"/>
  <c r="E71" i="134"/>
  <c r="E72" i="134"/>
  <c r="E73" i="134"/>
  <c r="E74" i="134"/>
  <c r="E75" i="134"/>
  <c r="E76" i="134"/>
  <c r="E77" i="134"/>
  <c r="E78" i="134"/>
  <c r="E79" i="134"/>
  <c r="E80" i="134"/>
  <c r="E81" i="134"/>
  <c r="E82" i="134"/>
  <c r="E83" i="134"/>
  <c r="E84" i="134"/>
  <c r="E85" i="134"/>
  <c r="E86" i="134"/>
  <c r="E87" i="134"/>
  <c r="E88" i="134"/>
  <c r="E89" i="134"/>
  <c r="E90" i="134"/>
  <c r="E91" i="134"/>
  <c r="E92" i="134"/>
  <c r="E93" i="134"/>
  <c r="E94" i="134"/>
  <c r="E95" i="134"/>
  <c r="E96" i="134"/>
  <c r="E97" i="134"/>
  <c r="E98" i="134"/>
  <c r="E99" i="134"/>
  <c r="E100" i="134"/>
  <c r="E4" i="134"/>
  <c r="J10" i="134"/>
  <c r="J11" i="134"/>
  <c r="J12" i="134"/>
  <c r="J13" i="134"/>
  <c r="J14" i="134"/>
  <c r="J15" i="134"/>
  <c r="J16" i="134"/>
  <c r="J17" i="134"/>
  <c r="J18" i="134"/>
  <c r="J19" i="134"/>
  <c r="J20" i="134"/>
  <c r="J21" i="134"/>
  <c r="J22" i="134"/>
  <c r="J23" i="134"/>
  <c r="J24" i="134"/>
  <c r="J25" i="134"/>
  <c r="J26" i="134"/>
  <c r="J27" i="134"/>
  <c r="J28" i="134"/>
  <c r="J29" i="134"/>
  <c r="J30" i="134"/>
  <c r="J31" i="134"/>
  <c r="J32" i="134"/>
  <c r="J33" i="134"/>
  <c r="J34" i="134"/>
  <c r="J35" i="134"/>
  <c r="J36" i="134"/>
  <c r="J37" i="134"/>
  <c r="J38" i="134"/>
  <c r="J39" i="134"/>
  <c r="J40" i="134"/>
  <c r="J41" i="134"/>
  <c r="J42" i="134"/>
  <c r="J43" i="134"/>
  <c r="J44" i="134"/>
  <c r="J45" i="134"/>
  <c r="J46" i="134"/>
  <c r="J47" i="134"/>
  <c r="J48" i="134"/>
  <c r="J49" i="134"/>
  <c r="J50" i="134"/>
  <c r="J51" i="134"/>
  <c r="J52" i="134"/>
  <c r="J53" i="134"/>
  <c r="J54" i="134"/>
  <c r="J55" i="134"/>
  <c r="J56" i="134"/>
  <c r="J57" i="134"/>
  <c r="J58" i="134"/>
  <c r="J59" i="134"/>
  <c r="J60" i="134"/>
  <c r="J61" i="134"/>
  <c r="J62" i="134"/>
  <c r="J63" i="134"/>
  <c r="J64" i="134"/>
  <c r="J65" i="134"/>
  <c r="J66" i="134"/>
  <c r="J67" i="134"/>
  <c r="J68" i="134"/>
  <c r="J69" i="134"/>
  <c r="J70" i="134"/>
  <c r="J71" i="134"/>
  <c r="J72" i="134"/>
  <c r="J73" i="134"/>
  <c r="J74" i="134"/>
  <c r="J75" i="134"/>
  <c r="J76" i="134"/>
  <c r="J77" i="134"/>
  <c r="J78" i="134"/>
  <c r="J79" i="134"/>
  <c r="J80" i="134"/>
  <c r="J81" i="134"/>
  <c r="J82" i="134"/>
  <c r="J83" i="134"/>
  <c r="J84" i="134"/>
  <c r="J85" i="134"/>
  <c r="J86" i="134"/>
  <c r="J87" i="134"/>
  <c r="J88" i="134"/>
  <c r="J89" i="134"/>
  <c r="J90" i="134"/>
  <c r="J91" i="134"/>
  <c r="J92" i="134"/>
  <c r="J93" i="134"/>
  <c r="J94" i="134"/>
  <c r="J95" i="134"/>
  <c r="J96" i="134"/>
  <c r="J97" i="134"/>
  <c r="J98" i="134"/>
  <c r="J99" i="134"/>
  <c r="J100" i="134"/>
  <c r="J101" i="134"/>
  <c r="J102" i="134"/>
  <c r="J103" i="134"/>
  <c r="J104" i="134"/>
  <c r="J105" i="134"/>
  <c r="J106" i="134"/>
  <c r="J107" i="134"/>
  <c r="J108" i="134"/>
  <c r="J109" i="134"/>
  <c r="J110" i="134"/>
  <c r="J111" i="134"/>
  <c r="J112" i="134"/>
  <c r="J113" i="134"/>
  <c r="J114" i="134"/>
  <c r="J115" i="134"/>
  <c r="J116" i="134"/>
  <c r="J117" i="134"/>
  <c r="J118" i="134"/>
  <c r="J119" i="134"/>
  <c r="J120" i="134"/>
  <c r="J121" i="134"/>
  <c r="J122" i="134"/>
  <c r="J123" i="134"/>
  <c r="J124" i="134"/>
  <c r="J125" i="134"/>
  <c r="J126" i="134"/>
  <c r="J127" i="134"/>
  <c r="J128" i="134"/>
  <c r="J129" i="134"/>
  <c r="J130" i="134"/>
  <c r="J131" i="134"/>
  <c r="J132" i="134"/>
  <c r="J133" i="134"/>
  <c r="J134" i="134"/>
  <c r="J135" i="134"/>
  <c r="J136" i="134"/>
  <c r="J137" i="134"/>
  <c r="J138" i="134"/>
  <c r="J139" i="134"/>
  <c r="J140" i="134"/>
  <c r="J141" i="134"/>
  <c r="J142" i="134"/>
  <c r="J143" i="134"/>
  <c r="J144" i="134"/>
  <c r="J145" i="134"/>
  <c r="J146" i="134"/>
  <c r="J147" i="134"/>
  <c r="J148" i="134"/>
  <c r="J149" i="134"/>
  <c r="J150" i="134"/>
  <c r="J151" i="134"/>
  <c r="J152" i="134"/>
  <c r="J153" i="134"/>
  <c r="J154" i="134"/>
  <c r="J155" i="134"/>
  <c r="J156" i="134"/>
  <c r="J157" i="134"/>
  <c r="J158" i="134"/>
  <c r="J159" i="134"/>
  <c r="J160" i="134"/>
  <c r="J161" i="134"/>
  <c r="J162" i="134"/>
  <c r="J163" i="134"/>
  <c r="J164" i="134"/>
  <c r="J165" i="134"/>
  <c r="J166" i="134"/>
  <c r="J167" i="134"/>
  <c r="J168" i="134"/>
  <c r="J169" i="134"/>
  <c r="J170" i="134"/>
  <c r="J171" i="134"/>
  <c r="J172" i="134"/>
  <c r="J173" i="134"/>
  <c r="J174" i="134"/>
  <c r="J175" i="134"/>
  <c r="J176" i="134"/>
  <c r="J177" i="134"/>
  <c r="J178" i="134"/>
  <c r="J179" i="134"/>
  <c r="J180" i="134"/>
  <c r="J181" i="134"/>
  <c r="J182" i="134"/>
  <c r="J183" i="134"/>
  <c r="J184" i="134"/>
  <c r="J185" i="134"/>
  <c r="J186" i="134"/>
  <c r="J187" i="134"/>
  <c r="J188" i="134"/>
  <c r="J189" i="134"/>
  <c r="J190" i="134"/>
  <c r="J191" i="134"/>
  <c r="J192" i="134"/>
  <c r="J193" i="134"/>
  <c r="J194" i="134"/>
  <c r="J195" i="134"/>
  <c r="J196" i="134"/>
  <c r="J197" i="134"/>
  <c r="J198" i="134"/>
  <c r="J199" i="134"/>
  <c r="J200" i="134"/>
  <c r="J201" i="134"/>
  <c r="J202" i="134"/>
  <c r="J203" i="134"/>
  <c r="J204" i="134"/>
  <c r="J205" i="134"/>
  <c r="J206" i="134"/>
  <c r="J207" i="134"/>
  <c r="J208" i="134"/>
  <c r="J209" i="134"/>
  <c r="J210" i="134"/>
  <c r="J211" i="134"/>
  <c r="J212" i="134"/>
  <c r="J213" i="134"/>
  <c r="J214" i="134"/>
  <c r="J215" i="134"/>
  <c r="J216" i="134"/>
  <c r="J217" i="134"/>
  <c r="J218" i="134"/>
  <c r="J219" i="134"/>
  <c r="J220" i="134"/>
  <c r="J221" i="134"/>
  <c r="J222" i="134"/>
  <c r="J223" i="134"/>
  <c r="J224" i="134"/>
  <c r="J225" i="134"/>
  <c r="J226" i="134"/>
  <c r="J227" i="134"/>
  <c r="J228" i="134"/>
  <c r="J229" i="134"/>
  <c r="J230" i="134"/>
  <c r="J231" i="134"/>
  <c r="J232" i="134"/>
  <c r="J233" i="134"/>
  <c r="J234" i="134"/>
  <c r="J235" i="134"/>
  <c r="J236" i="134"/>
  <c r="J237" i="134"/>
  <c r="J238" i="134"/>
  <c r="J239" i="134"/>
  <c r="J240" i="134"/>
  <c r="J241" i="134"/>
  <c r="J242" i="134"/>
  <c r="J243" i="134"/>
  <c r="J244" i="134"/>
  <c r="J245" i="134"/>
  <c r="J246" i="134"/>
  <c r="J247" i="134"/>
  <c r="J248" i="134"/>
  <c r="J249" i="134"/>
  <c r="J250" i="134"/>
  <c r="J251" i="134"/>
  <c r="J252" i="134"/>
  <c r="J253" i="134"/>
  <c r="J254" i="134"/>
  <c r="J255" i="134"/>
  <c r="J256" i="134"/>
  <c r="J257" i="134"/>
  <c r="J258" i="134"/>
  <c r="J259" i="134"/>
  <c r="J260" i="134"/>
  <c r="J261" i="134"/>
  <c r="J262" i="134"/>
  <c r="J263" i="134"/>
  <c r="J264" i="134"/>
  <c r="J265" i="134"/>
  <c r="J266" i="134"/>
  <c r="J267" i="134"/>
  <c r="J268" i="134"/>
  <c r="J269" i="134"/>
  <c r="J270" i="134"/>
  <c r="J271" i="134"/>
  <c r="J272" i="134"/>
  <c r="J273" i="134"/>
  <c r="J274" i="134"/>
  <c r="J275" i="134"/>
  <c r="J276" i="134"/>
  <c r="J277" i="134"/>
  <c r="J278" i="134"/>
  <c r="J279" i="134"/>
  <c r="J280" i="134"/>
  <c r="J281" i="134"/>
  <c r="J282" i="134"/>
  <c r="J283" i="134"/>
  <c r="J284" i="134"/>
  <c r="J285" i="134"/>
  <c r="J286" i="134"/>
  <c r="J287" i="134"/>
  <c r="J288" i="134"/>
  <c r="J289" i="134"/>
  <c r="J290" i="134"/>
  <c r="J291" i="134"/>
  <c r="J292" i="134"/>
  <c r="J293" i="134"/>
  <c r="J294" i="134"/>
  <c r="J295" i="134"/>
  <c r="J296" i="134"/>
  <c r="J297" i="134"/>
  <c r="J298" i="134"/>
  <c r="J299" i="134"/>
  <c r="J300" i="134"/>
  <c r="J301" i="134"/>
  <c r="J302" i="134"/>
  <c r="J303" i="134"/>
  <c r="J304" i="134"/>
  <c r="J305" i="134"/>
  <c r="J306" i="134"/>
  <c r="J307" i="134"/>
  <c r="J308" i="134"/>
  <c r="J309" i="134"/>
  <c r="J310" i="134"/>
  <c r="J311" i="134"/>
  <c r="J312" i="134"/>
  <c r="J313" i="134"/>
  <c r="J314" i="134"/>
  <c r="J315" i="134"/>
  <c r="J316" i="134"/>
  <c r="J317" i="134"/>
  <c r="J318" i="134"/>
  <c r="J319" i="134"/>
  <c r="J320" i="134"/>
  <c r="J321" i="134"/>
  <c r="J322" i="134"/>
  <c r="J323" i="134"/>
  <c r="J324" i="134"/>
  <c r="J325" i="134"/>
  <c r="J326" i="134"/>
  <c r="J327" i="134"/>
  <c r="J328" i="134"/>
  <c r="J329" i="134"/>
  <c r="J330" i="134"/>
  <c r="J331" i="134"/>
  <c r="J332" i="134"/>
  <c r="J333" i="134"/>
  <c r="J334" i="134"/>
  <c r="J335" i="134"/>
  <c r="J336" i="134"/>
  <c r="J337" i="134"/>
  <c r="J338" i="134"/>
  <c r="J339" i="134"/>
  <c r="J340" i="134"/>
  <c r="J341" i="134"/>
  <c r="J342" i="134"/>
  <c r="J343" i="134"/>
  <c r="J344" i="134"/>
  <c r="J345" i="134"/>
  <c r="J346" i="134"/>
  <c r="J347" i="134"/>
  <c r="J348" i="134"/>
  <c r="J349" i="134"/>
  <c r="J350" i="134"/>
  <c r="J351" i="134"/>
  <c r="J352" i="134"/>
  <c r="J353" i="134"/>
  <c r="J354" i="134"/>
  <c r="J355" i="134"/>
  <c r="J356" i="134"/>
  <c r="J357" i="134"/>
  <c r="J358" i="134"/>
  <c r="J359" i="134"/>
  <c r="J360" i="134"/>
  <c r="J361" i="134"/>
  <c r="J362" i="134"/>
  <c r="J363" i="134"/>
  <c r="J364" i="134"/>
  <c r="J365" i="134"/>
  <c r="J366" i="134"/>
  <c r="J367" i="134"/>
  <c r="J368" i="134"/>
  <c r="J369" i="134"/>
  <c r="J370" i="134"/>
  <c r="J371" i="134"/>
  <c r="J372" i="134"/>
  <c r="J373" i="134"/>
  <c r="J374" i="134"/>
  <c r="J375" i="134"/>
  <c r="J376" i="134"/>
  <c r="J377" i="134"/>
  <c r="J378" i="134"/>
  <c r="J379" i="134"/>
  <c r="J380" i="134"/>
  <c r="J381" i="134"/>
  <c r="J382" i="134"/>
  <c r="J383" i="134"/>
  <c r="J384" i="134"/>
  <c r="J385" i="134"/>
  <c r="J386" i="134"/>
  <c r="J387" i="134"/>
  <c r="J388" i="134"/>
  <c r="J389" i="134"/>
  <c r="J390" i="134"/>
  <c r="J391" i="134"/>
  <c r="J392" i="134"/>
  <c r="J393" i="134"/>
  <c r="J394" i="134"/>
  <c r="J395" i="134"/>
  <c r="J396" i="134"/>
  <c r="J397" i="134"/>
  <c r="J398" i="134"/>
  <c r="J399" i="134"/>
  <c r="J400" i="134"/>
  <c r="J401" i="134"/>
  <c r="J402" i="134"/>
  <c r="J403" i="134"/>
  <c r="J404" i="134"/>
  <c r="J405" i="134"/>
  <c r="J406" i="134"/>
  <c r="J407" i="134"/>
  <c r="J408" i="134"/>
  <c r="J409" i="134"/>
  <c r="J410" i="134"/>
  <c r="J411" i="134"/>
  <c r="J412" i="134"/>
  <c r="J413" i="134"/>
  <c r="J414" i="134"/>
  <c r="J415" i="134"/>
  <c r="J416" i="134"/>
  <c r="J417" i="134"/>
  <c r="J418" i="134"/>
  <c r="J419" i="134"/>
  <c r="J420" i="134"/>
  <c r="J421" i="134"/>
  <c r="J422" i="134"/>
  <c r="J423" i="134"/>
  <c r="J424" i="134"/>
  <c r="J425" i="134"/>
  <c r="J426" i="134"/>
  <c r="J427" i="134"/>
  <c r="J428" i="134"/>
  <c r="J429" i="134"/>
  <c r="J430" i="134"/>
  <c r="J431" i="134"/>
  <c r="J432" i="134"/>
  <c r="J433" i="134"/>
  <c r="J434" i="134"/>
  <c r="J435" i="134"/>
  <c r="J436" i="134"/>
  <c r="J437" i="134"/>
  <c r="J438" i="134"/>
  <c r="J439" i="134"/>
  <c r="J440" i="134"/>
  <c r="J441" i="134"/>
  <c r="J442" i="134"/>
  <c r="J443" i="134"/>
  <c r="J444" i="134"/>
  <c r="J445" i="134"/>
  <c r="J446" i="134"/>
  <c r="J447" i="134"/>
  <c r="J448" i="134"/>
  <c r="J449" i="134"/>
  <c r="J450" i="134"/>
  <c r="J451" i="134"/>
  <c r="J452" i="134"/>
  <c r="J453" i="134"/>
  <c r="J454" i="134"/>
  <c r="J455" i="134"/>
  <c r="J456" i="134"/>
  <c r="J457" i="134"/>
  <c r="J458" i="134"/>
  <c r="J459" i="134"/>
  <c r="J460" i="134"/>
  <c r="J461" i="134"/>
  <c r="J462" i="134"/>
  <c r="J463" i="134"/>
  <c r="J464" i="134"/>
  <c r="J465" i="134"/>
  <c r="J466" i="134"/>
  <c r="J467" i="134"/>
  <c r="J468" i="134"/>
  <c r="J469" i="134"/>
  <c r="J470" i="134"/>
  <c r="J471" i="134"/>
  <c r="J472" i="134"/>
  <c r="J473" i="134"/>
  <c r="J474" i="134"/>
  <c r="J475" i="134"/>
  <c r="J476" i="134"/>
  <c r="J477" i="134"/>
  <c r="J478" i="134"/>
  <c r="J479" i="134"/>
  <c r="J480" i="134"/>
  <c r="J481" i="134"/>
  <c r="J482" i="134"/>
  <c r="J483" i="134"/>
  <c r="J484" i="134"/>
  <c r="J485" i="134"/>
  <c r="J486" i="134"/>
  <c r="J487" i="134"/>
  <c r="J488" i="134"/>
  <c r="J489" i="134"/>
  <c r="J490" i="134"/>
  <c r="J491" i="134"/>
  <c r="J492" i="134"/>
  <c r="J493" i="134"/>
  <c r="J494" i="134"/>
  <c r="J495" i="134"/>
  <c r="J496" i="134"/>
  <c r="J497" i="134"/>
  <c r="J498" i="134"/>
  <c r="J499" i="134"/>
  <c r="J500" i="134"/>
  <c r="J501" i="134"/>
  <c r="J502" i="134"/>
  <c r="J503" i="134"/>
  <c r="J504" i="134"/>
  <c r="J505" i="134"/>
  <c r="J506" i="134"/>
  <c r="J507" i="134"/>
  <c r="J508" i="134"/>
  <c r="J509" i="134"/>
  <c r="J510" i="134"/>
  <c r="J511" i="134"/>
  <c r="J512" i="134"/>
  <c r="J513" i="134"/>
  <c r="J514" i="134"/>
  <c r="J515" i="134"/>
  <c r="J516" i="134"/>
  <c r="J517" i="134"/>
  <c r="J518" i="134"/>
  <c r="J519" i="134"/>
  <c r="J520" i="134"/>
  <c r="J521" i="134"/>
  <c r="J522" i="134"/>
  <c r="J523" i="134"/>
  <c r="J524" i="134"/>
  <c r="J525" i="134"/>
  <c r="I10" i="134"/>
  <c r="I11" i="134"/>
  <c r="I12" i="134"/>
  <c r="I13" i="134"/>
  <c r="I14" i="134"/>
  <c r="I15" i="134"/>
  <c r="I16" i="134"/>
  <c r="I17" i="134"/>
  <c r="I18" i="134"/>
  <c r="I19" i="134"/>
  <c r="I20" i="134"/>
  <c r="I21" i="134"/>
  <c r="I22" i="134"/>
  <c r="I23" i="134"/>
  <c r="I24" i="134"/>
  <c r="I25" i="134"/>
  <c r="I26" i="134"/>
  <c r="I27" i="134"/>
  <c r="I28" i="134"/>
  <c r="I29" i="134"/>
  <c r="I30" i="134"/>
  <c r="I31" i="134"/>
  <c r="I32" i="134"/>
  <c r="I33" i="134"/>
  <c r="I34" i="134"/>
  <c r="I35" i="134"/>
  <c r="I36" i="134"/>
  <c r="I37" i="134"/>
  <c r="I38" i="134"/>
  <c r="I39" i="134"/>
  <c r="I40" i="134"/>
  <c r="I41" i="134"/>
  <c r="I42" i="134"/>
  <c r="I43" i="134"/>
  <c r="I44" i="134"/>
  <c r="I45" i="134"/>
  <c r="I46" i="134"/>
  <c r="I47" i="134"/>
  <c r="I48" i="134"/>
  <c r="I49" i="134"/>
  <c r="I50" i="134"/>
  <c r="I51" i="134"/>
  <c r="I52" i="134"/>
  <c r="I53" i="134"/>
  <c r="I54" i="134"/>
  <c r="I55" i="134"/>
  <c r="I56" i="134"/>
  <c r="I57" i="134"/>
  <c r="I58" i="134"/>
  <c r="I59" i="134"/>
  <c r="I60" i="134"/>
  <c r="I61" i="134"/>
  <c r="I62" i="134"/>
  <c r="I63" i="134"/>
  <c r="I64" i="134"/>
  <c r="I65" i="134"/>
  <c r="I66" i="134"/>
  <c r="I67" i="134"/>
  <c r="I68" i="134"/>
  <c r="I69" i="134"/>
  <c r="I70" i="134"/>
  <c r="I71" i="134"/>
  <c r="I72" i="134"/>
  <c r="I73" i="134"/>
  <c r="I74" i="134"/>
  <c r="I75" i="134"/>
  <c r="I76" i="134"/>
  <c r="I77" i="134"/>
  <c r="I78" i="134"/>
  <c r="I79" i="134"/>
  <c r="I80" i="134"/>
  <c r="I81" i="134"/>
  <c r="I82" i="134"/>
  <c r="I83" i="134"/>
  <c r="I84" i="134"/>
  <c r="I85" i="134"/>
  <c r="I86" i="134"/>
  <c r="I87" i="134"/>
  <c r="I88" i="134"/>
  <c r="I89" i="134"/>
  <c r="I90" i="134"/>
  <c r="I91" i="134"/>
  <c r="I92" i="134"/>
  <c r="I93" i="134"/>
  <c r="I94" i="134"/>
  <c r="I95" i="134"/>
  <c r="I96" i="134"/>
  <c r="I97" i="134"/>
  <c r="I98" i="134"/>
  <c r="I99" i="134"/>
  <c r="I100" i="134"/>
  <c r="I101" i="134"/>
  <c r="I102" i="134"/>
  <c r="I103" i="134"/>
  <c r="I104" i="134"/>
  <c r="I105" i="134"/>
  <c r="I106" i="134"/>
  <c r="I107" i="134"/>
  <c r="I108" i="134"/>
  <c r="I109" i="134"/>
  <c r="I110" i="134"/>
  <c r="I111" i="134"/>
  <c r="I112" i="134"/>
  <c r="I113" i="134"/>
  <c r="I114" i="134"/>
  <c r="I115" i="134"/>
  <c r="I116" i="134"/>
  <c r="I117" i="134"/>
  <c r="I118" i="134"/>
  <c r="I119" i="134"/>
  <c r="I120" i="134"/>
  <c r="I121" i="134"/>
  <c r="I122" i="134"/>
  <c r="I123" i="134"/>
  <c r="I124" i="134"/>
  <c r="I125" i="134"/>
  <c r="I126" i="134"/>
  <c r="I127" i="134"/>
  <c r="I128" i="134"/>
  <c r="I129" i="134"/>
  <c r="I130" i="134"/>
  <c r="I131" i="134"/>
  <c r="I132" i="134"/>
  <c r="I133" i="134"/>
  <c r="I134" i="134"/>
  <c r="I135" i="134"/>
  <c r="I136" i="134"/>
  <c r="I137" i="134"/>
  <c r="I138" i="134"/>
  <c r="I139" i="134"/>
  <c r="I140" i="134"/>
  <c r="I141" i="134"/>
  <c r="I142" i="134"/>
  <c r="I143" i="134"/>
  <c r="I144" i="134"/>
  <c r="I145" i="134"/>
  <c r="I146" i="134"/>
  <c r="I147" i="134"/>
  <c r="I148" i="134"/>
  <c r="I149" i="134"/>
  <c r="I150" i="134"/>
  <c r="I151" i="134"/>
  <c r="I152" i="134"/>
  <c r="I153" i="134"/>
  <c r="I154" i="134"/>
  <c r="I155" i="134"/>
  <c r="I156" i="134"/>
  <c r="I157" i="134"/>
  <c r="I158" i="134"/>
  <c r="I159" i="134"/>
  <c r="I160" i="134"/>
  <c r="I161" i="134"/>
  <c r="I162" i="134"/>
  <c r="I163" i="134"/>
  <c r="I164" i="134"/>
  <c r="I165" i="134"/>
  <c r="I166" i="134"/>
  <c r="I167" i="134"/>
  <c r="I168" i="134"/>
  <c r="I169" i="134"/>
  <c r="I170" i="134"/>
  <c r="I171" i="134"/>
  <c r="I172" i="134"/>
  <c r="I173" i="134"/>
  <c r="I174" i="134"/>
  <c r="I175" i="134"/>
  <c r="I176" i="134"/>
  <c r="I177" i="134"/>
  <c r="I178" i="134"/>
  <c r="I179" i="134"/>
  <c r="I180" i="134"/>
  <c r="I181" i="134"/>
  <c r="I182" i="134"/>
  <c r="I183" i="134"/>
  <c r="I184" i="134"/>
  <c r="I185" i="134"/>
  <c r="I186" i="134"/>
  <c r="I187" i="134"/>
  <c r="I188" i="134"/>
  <c r="I189" i="134"/>
  <c r="I190" i="134"/>
  <c r="I191" i="134"/>
  <c r="I192" i="134"/>
  <c r="I193" i="134"/>
  <c r="I194" i="134"/>
  <c r="I195" i="134"/>
  <c r="I196" i="134"/>
  <c r="I197" i="134"/>
  <c r="I198" i="134"/>
  <c r="I199" i="134"/>
  <c r="I200" i="134"/>
  <c r="I201" i="134"/>
  <c r="I202" i="134"/>
  <c r="I203" i="134"/>
  <c r="I204" i="134"/>
  <c r="I205" i="134"/>
  <c r="I206" i="134"/>
  <c r="I207" i="134"/>
  <c r="I208" i="134"/>
  <c r="I209" i="134"/>
  <c r="I210" i="134"/>
  <c r="I211" i="134"/>
  <c r="I212" i="134"/>
  <c r="I213" i="134"/>
  <c r="I214" i="134"/>
  <c r="I215" i="134"/>
  <c r="I216" i="134"/>
  <c r="I217" i="134"/>
  <c r="I218" i="134"/>
  <c r="I219" i="134"/>
  <c r="I220" i="134"/>
  <c r="I221" i="134"/>
  <c r="I222" i="134"/>
  <c r="I223" i="134"/>
  <c r="I224" i="134"/>
  <c r="I225" i="134"/>
  <c r="I226" i="134"/>
  <c r="I227" i="134"/>
  <c r="I228" i="134"/>
  <c r="I229" i="134"/>
  <c r="I230" i="134"/>
  <c r="I231" i="134"/>
  <c r="I232" i="134"/>
  <c r="I233" i="134"/>
  <c r="I234" i="134"/>
  <c r="I235" i="134"/>
  <c r="I236" i="134"/>
  <c r="I237" i="134"/>
  <c r="I238" i="134"/>
  <c r="I239" i="134"/>
  <c r="I240" i="134"/>
  <c r="I241" i="134"/>
  <c r="I242" i="134"/>
  <c r="I243" i="134"/>
  <c r="I244" i="134"/>
  <c r="I245" i="134"/>
  <c r="I246" i="134"/>
  <c r="I247" i="134"/>
  <c r="I248" i="134"/>
  <c r="I249" i="134"/>
  <c r="I250" i="134"/>
  <c r="I251" i="134"/>
  <c r="I252" i="134"/>
  <c r="I253" i="134"/>
  <c r="I254" i="134"/>
  <c r="I255" i="134"/>
  <c r="I256" i="134"/>
  <c r="I257" i="134"/>
  <c r="I258" i="134"/>
  <c r="I259" i="134"/>
  <c r="I260" i="134"/>
  <c r="I261" i="134"/>
  <c r="I262" i="134"/>
  <c r="I263" i="134"/>
  <c r="I264" i="134"/>
  <c r="I265" i="134"/>
  <c r="I266" i="134"/>
  <c r="I267" i="134"/>
  <c r="I268" i="134"/>
  <c r="I269" i="134"/>
  <c r="I270" i="134"/>
  <c r="I271" i="134"/>
  <c r="I272" i="134"/>
  <c r="I273" i="134"/>
  <c r="I274" i="134"/>
  <c r="I275" i="134"/>
  <c r="I276" i="134"/>
  <c r="I277" i="134"/>
  <c r="I278" i="134"/>
  <c r="I279" i="134"/>
  <c r="I280" i="134"/>
  <c r="I281" i="134"/>
  <c r="I282" i="134"/>
  <c r="I283" i="134"/>
  <c r="I284" i="134"/>
  <c r="I285" i="134"/>
  <c r="I286" i="134"/>
  <c r="I287" i="134"/>
  <c r="I288" i="134"/>
  <c r="I289" i="134"/>
  <c r="I290" i="134"/>
  <c r="I291" i="134"/>
  <c r="I292" i="134"/>
  <c r="I293" i="134"/>
  <c r="I294" i="134"/>
  <c r="I295" i="134"/>
  <c r="I296" i="134"/>
  <c r="I297" i="134"/>
  <c r="I298" i="134"/>
  <c r="I299" i="134"/>
  <c r="I300" i="134"/>
  <c r="I301" i="134"/>
  <c r="I302" i="134"/>
  <c r="I303" i="134"/>
  <c r="I304" i="134"/>
  <c r="I305" i="134"/>
  <c r="I306" i="134"/>
  <c r="I307" i="134"/>
  <c r="I308" i="134"/>
  <c r="I309" i="134"/>
  <c r="I310" i="134"/>
  <c r="I311" i="134"/>
  <c r="I312" i="134"/>
  <c r="I313" i="134"/>
  <c r="I314" i="134"/>
  <c r="I315" i="134"/>
  <c r="I316" i="134"/>
  <c r="I317" i="134"/>
  <c r="I318" i="134"/>
  <c r="I319" i="134"/>
  <c r="I320" i="134"/>
  <c r="I321" i="134"/>
  <c r="I322" i="134"/>
  <c r="I323" i="134"/>
  <c r="I324" i="134"/>
  <c r="I325" i="134"/>
  <c r="I326" i="134"/>
  <c r="I327" i="134"/>
  <c r="I328" i="134"/>
  <c r="I329" i="134"/>
  <c r="I330" i="134"/>
  <c r="I331" i="134"/>
  <c r="I332" i="134"/>
  <c r="I333" i="134"/>
  <c r="I334" i="134"/>
  <c r="I335" i="134"/>
  <c r="I336" i="134"/>
  <c r="I337" i="134"/>
  <c r="I338" i="134"/>
  <c r="I339" i="134"/>
  <c r="I340" i="134"/>
  <c r="I341" i="134"/>
  <c r="I342" i="134"/>
  <c r="I343" i="134"/>
  <c r="I344" i="134"/>
  <c r="I345" i="134"/>
  <c r="I346" i="134"/>
  <c r="I347" i="134"/>
  <c r="I348" i="134"/>
  <c r="I349" i="134"/>
  <c r="I350" i="134"/>
  <c r="I351" i="134"/>
  <c r="I352" i="134"/>
  <c r="I353" i="134"/>
  <c r="I354" i="134"/>
  <c r="I355" i="134"/>
  <c r="I356" i="134"/>
  <c r="I357" i="134"/>
  <c r="I358" i="134"/>
  <c r="I359" i="134"/>
  <c r="I360" i="134"/>
  <c r="I361" i="134"/>
  <c r="I362" i="134"/>
  <c r="I363" i="134"/>
  <c r="I364" i="134"/>
  <c r="I365" i="134"/>
  <c r="I366" i="134"/>
  <c r="I367" i="134"/>
  <c r="I368" i="134"/>
  <c r="I369" i="134"/>
  <c r="I370" i="134"/>
  <c r="I371" i="134"/>
  <c r="I372" i="134"/>
  <c r="I373" i="134"/>
  <c r="I374" i="134"/>
  <c r="I375" i="134"/>
  <c r="I376" i="134"/>
  <c r="I377" i="134"/>
  <c r="I378" i="134"/>
  <c r="I379" i="134"/>
  <c r="I380" i="134"/>
  <c r="I381" i="134"/>
  <c r="I382" i="134"/>
  <c r="I383" i="134"/>
  <c r="I384" i="134"/>
  <c r="I385" i="134"/>
  <c r="I386" i="134"/>
  <c r="I387" i="134"/>
  <c r="I388" i="134"/>
  <c r="I389" i="134"/>
  <c r="I390" i="134"/>
  <c r="I391" i="134"/>
  <c r="I392" i="134"/>
  <c r="I393" i="134"/>
  <c r="I394" i="134"/>
  <c r="I395" i="134"/>
  <c r="I396" i="134"/>
  <c r="I397" i="134"/>
  <c r="I398" i="134"/>
  <c r="I399" i="134"/>
  <c r="I400" i="134"/>
  <c r="I401" i="134"/>
  <c r="I402" i="134"/>
  <c r="I403" i="134"/>
  <c r="I404" i="134"/>
  <c r="I405" i="134"/>
  <c r="I406" i="134"/>
  <c r="I407" i="134"/>
  <c r="I408" i="134"/>
  <c r="I409" i="134"/>
  <c r="I410" i="134"/>
  <c r="I411" i="134"/>
  <c r="I412" i="134"/>
  <c r="I413" i="134"/>
  <c r="I414" i="134"/>
  <c r="I415" i="134"/>
  <c r="I416" i="134"/>
  <c r="I417" i="134"/>
  <c r="I418" i="134"/>
  <c r="I419" i="134"/>
  <c r="I420" i="134"/>
  <c r="I421" i="134"/>
  <c r="I422" i="134"/>
  <c r="I423" i="134"/>
  <c r="I424" i="134"/>
  <c r="I425" i="134"/>
  <c r="I426" i="134"/>
  <c r="I427" i="134"/>
  <c r="I428" i="134"/>
  <c r="I429" i="134"/>
  <c r="I430" i="134"/>
  <c r="I431" i="134"/>
  <c r="I432" i="134"/>
  <c r="I433" i="134"/>
  <c r="I434" i="134"/>
  <c r="I435" i="134"/>
  <c r="I436" i="134"/>
  <c r="I437" i="134"/>
  <c r="I438" i="134"/>
  <c r="I439" i="134"/>
  <c r="I440" i="134"/>
  <c r="I441" i="134"/>
  <c r="I442" i="134"/>
  <c r="I443" i="134"/>
  <c r="I444" i="134"/>
  <c r="I445" i="134"/>
  <c r="I446" i="134"/>
  <c r="I447" i="134"/>
  <c r="I448" i="134"/>
  <c r="I449" i="134"/>
  <c r="I450" i="134"/>
  <c r="I451" i="134"/>
  <c r="I452" i="134"/>
  <c r="I453" i="134"/>
  <c r="I454" i="134"/>
  <c r="I455" i="134"/>
  <c r="I456" i="134"/>
  <c r="I457" i="134"/>
  <c r="I458" i="134"/>
  <c r="I459" i="134"/>
  <c r="I460" i="134"/>
  <c r="I461" i="134"/>
  <c r="I462" i="134"/>
  <c r="I463" i="134"/>
  <c r="I464" i="134"/>
  <c r="I465" i="134"/>
  <c r="I466" i="134"/>
  <c r="I467" i="134"/>
  <c r="I468" i="134"/>
  <c r="I469" i="134"/>
  <c r="I470" i="134"/>
  <c r="I471" i="134"/>
  <c r="I472" i="134"/>
  <c r="I473" i="134"/>
  <c r="I474" i="134"/>
  <c r="I475" i="134"/>
  <c r="I476" i="134"/>
  <c r="I477" i="134"/>
  <c r="I478" i="134"/>
  <c r="I479" i="134"/>
  <c r="I480" i="134"/>
  <c r="I481" i="134"/>
  <c r="I482" i="134"/>
  <c r="I483" i="134"/>
  <c r="I484" i="134"/>
  <c r="I485" i="134"/>
  <c r="I486" i="134"/>
  <c r="I487" i="134"/>
  <c r="I488" i="134"/>
  <c r="I489" i="134"/>
  <c r="I490" i="134"/>
  <c r="I491" i="134"/>
  <c r="I492" i="134"/>
  <c r="I493" i="134"/>
  <c r="I494" i="134"/>
  <c r="I495" i="134"/>
  <c r="I496" i="134"/>
  <c r="I497" i="134"/>
  <c r="I498" i="134"/>
  <c r="I499" i="134"/>
  <c r="I500" i="134"/>
  <c r="I501" i="134"/>
  <c r="I502" i="134"/>
  <c r="I503" i="134"/>
  <c r="I504" i="134"/>
  <c r="I505" i="134"/>
  <c r="I506" i="134"/>
  <c r="I507" i="134"/>
  <c r="I508" i="134"/>
  <c r="I509" i="134"/>
  <c r="I510" i="134"/>
  <c r="I511" i="134"/>
  <c r="I512" i="134"/>
  <c r="I513" i="134"/>
  <c r="I514" i="134"/>
  <c r="I515" i="134"/>
  <c r="I516" i="134"/>
  <c r="I517" i="134"/>
  <c r="I518" i="134"/>
  <c r="I519" i="134"/>
  <c r="I520" i="134"/>
  <c r="I521" i="134"/>
  <c r="I522" i="134"/>
  <c r="I523" i="134"/>
  <c r="I524" i="134"/>
  <c r="I525" i="134"/>
  <c r="C10" i="134"/>
  <c r="C11" i="134"/>
  <c r="C12" i="134"/>
  <c r="C13" i="134"/>
  <c r="C14" i="134"/>
  <c r="C15" i="134"/>
  <c r="C16" i="134"/>
  <c r="C17" i="134"/>
  <c r="C18" i="134"/>
  <c r="C19" i="134"/>
  <c r="C20" i="134"/>
  <c r="C21" i="134"/>
  <c r="C22" i="134"/>
  <c r="C23" i="134"/>
  <c r="C24" i="134"/>
  <c r="C25" i="134"/>
  <c r="C26" i="134"/>
  <c r="C27" i="134"/>
  <c r="C28" i="134"/>
  <c r="C29" i="134"/>
  <c r="C30" i="134"/>
  <c r="C31" i="134"/>
  <c r="C32" i="134"/>
  <c r="C33" i="134"/>
  <c r="C34" i="134"/>
  <c r="C35" i="134"/>
  <c r="C36" i="134"/>
  <c r="C37" i="134"/>
  <c r="C38" i="134"/>
  <c r="C39" i="134"/>
  <c r="C40" i="134"/>
  <c r="C41" i="134"/>
  <c r="C42" i="134"/>
  <c r="C43" i="134"/>
  <c r="C44" i="134"/>
  <c r="C45" i="134"/>
  <c r="C46" i="134"/>
  <c r="C47" i="134"/>
  <c r="C48" i="134"/>
  <c r="C49" i="134"/>
  <c r="C50" i="134"/>
  <c r="C51" i="134"/>
  <c r="C52" i="134"/>
  <c r="C53" i="134"/>
  <c r="C54" i="134"/>
  <c r="C55" i="134"/>
  <c r="C56" i="134"/>
  <c r="C57" i="134"/>
  <c r="C58" i="134"/>
  <c r="C59" i="134"/>
  <c r="C60" i="134"/>
  <c r="C61" i="134"/>
  <c r="C62" i="134"/>
  <c r="C63" i="134"/>
  <c r="C64" i="134"/>
  <c r="C65" i="134"/>
  <c r="C66" i="134"/>
  <c r="C67" i="134"/>
  <c r="C68" i="134"/>
  <c r="C69" i="134"/>
  <c r="C70" i="134"/>
  <c r="C71" i="134"/>
  <c r="C72" i="134"/>
  <c r="C73" i="134"/>
  <c r="C74" i="134"/>
  <c r="C75" i="134"/>
  <c r="C76" i="134"/>
  <c r="C77" i="134"/>
  <c r="C78" i="134"/>
  <c r="C79" i="134"/>
  <c r="C80" i="134"/>
  <c r="C81" i="134"/>
  <c r="C82" i="134"/>
  <c r="C83" i="134"/>
  <c r="C84" i="134"/>
  <c r="C85" i="134"/>
  <c r="C86" i="134"/>
  <c r="C87" i="134"/>
  <c r="C88" i="134"/>
  <c r="C89" i="134"/>
  <c r="C90" i="134"/>
  <c r="C91" i="134"/>
  <c r="C92" i="134"/>
  <c r="C93" i="134"/>
  <c r="C94" i="134"/>
  <c r="C95" i="134"/>
  <c r="C96" i="134"/>
  <c r="C97" i="134"/>
  <c r="C98" i="134"/>
  <c r="C99" i="134"/>
  <c r="C100" i="134"/>
  <c r="B10" i="134"/>
  <c r="B11" i="134"/>
  <c r="B12" i="134"/>
  <c r="B13" i="134"/>
  <c r="B14" i="134"/>
  <c r="B15" i="134"/>
  <c r="B16" i="134"/>
  <c r="B17" i="134"/>
  <c r="B18" i="134"/>
  <c r="B19" i="134"/>
  <c r="B20" i="134"/>
  <c r="B21" i="134"/>
  <c r="B22" i="134"/>
  <c r="B23" i="134"/>
  <c r="B24" i="134"/>
  <c r="B25" i="134"/>
  <c r="B26" i="134"/>
  <c r="B27" i="134"/>
  <c r="B28" i="134"/>
  <c r="B29" i="134"/>
  <c r="B30" i="134"/>
  <c r="B31" i="134"/>
  <c r="B32" i="134"/>
  <c r="B33" i="134"/>
  <c r="B34" i="134"/>
  <c r="B35" i="134"/>
  <c r="B36" i="134"/>
  <c r="B37" i="134"/>
  <c r="B38" i="134"/>
  <c r="B39" i="134"/>
  <c r="B40" i="134"/>
  <c r="B41" i="134"/>
  <c r="B42" i="134"/>
  <c r="B43" i="134"/>
  <c r="B44" i="134"/>
  <c r="B45" i="134"/>
  <c r="B46" i="134"/>
  <c r="B47" i="134"/>
  <c r="B48" i="134"/>
  <c r="B49" i="134"/>
  <c r="B50" i="134"/>
  <c r="B51" i="134"/>
  <c r="B52" i="134"/>
  <c r="B53" i="134"/>
  <c r="B54" i="134"/>
  <c r="B55" i="134"/>
  <c r="B56" i="134"/>
  <c r="B57" i="134"/>
  <c r="B58" i="134"/>
  <c r="B59" i="134"/>
  <c r="B60" i="134"/>
  <c r="B61" i="134"/>
  <c r="B62" i="134"/>
  <c r="B63" i="134"/>
  <c r="B64" i="134"/>
  <c r="B65" i="134"/>
  <c r="B66" i="134"/>
  <c r="B67" i="134"/>
  <c r="B68" i="134"/>
  <c r="B69" i="134"/>
  <c r="B70" i="134"/>
  <c r="B71" i="134"/>
  <c r="B72" i="134"/>
  <c r="B73" i="134"/>
  <c r="B74" i="134"/>
  <c r="B75" i="134"/>
  <c r="B76" i="134"/>
  <c r="B77" i="134"/>
  <c r="B78" i="134"/>
  <c r="B79" i="134"/>
  <c r="B80" i="134"/>
  <c r="B81" i="134"/>
  <c r="B82" i="134"/>
  <c r="B83" i="134"/>
  <c r="B84" i="134"/>
  <c r="B85" i="134"/>
  <c r="B86" i="134"/>
  <c r="B87" i="134"/>
  <c r="B88" i="134"/>
  <c r="B89" i="134"/>
  <c r="B90" i="134"/>
  <c r="B91" i="134"/>
  <c r="B92" i="134"/>
  <c r="B93" i="134"/>
  <c r="B94" i="134"/>
  <c r="B95" i="134"/>
  <c r="B96" i="134"/>
  <c r="B97" i="134"/>
  <c r="B98" i="134"/>
  <c r="B99" i="134"/>
  <c r="B100" i="134"/>
  <c r="S1" i="145"/>
  <c r="T1" i="145" s="1"/>
  <c r="M5" i="145"/>
  <c r="M6" i="145"/>
  <c r="M7" i="145"/>
  <c r="M8" i="145"/>
  <c r="M9" i="145"/>
  <c r="M10" i="145"/>
  <c r="M11" i="145"/>
  <c r="M12" i="145"/>
  <c r="M13" i="145"/>
  <c r="M14" i="145"/>
  <c r="M15" i="145"/>
  <c r="M16" i="145"/>
  <c r="M17" i="145"/>
  <c r="M18" i="145"/>
  <c r="M19" i="145"/>
  <c r="M20" i="145"/>
  <c r="M21" i="145"/>
  <c r="M22" i="145"/>
  <c r="M23" i="145"/>
  <c r="M24" i="145"/>
  <c r="M25" i="145"/>
  <c r="M26" i="145"/>
  <c r="M27" i="145"/>
  <c r="M28" i="145"/>
  <c r="M29" i="145"/>
  <c r="M30" i="145"/>
  <c r="M31" i="145"/>
  <c r="M32" i="145"/>
  <c r="M33" i="145"/>
  <c r="M34" i="145"/>
  <c r="M35" i="145"/>
  <c r="M36" i="145"/>
  <c r="M37" i="145"/>
  <c r="M38" i="145"/>
  <c r="M39" i="145"/>
  <c r="M40" i="145"/>
  <c r="M41" i="145"/>
  <c r="M42" i="145"/>
  <c r="M43" i="145"/>
  <c r="M44" i="145"/>
  <c r="M45" i="145"/>
  <c r="M46" i="145"/>
  <c r="M47" i="145"/>
  <c r="M48" i="145"/>
  <c r="M49" i="145"/>
  <c r="M50" i="145"/>
  <c r="M51" i="145"/>
  <c r="M52" i="145"/>
  <c r="M53" i="145"/>
  <c r="M54" i="145"/>
  <c r="M55" i="145"/>
  <c r="M56" i="145"/>
  <c r="M57" i="145"/>
  <c r="M58" i="145"/>
  <c r="M59" i="145"/>
  <c r="M60" i="145"/>
  <c r="M61" i="145"/>
  <c r="M62" i="145"/>
  <c r="M63" i="145"/>
  <c r="M64" i="145"/>
  <c r="M65" i="145"/>
  <c r="M66" i="145"/>
  <c r="M67" i="145"/>
  <c r="M68" i="145"/>
  <c r="M69" i="145"/>
  <c r="M70" i="145"/>
  <c r="M71" i="145"/>
  <c r="M72" i="145"/>
  <c r="M73" i="145"/>
  <c r="M74" i="145"/>
  <c r="M75" i="145"/>
  <c r="M76" i="145"/>
  <c r="M77" i="145"/>
  <c r="M78" i="145"/>
  <c r="M79" i="145"/>
  <c r="M80" i="145"/>
  <c r="M81" i="145"/>
  <c r="M82" i="145"/>
  <c r="M83" i="145"/>
  <c r="M84" i="145"/>
  <c r="M85" i="145"/>
  <c r="M86" i="145"/>
  <c r="M87" i="145"/>
  <c r="M88" i="145"/>
  <c r="M89" i="145"/>
  <c r="M90" i="145"/>
  <c r="M91" i="145"/>
  <c r="M92" i="145"/>
  <c r="M93" i="145"/>
  <c r="M94" i="145"/>
  <c r="M95" i="145"/>
  <c r="M96" i="145"/>
  <c r="M97" i="145"/>
  <c r="M98" i="145"/>
  <c r="M99" i="145"/>
  <c r="M100" i="145"/>
  <c r="M101" i="145"/>
  <c r="M102" i="145"/>
  <c r="M103" i="145"/>
  <c r="M104" i="145"/>
  <c r="M105" i="145"/>
  <c r="M106" i="145"/>
  <c r="M107" i="145"/>
  <c r="M108" i="145"/>
  <c r="M109" i="145"/>
  <c r="M110" i="145"/>
  <c r="M111" i="145"/>
  <c r="M112" i="145"/>
  <c r="M113" i="145"/>
  <c r="M114" i="145"/>
  <c r="M115" i="145"/>
  <c r="M116" i="145"/>
  <c r="M117" i="145"/>
  <c r="M118" i="145"/>
  <c r="M119" i="145"/>
  <c r="M120" i="145"/>
  <c r="M121" i="145"/>
  <c r="M122" i="145"/>
  <c r="M123" i="145"/>
  <c r="M124" i="145"/>
  <c r="M125" i="145"/>
  <c r="M126" i="145"/>
  <c r="M127" i="145"/>
  <c r="M128" i="145"/>
  <c r="M129" i="145"/>
  <c r="M130" i="145"/>
  <c r="M131" i="145"/>
  <c r="M132" i="145"/>
  <c r="M133" i="145"/>
  <c r="M134" i="145"/>
  <c r="M135" i="145"/>
  <c r="M136" i="145"/>
  <c r="M137" i="145"/>
  <c r="M138" i="145"/>
  <c r="M139" i="145"/>
  <c r="M140" i="145"/>
  <c r="M141" i="145"/>
  <c r="M142" i="145"/>
  <c r="M143" i="145"/>
  <c r="M144" i="145"/>
  <c r="M145" i="145"/>
  <c r="M146" i="145"/>
  <c r="M147" i="145"/>
  <c r="M148" i="145"/>
  <c r="M149" i="145"/>
  <c r="M150" i="145"/>
  <c r="M151" i="145"/>
  <c r="M152" i="145"/>
  <c r="M153" i="145"/>
  <c r="M154" i="145"/>
  <c r="M155" i="145"/>
  <c r="M156" i="145"/>
  <c r="M157" i="145"/>
  <c r="M158" i="145"/>
  <c r="M159" i="145"/>
  <c r="M160" i="145"/>
  <c r="M161" i="145"/>
  <c r="M162" i="145"/>
  <c r="M163" i="145"/>
  <c r="M164" i="145"/>
  <c r="M165" i="145"/>
  <c r="M166" i="145"/>
  <c r="M167" i="145"/>
  <c r="M168" i="145"/>
  <c r="M169" i="145"/>
  <c r="M170" i="145"/>
  <c r="M171" i="145"/>
  <c r="M172" i="145"/>
  <c r="M173" i="145"/>
  <c r="M174" i="145"/>
  <c r="M175" i="145"/>
  <c r="M176" i="145"/>
  <c r="M177" i="145"/>
  <c r="M178" i="145"/>
  <c r="M179" i="145"/>
  <c r="M180" i="145"/>
  <c r="M181" i="145"/>
  <c r="M182" i="145"/>
  <c r="M183" i="145"/>
  <c r="M184" i="145"/>
  <c r="M185" i="145"/>
  <c r="M186" i="145"/>
  <c r="M187" i="145"/>
  <c r="M188" i="145"/>
  <c r="M189" i="145"/>
  <c r="M190" i="145"/>
  <c r="M191" i="145"/>
  <c r="M192" i="145"/>
  <c r="M193" i="145"/>
  <c r="M194" i="145"/>
  <c r="M195" i="145"/>
  <c r="M196" i="145"/>
  <c r="M197" i="145"/>
  <c r="M198" i="145"/>
  <c r="M199" i="145"/>
  <c r="M200" i="145"/>
  <c r="M201" i="145"/>
  <c r="M202" i="145"/>
  <c r="M203" i="145"/>
  <c r="M204" i="145"/>
  <c r="M205" i="145"/>
  <c r="M206" i="145"/>
  <c r="M207" i="145"/>
  <c r="M208" i="145"/>
  <c r="M209" i="145"/>
  <c r="M210" i="145"/>
  <c r="M211" i="145"/>
  <c r="M212" i="145"/>
  <c r="M213" i="145"/>
  <c r="M214" i="145"/>
  <c r="M215" i="145"/>
  <c r="M216" i="145"/>
  <c r="M217" i="145"/>
  <c r="M218" i="145"/>
  <c r="M219" i="145"/>
  <c r="M220" i="145"/>
  <c r="M221" i="145"/>
  <c r="M222" i="145"/>
  <c r="M223" i="145"/>
  <c r="M224" i="145"/>
  <c r="M225" i="145"/>
  <c r="M226" i="145"/>
  <c r="M227" i="145"/>
  <c r="M228" i="145"/>
  <c r="M229" i="145"/>
  <c r="M230" i="145"/>
  <c r="M231" i="145"/>
  <c r="M232" i="145"/>
  <c r="M233" i="145"/>
  <c r="M234" i="145"/>
  <c r="M235" i="145"/>
  <c r="M236" i="145"/>
  <c r="M237" i="145"/>
  <c r="M238" i="145"/>
  <c r="M239" i="145"/>
  <c r="M240" i="145"/>
  <c r="M241" i="145"/>
  <c r="M242" i="145"/>
  <c r="M243" i="145"/>
  <c r="M244" i="145"/>
  <c r="M245" i="145"/>
  <c r="M246" i="145"/>
  <c r="M247" i="145"/>
  <c r="M248" i="145"/>
  <c r="M249" i="145"/>
  <c r="M250" i="145"/>
  <c r="M251" i="145"/>
  <c r="M252" i="145"/>
  <c r="M253" i="145"/>
  <c r="M254" i="145"/>
  <c r="M255" i="145"/>
  <c r="M256" i="145"/>
  <c r="M257" i="145"/>
  <c r="M258" i="145"/>
  <c r="M259" i="145"/>
  <c r="M260" i="145"/>
  <c r="M261" i="145"/>
  <c r="M262" i="145"/>
  <c r="M263" i="145"/>
  <c r="M264" i="145"/>
  <c r="M265" i="145"/>
  <c r="M266" i="145"/>
  <c r="M267" i="145"/>
  <c r="M268" i="145"/>
  <c r="M269" i="145"/>
  <c r="M270" i="145"/>
  <c r="M271" i="145"/>
  <c r="M272" i="145"/>
  <c r="M273" i="145"/>
  <c r="M274" i="145"/>
  <c r="M275" i="145"/>
  <c r="M276" i="145"/>
  <c r="M277" i="145"/>
  <c r="M278" i="145"/>
  <c r="M279" i="145"/>
  <c r="M280" i="145"/>
  <c r="M281" i="145"/>
  <c r="M282" i="145"/>
  <c r="M283" i="145"/>
  <c r="M284" i="145"/>
  <c r="M285" i="145"/>
  <c r="M286" i="145"/>
  <c r="M287" i="145"/>
  <c r="M288" i="145"/>
  <c r="M289" i="145"/>
  <c r="M290" i="145"/>
  <c r="M291" i="145"/>
  <c r="M292" i="145"/>
  <c r="M293" i="145"/>
  <c r="M294" i="145"/>
  <c r="M295" i="145"/>
  <c r="M296" i="145"/>
  <c r="M297" i="145"/>
  <c r="M298" i="145"/>
  <c r="M299" i="145"/>
  <c r="M300" i="145"/>
  <c r="M301" i="145"/>
  <c r="M302" i="145"/>
  <c r="M303" i="145"/>
  <c r="M304" i="145"/>
  <c r="M305" i="145"/>
  <c r="M306" i="145"/>
  <c r="M307" i="145"/>
  <c r="M308" i="145"/>
  <c r="M309" i="145"/>
  <c r="M310" i="145"/>
  <c r="M311" i="145"/>
  <c r="M312" i="145"/>
  <c r="M313" i="145"/>
  <c r="M314" i="145"/>
  <c r="M315" i="145"/>
  <c r="M316" i="145"/>
  <c r="M317" i="145"/>
  <c r="M318" i="145"/>
  <c r="M319" i="145"/>
  <c r="M320" i="145"/>
  <c r="M321" i="145"/>
  <c r="M322" i="145"/>
  <c r="M323" i="145"/>
  <c r="M324" i="145"/>
  <c r="M325" i="145"/>
  <c r="M326" i="145"/>
  <c r="M327" i="145"/>
  <c r="M328" i="145"/>
  <c r="M329" i="145"/>
  <c r="M330" i="145"/>
  <c r="M331" i="145"/>
  <c r="M332" i="145"/>
  <c r="M333" i="145"/>
  <c r="M334" i="145"/>
  <c r="M335" i="145"/>
  <c r="M336" i="145"/>
  <c r="M337" i="145"/>
  <c r="M338" i="145"/>
  <c r="M339" i="145"/>
  <c r="M340" i="145"/>
  <c r="M341" i="145"/>
  <c r="M342" i="145"/>
  <c r="M343" i="145"/>
  <c r="M344" i="145"/>
  <c r="M345" i="145"/>
  <c r="M346" i="145"/>
  <c r="M347" i="145"/>
  <c r="M348" i="145"/>
  <c r="M349" i="145"/>
  <c r="M350" i="145"/>
  <c r="M351" i="145"/>
  <c r="M352" i="145"/>
  <c r="M353" i="145"/>
  <c r="M354" i="145"/>
  <c r="M355" i="145"/>
  <c r="M356" i="145"/>
  <c r="M357" i="145"/>
  <c r="M358" i="145"/>
  <c r="M359" i="145"/>
  <c r="M360" i="145"/>
  <c r="M361" i="145"/>
  <c r="M362" i="145"/>
  <c r="M363" i="145"/>
  <c r="M364" i="145"/>
  <c r="M365" i="145"/>
  <c r="M366" i="145"/>
  <c r="M367" i="145"/>
  <c r="M368" i="145"/>
  <c r="M369" i="145"/>
  <c r="M370" i="145"/>
  <c r="M371" i="145"/>
  <c r="M372" i="145"/>
  <c r="M373" i="145"/>
  <c r="M374" i="145"/>
  <c r="M375" i="145"/>
  <c r="M376" i="145"/>
  <c r="M377" i="145"/>
  <c r="M378" i="145"/>
  <c r="M379" i="145"/>
  <c r="M380" i="145"/>
  <c r="M381" i="145"/>
  <c r="M382" i="145"/>
  <c r="M383" i="145"/>
  <c r="M384" i="145"/>
  <c r="M385" i="145"/>
  <c r="M386" i="145"/>
  <c r="M387" i="145"/>
  <c r="M388" i="145"/>
  <c r="M389" i="145"/>
  <c r="M390" i="145"/>
  <c r="M391" i="145"/>
  <c r="M392" i="145"/>
  <c r="M393" i="145"/>
  <c r="M394" i="145"/>
  <c r="M395" i="145"/>
  <c r="M396" i="145"/>
  <c r="M397" i="145"/>
  <c r="M398" i="145"/>
  <c r="M399" i="145"/>
  <c r="M400" i="145"/>
  <c r="M401" i="145"/>
  <c r="M402" i="145"/>
  <c r="M403" i="145"/>
  <c r="M404" i="145"/>
  <c r="M405" i="145"/>
  <c r="M406" i="145"/>
  <c r="M407" i="145"/>
  <c r="M408" i="145"/>
  <c r="M409" i="145"/>
  <c r="M410" i="145"/>
  <c r="M411" i="145"/>
  <c r="M412" i="145"/>
  <c r="M413" i="145"/>
  <c r="M414" i="145"/>
  <c r="M415" i="145"/>
  <c r="M416" i="145"/>
  <c r="M417" i="145"/>
  <c r="M418" i="145"/>
  <c r="M419" i="145"/>
  <c r="M420" i="145"/>
  <c r="M421" i="145"/>
  <c r="M422" i="145"/>
  <c r="M423" i="145"/>
  <c r="M424" i="145"/>
  <c r="M425" i="145"/>
  <c r="M426" i="145"/>
  <c r="M427" i="145"/>
  <c r="M428" i="145"/>
  <c r="M429" i="145"/>
  <c r="M430" i="145"/>
  <c r="M431" i="145"/>
  <c r="M432" i="145"/>
  <c r="M433" i="145"/>
  <c r="M434" i="145"/>
  <c r="M435" i="145"/>
  <c r="M436" i="145"/>
  <c r="M437" i="145"/>
  <c r="M438" i="145"/>
  <c r="M439" i="145"/>
  <c r="M440" i="145"/>
  <c r="M441" i="145"/>
  <c r="M442" i="145"/>
  <c r="M443" i="145"/>
  <c r="M444" i="145"/>
  <c r="M445" i="145"/>
  <c r="M446" i="145"/>
  <c r="M447" i="145"/>
  <c r="M448" i="145"/>
  <c r="M449" i="145"/>
  <c r="M450" i="145"/>
  <c r="M451" i="145"/>
  <c r="M452" i="145"/>
  <c r="M453" i="145"/>
  <c r="M454" i="145"/>
  <c r="M455" i="145"/>
  <c r="M456" i="145"/>
  <c r="M457" i="145"/>
  <c r="M458" i="145"/>
  <c r="M459" i="145"/>
  <c r="M460" i="145"/>
  <c r="M461" i="145"/>
  <c r="M462" i="145"/>
  <c r="M463" i="145"/>
  <c r="M464" i="145"/>
  <c r="M465" i="145"/>
  <c r="M466" i="145"/>
  <c r="M467" i="145"/>
  <c r="M468" i="145"/>
  <c r="M469" i="145"/>
  <c r="M470" i="145"/>
  <c r="M471" i="145"/>
  <c r="M472" i="145"/>
  <c r="M473" i="145"/>
  <c r="M474" i="145"/>
  <c r="M475" i="145"/>
  <c r="M476" i="145"/>
  <c r="M477" i="145"/>
  <c r="M478" i="145"/>
  <c r="M479" i="145"/>
  <c r="M480" i="145"/>
  <c r="M481" i="145"/>
  <c r="M482" i="145"/>
  <c r="M483" i="145"/>
  <c r="M484" i="145"/>
  <c r="M485" i="145"/>
  <c r="M486" i="145"/>
  <c r="M487" i="145"/>
  <c r="M488" i="145"/>
  <c r="M489" i="145"/>
  <c r="M490" i="145"/>
  <c r="M491" i="145"/>
  <c r="M492" i="145"/>
  <c r="M493" i="145"/>
  <c r="M494" i="145"/>
  <c r="M495" i="145"/>
  <c r="M496" i="145"/>
  <c r="M497" i="145"/>
  <c r="M498" i="145"/>
  <c r="M499" i="145"/>
  <c r="M500" i="145"/>
  <c r="M4" i="145"/>
  <c r="P2" i="145"/>
  <c r="O1" i="145"/>
  <c r="B5" i="134"/>
  <c r="B6" i="134"/>
  <c r="B7" i="134"/>
  <c r="B8" i="134"/>
  <c r="B9" i="134"/>
  <c r="C5" i="134"/>
  <c r="C6" i="134"/>
  <c r="C7" i="134"/>
  <c r="C8" i="134"/>
  <c r="C9" i="134"/>
  <c r="C4" i="134"/>
  <c r="B4" i="134"/>
  <c r="J5" i="134"/>
  <c r="J6" i="134"/>
  <c r="J7" i="134"/>
  <c r="J8" i="134"/>
  <c r="J9" i="134"/>
  <c r="J4" i="134"/>
  <c r="I5" i="134"/>
  <c r="I6" i="134"/>
  <c r="I7" i="134"/>
  <c r="I8" i="134"/>
  <c r="I9" i="134"/>
  <c r="F525" i="134" a="1"/>
  <c r="F5" i="134" a="1"/>
  <c r="F7" i="134" a="1"/>
  <c r="F9" i="134" a="1"/>
  <c r="F11" i="134" a="1"/>
  <c r="F13" i="134" a="1"/>
  <c r="F15" i="134" a="1"/>
  <c r="F17" i="134" a="1"/>
  <c r="F19" i="134" a="1"/>
  <c r="F21" i="134" a="1"/>
  <c r="F23" i="134" a="1"/>
  <c r="F25" i="134" a="1"/>
  <c r="F27" i="134" a="1"/>
  <c r="F29" i="134" a="1"/>
  <c r="F31" i="134" a="1"/>
  <c r="F33" i="134" a="1"/>
  <c r="F35" i="134" a="1"/>
  <c r="F37" i="134" a="1"/>
  <c r="F39" i="134" a="1"/>
  <c r="F41" i="134" a="1"/>
  <c r="F43" i="134" a="1"/>
  <c r="F45" i="134" a="1"/>
  <c r="F47" i="134" a="1"/>
  <c r="F49" i="134" a="1"/>
  <c r="F51" i="134" a="1"/>
  <c r="F53" i="134" a="1"/>
  <c r="F55" i="134" a="1"/>
  <c r="F57" i="134" a="1"/>
  <c r="F59" i="134" a="1"/>
  <c r="F6" i="134" a="1"/>
  <c r="F8" i="134" a="1"/>
  <c r="F10" i="134" a="1"/>
  <c r="F12" i="134" a="1"/>
  <c r="F14" i="134" a="1"/>
  <c r="F16" i="134" a="1"/>
  <c r="F18" i="134" a="1"/>
  <c r="F20" i="134" a="1"/>
  <c r="F22" i="134" a="1"/>
  <c r="F24" i="134" a="1"/>
  <c r="F26" i="134" a="1"/>
  <c r="F28" i="134" a="1"/>
  <c r="F30" i="134" a="1"/>
  <c r="F32" i="134" a="1"/>
  <c r="F34" i="134" a="1"/>
  <c r="F36" i="134" a="1"/>
  <c r="F38" i="134" a="1"/>
  <c r="F40" i="134" a="1"/>
  <c r="F42" i="134" a="1"/>
  <c r="F44" i="134" a="1"/>
  <c r="F46" i="134" a="1"/>
  <c r="F48" i="134" a="1"/>
  <c r="F50" i="134" a="1"/>
  <c r="F52" i="134" a="1"/>
  <c r="F54" i="134" a="1"/>
  <c r="F56" i="134" a="1"/>
  <c r="F58" i="134" a="1"/>
  <c r="F60" i="134" a="1"/>
  <c r="F61" i="134" a="1"/>
  <c r="F64" i="134" a="1"/>
  <c r="F69" i="134" a="1"/>
  <c r="F72" i="134" a="1"/>
  <c r="F77" i="134" a="1"/>
  <c r="F80" i="134" a="1"/>
  <c r="F85" i="134" a="1"/>
  <c r="F88" i="134" a="1"/>
  <c r="F93" i="134" a="1"/>
  <c r="F96" i="134" a="1"/>
  <c r="F101" i="134" a="1"/>
  <c r="F104" i="134" a="1"/>
  <c r="F109" i="134" a="1"/>
  <c r="F112" i="134" a="1"/>
  <c r="F117" i="134" a="1"/>
  <c r="F120" i="134" a="1"/>
  <c r="F125" i="134" a="1"/>
  <c r="F128" i="134" a="1"/>
  <c r="F133" i="134" a="1"/>
  <c r="F136" i="134" a="1"/>
  <c r="F141" i="134" a="1"/>
  <c r="F144" i="134" a="1"/>
  <c r="F149" i="134" a="1"/>
  <c r="F152" i="134" a="1"/>
  <c r="F157" i="134" a="1"/>
  <c r="F160" i="134" a="1"/>
  <c r="F165" i="134" a="1"/>
  <c r="F168" i="134" a="1"/>
  <c r="F173" i="134" a="1"/>
  <c r="F62" i="134" a="1"/>
  <c r="F67" i="134" a="1"/>
  <c r="F70" i="134" a="1"/>
  <c r="F75" i="134" a="1"/>
  <c r="F78" i="134" a="1"/>
  <c r="F83" i="134" a="1"/>
  <c r="F86" i="134" a="1"/>
  <c r="F91" i="134" a="1"/>
  <c r="F94" i="134" a="1"/>
  <c r="F99" i="134" a="1"/>
  <c r="F102" i="134" a="1"/>
  <c r="F107" i="134" a="1"/>
  <c r="F110" i="134" a="1"/>
  <c r="F115" i="134" a="1"/>
  <c r="F118" i="134" a="1"/>
  <c r="F123" i="134" a="1"/>
  <c r="F126" i="134" a="1"/>
  <c r="F131" i="134" a="1"/>
  <c r="F134" i="134" a="1"/>
  <c r="F139" i="134" a="1"/>
  <c r="F142" i="134" a="1"/>
  <c r="F147" i="134" a="1"/>
  <c r="F150" i="134" a="1"/>
  <c r="F155" i="134" a="1"/>
  <c r="F158" i="134" a="1"/>
  <c r="F163" i="134" a="1"/>
  <c r="F166" i="134" a="1"/>
  <c r="F65" i="134" a="1"/>
  <c r="F68" i="134" a="1"/>
  <c r="F73" i="134" a="1"/>
  <c r="F76" i="134" a="1"/>
  <c r="F81" i="134" a="1"/>
  <c r="F84" i="134" a="1"/>
  <c r="F89" i="134" a="1"/>
  <c r="F92" i="134" a="1"/>
  <c r="F97" i="134" a="1"/>
  <c r="F100" i="134" a="1"/>
  <c r="F105" i="134" a="1"/>
  <c r="F108" i="134" a="1"/>
  <c r="F113" i="134" a="1"/>
  <c r="F116" i="134" a="1"/>
  <c r="F121" i="134" a="1"/>
  <c r="F124" i="134" a="1"/>
  <c r="F129" i="134" a="1"/>
  <c r="F132" i="134" a="1"/>
  <c r="F137" i="134" a="1"/>
  <c r="F140" i="134" a="1"/>
  <c r="F145" i="134" a="1"/>
  <c r="F148" i="134" a="1"/>
  <c r="F153" i="134" a="1"/>
  <c r="F156" i="134" a="1"/>
  <c r="F161" i="134" a="1"/>
  <c r="F164" i="134" a="1"/>
  <c r="F169" i="134" a="1"/>
  <c r="F172" i="134" a="1"/>
  <c r="F63" i="134" a="1"/>
  <c r="F66" i="134" a="1"/>
  <c r="F71" i="134" a="1"/>
  <c r="F74" i="134" a="1"/>
  <c r="F79" i="134" a="1"/>
  <c r="F82" i="134" a="1"/>
  <c r="F87" i="134" a="1"/>
  <c r="F90" i="134" a="1"/>
  <c r="F95" i="134" a="1"/>
  <c r="F98" i="134" a="1"/>
  <c r="F103" i="134" a="1"/>
  <c r="F106" i="134" a="1"/>
  <c r="F111" i="134" a="1"/>
  <c r="F114" i="134" a="1"/>
  <c r="F119" i="134" a="1"/>
  <c r="F122" i="134" a="1"/>
  <c r="F127" i="134" a="1"/>
  <c r="F130" i="134" a="1"/>
  <c r="F135" i="134" a="1"/>
  <c r="F138" i="134" a="1"/>
  <c r="F143" i="134" a="1"/>
  <c r="F146" i="134" a="1"/>
  <c r="F151" i="134" a="1"/>
  <c r="F154" i="134" a="1"/>
  <c r="F159" i="134" a="1"/>
  <c r="F162" i="134" a="1"/>
  <c r="F167" i="134" a="1"/>
  <c r="F174" i="134" a="1"/>
  <c r="F178" i="134" a="1"/>
  <c r="F182" i="134" a="1"/>
  <c r="F186" i="134" a="1"/>
  <c r="F190" i="134" a="1"/>
  <c r="F194" i="134" a="1"/>
  <c r="F198" i="134" a="1"/>
  <c r="F202" i="134" a="1"/>
  <c r="F206" i="134" a="1"/>
  <c r="F210" i="134" a="1"/>
  <c r="F214" i="134" a="1"/>
  <c r="F218" i="134" a="1"/>
  <c r="F222" i="134" a="1"/>
  <c r="F226" i="134" a="1"/>
  <c r="F230" i="134" a="1"/>
  <c r="F234" i="134" a="1"/>
  <c r="F238" i="134" a="1"/>
  <c r="F242" i="134" a="1"/>
  <c r="F246" i="134" a="1"/>
  <c r="F249" i="134" a="1"/>
  <c r="F254" i="134" a="1"/>
  <c r="F257" i="134" a="1"/>
  <c r="F262" i="134" a="1"/>
  <c r="F170" i="134" a="1"/>
  <c r="F175" i="134" a="1"/>
  <c r="F179" i="134" a="1"/>
  <c r="F183" i="134" a="1"/>
  <c r="F187" i="134" a="1"/>
  <c r="F191" i="134" a="1"/>
  <c r="F195" i="134" a="1"/>
  <c r="F199" i="134" a="1"/>
  <c r="F203" i="134" a="1"/>
  <c r="F207" i="134" a="1"/>
  <c r="F211" i="134" a="1"/>
  <c r="F215" i="134" a="1"/>
  <c r="F219" i="134" a="1"/>
  <c r="F223" i="134" a="1"/>
  <c r="F227" i="134" a="1"/>
  <c r="F231" i="134" a="1"/>
  <c r="F235" i="134" a="1"/>
  <c r="F239" i="134" a="1"/>
  <c r="F243" i="134" a="1"/>
  <c r="F247" i="134" a="1"/>
  <c r="F252" i="134" a="1"/>
  <c r="F255" i="134" a="1"/>
  <c r="F260" i="134" a="1"/>
  <c r="F263" i="134" a="1"/>
  <c r="F265" i="134" a="1"/>
  <c r="F267" i="134" a="1"/>
  <c r="F171" i="134" a="1"/>
  <c r="F176" i="134" a="1"/>
  <c r="F180" i="134" a="1"/>
  <c r="F184" i="134" a="1"/>
  <c r="F188" i="134" a="1"/>
  <c r="F192" i="134" a="1"/>
  <c r="F196" i="134" a="1"/>
  <c r="F200" i="134" a="1"/>
  <c r="F204" i="134" a="1"/>
  <c r="F208" i="134" a="1"/>
  <c r="F212" i="134" a="1"/>
  <c r="F216" i="134" a="1"/>
  <c r="F220" i="134" a="1"/>
  <c r="F224" i="134" a="1"/>
  <c r="F228" i="134" a="1"/>
  <c r="F232" i="134" a="1"/>
  <c r="F236" i="134" a="1"/>
  <c r="F240" i="134" a="1"/>
  <c r="F244" i="134" a="1"/>
  <c r="F250" i="134" a="1"/>
  <c r="F253" i="134" a="1"/>
  <c r="F258" i="134" a="1"/>
  <c r="F261" i="134" a="1"/>
  <c r="F396" i="134" a="1"/>
  <c r="F416" i="134" a="1"/>
  <c r="F177" i="134" a="1"/>
  <c r="F181" i="134" a="1"/>
  <c r="F185" i="134" a="1"/>
  <c r="F189" i="134" a="1"/>
  <c r="F193" i="134" a="1"/>
  <c r="F197" i="134" a="1"/>
  <c r="F201" i="134" a="1"/>
  <c r="F205" i="134" a="1"/>
  <c r="F209" i="134" a="1"/>
  <c r="F213" i="134" a="1"/>
  <c r="F217" i="134" a="1"/>
  <c r="F221" i="134" a="1"/>
  <c r="F225" i="134" a="1"/>
  <c r="F229" i="134" a="1"/>
  <c r="F233" i="134" a="1"/>
  <c r="F237" i="134" a="1"/>
  <c r="F241" i="134" a="1"/>
  <c r="F245" i="134" a="1"/>
  <c r="F248" i="134" a="1"/>
  <c r="F251" i="134" a="1"/>
  <c r="F256" i="134" a="1"/>
  <c r="F259" i="134" a="1"/>
  <c r="F264" i="134" a="1"/>
  <c r="F266" i="134" a="1"/>
  <c r="F268" i="134" a="1"/>
  <c r="F270" i="134" a="1"/>
  <c r="F272" i="134" a="1"/>
  <c r="F274" i="134" a="1"/>
  <c r="F276" i="134" a="1"/>
  <c r="F278" i="134" a="1"/>
  <c r="F280" i="134" a="1"/>
  <c r="F282" i="134" a="1"/>
  <c r="F284" i="134" a="1"/>
  <c r="F286" i="134" a="1"/>
  <c r="F288" i="134" a="1"/>
  <c r="F290" i="134" a="1"/>
  <c r="F292" i="134" a="1"/>
  <c r="F294" i="134" a="1"/>
  <c r="F296" i="134" a="1"/>
  <c r="F298" i="134" a="1"/>
  <c r="F300" i="134" a="1"/>
  <c r="F302" i="134" a="1"/>
  <c r="F304" i="134" a="1"/>
  <c r="F306" i="134" a="1"/>
  <c r="F308" i="134" a="1"/>
  <c r="F310" i="134" a="1"/>
  <c r="F312" i="134" a="1"/>
  <c r="F314" i="134" a="1"/>
  <c r="F316" i="134" a="1"/>
  <c r="F318" i="134" a="1"/>
  <c r="F320" i="134" a="1"/>
  <c r="F322" i="134" a="1"/>
  <c r="F324" i="134" a="1"/>
  <c r="F326" i="134" a="1"/>
  <c r="F328" i="134" a="1"/>
  <c r="F330" i="134" a="1"/>
  <c r="F332" i="134" a="1"/>
  <c r="F334" i="134" a="1"/>
  <c r="F336" i="134" a="1"/>
  <c r="F338" i="134" a="1"/>
  <c r="F340" i="134" a="1"/>
  <c r="F342" i="134" a="1"/>
  <c r="F344" i="134" a="1"/>
  <c r="F346" i="134" a="1"/>
  <c r="F348" i="134" a="1"/>
  <c r="F350" i="134" a="1"/>
  <c r="F352" i="134" a="1"/>
  <c r="F354" i="134" a="1"/>
  <c r="F356" i="134" a="1"/>
  <c r="F358" i="134" a="1"/>
  <c r="F360" i="134" a="1"/>
  <c r="F362" i="134" a="1"/>
  <c r="F364" i="134" a="1"/>
  <c r="F366" i="134" a="1"/>
  <c r="F368" i="134" a="1"/>
  <c r="F370" i="134" a="1"/>
  <c r="F372" i="134" a="1"/>
  <c r="F374" i="134" a="1"/>
  <c r="F376" i="134" a="1"/>
  <c r="F378" i="134" a="1"/>
  <c r="F380" i="134" a="1"/>
  <c r="F382" i="134" a="1"/>
  <c r="F384" i="134" a="1"/>
  <c r="F386" i="134" a="1"/>
  <c r="F388" i="134" a="1"/>
  <c r="F390" i="134" a="1"/>
  <c r="F392" i="134" a="1"/>
  <c r="F394" i="134" a="1"/>
  <c r="F398" i="134" a="1"/>
  <c r="F400" i="134" a="1"/>
  <c r="F402" i="134" a="1"/>
  <c r="F404" i="134" a="1"/>
  <c r="F406" i="134" a="1"/>
  <c r="F408" i="134" a="1"/>
  <c r="F410" i="134" a="1"/>
  <c r="F412" i="134" a="1"/>
  <c r="F414" i="134" a="1"/>
  <c r="F418" i="134" a="1"/>
  <c r="F420" i="134" a="1"/>
  <c r="F422" i="134" a="1"/>
  <c r="F424" i="134" a="1"/>
  <c r="F426" i="134" a="1"/>
  <c r="F428" i="134" a="1"/>
  <c r="F430" i="134" a="1"/>
  <c r="F269" i="134" a="1"/>
  <c r="F277" i="134" a="1"/>
  <c r="F285" i="134" a="1"/>
  <c r="F293" i="134" a="1"/>
  <c r="F301" i="134" a="1"/>
  <c r="F325" i="134" a="1"/>
  <c r="F333" i="134" a="1"/>
  <c r="F341" i="134" a="1"/>
  <c r="F349" i="134" a="1"/>
  <c r="F357" i="134" a="1"/>
  <c r="F365" i="134" a="1"/>
  <c r="F373" i="134" a="1"/>
  <c r="F381" i="134" a="1"/>
  <c r="F389" i="134" a="1"/>
  <c r="F397" i="134" a="1"/>
  <c r="F401" i="134" a="1"/>
  <c r="F405" i="134" a="1"/>
  <c r="F409" i="134" a="1"/>
  <c r="F413" i="134" a="1"/>
  <c r="F425" i="134" a="1"/>
  <c r="F435" i="134" a="1"/>
  <c r="F454" i="134" a="1"/>
  <c r="F475" i="134" a="1"/>
  <c r="F510" i="134" a="1"/>
  <c r="F271" i="134" a="1"/>
  <c r="F279" i="134" a="1"/>
  <c r="F287" i="134" a="1"/>
  <c r="F295" i="134" a="1"/>
  <c r="F303" i="134" a="1"/>
  <c r="F311" i="134" a="1"/>
  <c r="F319" i="134" a="1"/>
  <c r="F327" i="134" a="1"/>
  <c r="F335" i="134" a="1"/>
  <c r="F343" i="134" a="1"/>
  <c r="F351" i="134" a="1"/>
  <c r="F359" i="134" a="1"/>
  <c r="F367" i="134" a="1"/>
  <c r="F375" i="134" a="1"/>
  <c r="F383" i="134" a="1"/>
  <c r="F391" i="134" a="1"/>
  <c r="F433" i="134" a="1"/>
  <c r="F436" i="134" a="1"/>
  <c r="F441" i="134" a="1"/>
  <c r="F444" i="134" a="1"/>
  <c r="F449" i="134" a="1"/>
  <c r="F452" i="134" a="1"/>
  <c r="F457" i="134" a="1"/>
  <c r="F460" i="134" a="1"/>
  <c r="F465" i="134" a="1"/>
  <c r="F468" i="134" a="1"/>
  <c r="F473" i="134" a="1"/>
  <c r="F476" i="134" a="1"/>
  <c r="F481" i="134" a="1"/>
  <c r="F484" i="134" a="1"/>
  <c r="F489" i="134" a="1"/>
  <c r="F492" i="134" a="1"/>
  <c r="F497" i="134" a="1"/>
  <c r="F500" i="134" a="1"/>
  <c r="F505" i="134" a="1"/>
  <c r="F508" i="134" a="1"/>
  <c r="F513" i="134" a="1"/>
  <c r="F516" i="134" a="1"/>
  <c r="F521" i="134" a="1"/>
  <c r="F524" i="134" a="1"/>
  <c r="F273" i="134" a="1"/>
  <c r="F281" i="134" a="1"/>
  <c r="F289" i="134" a="1"/>
  <c r="F297" i="134" a="1"/>
  <c r="F305" i="134" a="1"/>
  <c r="F313" i="134" a="1"/>
  <c r="F321" i="134" a="1"/>
  <c r="F329" i="134" a="1"/>
  <c r="F337" i="134" a="1"/>
  <c r="F345" i="134" a="1"/>
  <c r="F353" i="134" a="1"/>
  <c r="F361" i="134" a="1"/>
  <c r="F369" i="134" a="1"/>
  <c r="F377" i="134" a="1"/>
  <c r="F385" i="134" a="1"/>
  <c r="F393" i="134" a="1"/>
  <c r="F399" i="134" a="1"/>
  <c r="F403" i="134" a="1"/>
  <c r="F407" i="134" a="1"/>
  <c r="F411" i="134" a="1"/>
  <c r="F415" i="134" a="1"/>
  <c r="F419" i="134" a="1"/>
  <c r="F423" i="134" a="1"/>
  <c r="F427" i="134" a="1"/>
  <c r="F431" i="134" a="1"/>
  <c r="F434" i="134" a="1"/>
  <c r="F439" i="134" a="1"/>
  <c r="F442" i="134" a="1"/>
  <c r="F447" i="134" a="1"/>
  <c r="F450" i="134" a="1"/>
  <c r="F455" i="134" a="1"/>
  <c r="F458" i="134" a="1"/>
  <c r="F463" i="134" a="1"/>
  <c r="F466" i="134" a="1"/>
  <c r="F471" i="134" a="1"/>
  <c r="F474" i="134" a="1"/>
  <c r="F479" i="134" a="1"/>
  <c r="F482" i="134" a="1"/>
  <c r="F487" i="134" a="1"/>
  <c r="F490" i="134" a="1"/>
  <c r="F495" i="134" a="1"/>
  <c r="F498" i="134" a="1"/>
  <c r="F503" i="134" a="1"/>
  <c r="F506" i="134" a="1"/>
  <c r="F511" i="134" a="1"/>
  <c r="F514" i="134" a="1"/>
  <c r="F519" i="134" a="1"/>
  <c r="F522" i="134" a="1"/>
  <c r="F317" i="134" a="1"/>
  <c r="F417" i="134" a="1"/>
  <c r="F446" i="134" a="1"/>
  <c r="F462" i="134" a="1"/>
  <c r="F470" i="134" a="1"/>
  <c r="F478" i="134" a="1"/>
  <c r="F491" i="134" a="1"/>
  <c r="F494" i="134" a="1"/>
  <c r="F502" i="134" a="1"/>
  <c r="F518" i="134" a="1"/>
  <c r="F275" i="134" a="1"/>
  <c r="F283" i="134" a="1"/>
  <c r="F291" i="134" a="1"/>
  <c r="F299" i="134" a="1"/>
  <c r="F307" i="134" a="1"/>
  <c r="F315" i="134" a="1"/>
  <c r="F323" i="134" a="1"/>
  <c r="F331" i="134" a="1"/>
  <c r="F339" i="134" a="1"/>
  <c r="F347" i="134" a="1"/>
  <c r="F355" i="134" a="1"/>
  <c r="F363" i="134" a="1"/>
  <c r="F371" i="134" a="1"/>
  <c r="F379" i="134" a="1"/>
  <c r="F387" i="134" a="1"/>
  <c r="F395" i="134" a="1"/>
  <c r="F432" i="134" a="1"/>
  <c r="F437" i="134" a="1"/>
  <c r="F440" i="134" a="1"/>
  <c r="F445" i="134" a="1"/>
  <c r="F448" i="134" a="1"/>
  <c r="F453" i="134" a="1"/>
  <c r="F456" i="134" a="1"/>
  <c r="F461" i="134" a="1"/>
  <c r="F464" i="134" a="1"/>
  <c r="F469" i="134" a="1"/>
  <c r="F472" i="134" a="1"/>
  <c r="F477" i="134" a="1"/>
  <c r="F480" i="134" a="1"/>
  <c r="F485" i="134" a="1"/>
  <c r="F488" i="134" a="1"/>
  <c r="F493" i="134" a="1"/>
  <c r="F496" i="134" a="1"/>
  <c r="F501" i="134" a="1"/>
  <c r="F504" i="134" a="1"/>
  <c r="F509" i="134" a="1"/>
  <c r="F512" i="134" a="1"/>
  <c r="F517" i="134" a="1"/>
  <c r="F520" i="134" a="1"/>
  <c r="F309" i="134" a="1"/>
  <c r="F421" i="134" a="1"/>
  <c r="F429" i="134" a="1"/>
  <c r="F438" i="134" a="1"/>
  <c r="F443" i="134" a="1"/>
  <c r="F451" i="134" a="1"/>
  <c r="F459" i="134" a="1"/>
  <c r="F467" i="134" a="1"/>
  <c r="F483" i="134" a="1"/>
  <c r="F486" i="134" a="1"/>
  <c r="F499" i="134" a="1"/>
  <c r="F507" i="134" a="1"/>
  <c r="F515" i="134" a="1"/>
  <c r="F523" i="134" a="1"/>
  <c r="F4" i="134" a="1"/>
  <c r="K10" i="134" a="1"/>
  <c r="K11" i="134" a="1"/>
  <c r="K13" i="134" a="1"/>
  <c r="K15" i="134" a="1"/>
  <c r="K17" i="134" a="1"/>
  <c r="K19" i="134" a="1"/>
  <c r="K21" i="134" a="1"/>
  <c r="K23" i="134" a="1"/>
  <c r="K25" i="134" a="1"/>
  <c r="K27" i="134" a="1"/>
  <c r="K32" i="134" a="1"/>
  <c r="K35" i="134" a="1"/>
  <c r="K40" i="134" a="1"/>
  <c r="K43" i="134" a="1"/>
  <c r="K48" i="134" a="1"/>
  <c r="K51" i="134" a="1"/>
  <c r="K56" i="134" a="1"/>
  <c r="K59" i="134" a="1"/>
  <c r="K64" i="134" a="1"/>
  <c r="K67" i="134" a="1"/>
  <c r="K72" i="134" a="1"/>
  <c r="K75" i="134" a="1"/>
  <c r="K80" i="134" a="1"/>
  <c r="K83" i="134" a="1"/>
  <c r="K88" i="134" a="1"/>
  <c r="K91" i="134" a="1"/>
  <c r="K96" i="134" a="1"/>
  <c r="K99" i="134" a="1"/>
  <c r="K104" i="134" a="1"/>
  <c r="K107" i="134" a="1"/>
  <c r="K112" i="134" a="1"/>
  <c r="K115" i="134" a="1"/>
  <c r="K120" i="134" a="1"/>
  <c r="K123" i="134" a="1"/>
  <c r="K128" i="134" a="1"/>
  <c r="K131" i="134" a="1"/>
  <c r="K136" i="134" a="1"/>
  <c r="K139" i="134" a="1"/>
  <c r="K144" i="134" a="1"/>
  <c r="K147" i="134" a="1"/>
  <c r="K152" i="134" a="1"/>
  <c r="K155" i="134" a="1"/>
  <c r="K160" i="134" a="1"/>
  <c r="K163" i="134" a="1"/>
  <c r="K168" i="134" a="1"/>
  <c r="K171" i="134" a="1"/>
  <c r="K176" i="134" a="1"/>
  <c r="K179" i="134" a="1"/>
  <c r="K181" i="134" a="1"/>
  <c r="K183" i="134" a="1"/>
  <c r="K185" i="134" a="1"/>
  <c r="K187" i="134" a="1"/>
  <c r="K189" i="134" a="1"/>
  <c r="K191" i="134" a="1"/>
  <c r="K193" i="134" a="1"/>
  <c r="K195" i="134" a="1"/>
  <c r="K197" i="134" a="1"/>
  <c r="K199" i="134" a="1"/>
  <c r="K201" i="134" a="1"/>
  <c r="K203" i="134" a="1"/>
  <c r="K205" i="134" a="1"/>
  <c r="K207" i="134" a="1"/>
  <c r="K209" i="134" a="1"/>
  <c r="K211" i="134" a="1"/>
  <c r="K213" i="134" a="1"/>
  <c r="K215" i="134" a="1"/>
  <c r="K217" i="134" a="1"/>
  <c r="K219" i="134" a="1"/>
  <c r="K221" i="134" a="1"/>
  <c r="K223" i="134" a="1"/>
  <c r="K225" i="134" a="1"/>
  <c r="K227" i="134" a="1"/>
  <c r="K229" i="134" a="1"/>
  <c r="K231" i="134" a="1"/>
  <c r="K233" i="134" a="1"/>
  <c r="K235" i="134" a="1"/>
  <c r="K237" i="134" a="1"/>
  <c r="K239" i="134" a="1"/>
  <c r="K241" i="134" a="1"/>
  <c r="K12" i="134" a="1"/>
  <c r="K16" i="134" a="1"/>
  <c r="K20" i="134" a="1"/>
  <c r="K24" i="134" a="1"/>
  <c r="K30" i="134" a="1"/>
  <c r="K33" i="134" a="1"/>
  <c r="K38" i="134" a="1"/>
  <c r="K41" i="134" a="1"/>
  <c r="K46" i="134" a="1"/>
  <c r="K49" i="134" a="1"/>
  <c r="K54" i="134" a="1"/>
  <c r="K57" i="134" a="1"/>
  <c r="K62" i="134" a="1"/>
  <c r="K65" i="134" a="1"/>
  <c r="K70" i="134" a="1"/>
  <c r="K73" i="134" a="1"/>
  <c r="K78" i="134" a="1"/>
  <c r="K81" i="134" a="1"/>
  <c r="K86" i="134" a="1"/>
  <c r="K89" i="134" a="1"/>
  <c r="K94" i="134" a="1"/>
  <c r="K97" i="134" a="1"/>
  <c r="K102" i="134" a="1"/>
  <c r="K105" i="134" a="1"/>
  <c r="K110" i="134" a="1"/>
  <c r="K113" i="134" a="1"/>
  <c r="K118" i="134" a="1"/>
  <c r="K121" i="134" a="1"/>
  <c r="K126" i="134" a="1"/>
  <c r="K129" i="134" a="1"/>
  <c r="K134" i="134" a="1"/>
  <c r="K137" i="134" a="1"/>
  <c r="K142" i="134" a="1"/>
  <c r="K145" i="134" a="1"/>
  <c r="K150" i="134" a="1"/>
  <c r="K153" i="134" a="1"/>
  <c r="K158" i="134" a="1"/>
  <c r="K161" i="134" a="1"/>
  <c r="K166" i="134" a="1"/>
  <c r="K169" i="134" a="1"/>
  <c r="K174" i="134" a="1"/>
  <c r="K177" i="134" a="1"/>
  <c r="K28" i="134" a="1"/>
  <c r="K31" i="134" a="1"/>
  <c r="K36" i="134" a="1"/>
  <c r="K39" i="134" a="1"/>
  <c r="K44" i="134" a="1"/>
  <c r="K47" i="134" a="1"/>
  <c r="K52" i="134" a="1"/>
  <c r="K55" i="134" a="1"/>
  <c r="K60" i="134" a="1"/>
  <c r="K63" i="134" a="1"/>
  <c r="K68" i="134" a="1"/>
  <c r="K71" i="134" a="1"/>
  <c r="K76" i="134" a="1"/>
  <c r="K79" i="134" a="1"/>
  <c r="K84" i="134" a="1"/>
  <c r="K87" i="134" a="1"/>
  <c r="K92" i="134" a="1"/>
  <c r="K95" i="134" a="1"/>
  <c r="K100" i="134" a="1"/>
  <c r="K103" i="134" a="1"/>
  <c r="K108" i="134" a="1"/>
  <c r="K111" i="134" a="1"/>
  <c r="K116" i="134" a="1"/>
  <c r="K119" i="134" a="1"/>
  <c r="K124" i="134" a="1"/>
  <c r="K127" i="134" a="1"/>
  <c r="K132" i="134" a="1"/>
  <c r="K135" i="134" a="1"/>
  <c r="K140" i="134" a="1"/>
  <c r="K143" i="134" a="1"/>
  <c r="K148" i="134" a="1"/>
  <c r="K151" i="134" a="1"/>
  <c r="K156" i="134" a="1"/>
  <c r="K159" i="134" a="1"/>
  <c r="K164" i="134" a="1"/>
  <c r="K167" i="134" a="1"/>
  <c r="K172" i="134" a="1"/>
  <c r="K175" i="134" a="1"/>
  <c r="K180" i="134" a="1"/>
  <c r="K182" i="134" a="1"/>
  <c r="K184" i="134" a="1"/>
  <c r="K186" i="134" a="1"/>
  <c r="K188" i="134" a="1"/>
  <c r="K190" i="134" a="1"/>
  <c r="K192" i="134" a="1"/>
  <c r="K194" i="134" a="1"/>
  <c r="K196" i="134" a="1"/>
  <c r="K198" i="134" a="1"/>
  <c r="K200" i="134" a="1"/>
  <c r="K202" i="134" a="1"/>
  <c r="K204" i="134" a="1"/>
  <c r="K206" i="134" a="1"/>
  <c r="K208" i="134" a="1"/>
  <c r="K210" i="134" a="1"/>
  <c r="K212" i="134" a="1"/>
  <c r="K214" i="134" a="1"/>
  <c r="K216" i="134" a="1"/>
  <c r="K218" i="134" a="1"/>
  <c r="K220" i="134" a="1"/>
  <c r="K222" i="134" a="1"/>
  <c r="K224" i="134" a="1"/>
  <c r="K226" i="134" a="1"/>
  <c r="K228" i="134" a="1"/>
  <c r="K230" i="134" a="1"/>
  <c r="K232" i="134" a="1"/>
  <c r="K234" i="134" a="1"/>
  <c r="K236" i="134" a="1"/>
  <c r="K238" i="134" a="1"/>
  <c r="K240" i="134" a="1"/>
  <c r="K242" i="134" a="1"/>
  <c r="K244" i="134" a="1"/>
  <c r="K246" i="134" a="1"/>
  <c r="K248" i="134" a="1"/>
  <c r="K250" i="134" a="1"/>
  <c r="K252" i="134" a="1"/>
  <c r="K254" i="134" a="1"/>
  <c r="K256" i="134" a="1"/>
  <c r="K258" i="134" a="1"/>
  <c r="K260" i="134" a="1"/>
  <c r="K262" i="134" a="1"/>
  <c r="K264" i="134" a="1"/>
  <c r="K266" i="134" a="1"/>
  <c r="K268" i="134" a="1"/>
  <c r="K270" i="134" a="1"/>
  <c r="K272" i="134" a="1"/>
  <c r="K274" i="134" a="1"/>
  <c r="K276" i="134" a="1"/>
  <c r="K278" i="134" a="1"/>
  <c r="K14" i="134" a="1"/>
  <c r="K18" i="134" a="1"/>
  <c r="K22" i="134" a="1"/>
  <c r="K26" i="134" a="1"/>
  <c r="K29" i="134" a="1"/>
  <c r="K34" i="134" a="1"/>
  <c r="K37" i="134" a="1"/>
  <c r="K42" i="134" a="1"/>
  <c r="K45" i="134" a="1"/>
  <c r="K50" i="134" a="1"/>
  <c r="K53" i="134" a="1"/>
  <c r="K58" i="134" a="1"/>
  <c r="K61" i="134" a="1"/>
  <c r="K66" i="134" a="1"/>
  <c r="K69" i="134" a="1"/>
  <c r="K74" i="134" a="1"/>
  <c r="K77" i="134" a="1"/>
  <c r="K82" i="134" a="1"/>
  <c r="K85" i="134" a="1"/>
  <c r="K90" i="134" a="1"/>
  <c r="K93" i="134" a="1"/>
  <c r="K98" i="134" a="1"/>
  <c r="K101" i="134" a="1"/>
  <c r="K106" i="134" a="1"/>
  <c r="K109" i="134" a="1"/>
  <c r="K114" i="134" a="1"/>
  <c r="K117" i="134" a="1"/>
  <c r="K122" i="134" a="1"/>
  <c r="K125" i="134" a="1"/>
  <c r="K130" i="134" a="1"/>
  <c r="K133" i="134" a="1"/>
  <c r="K138" i="134" a="1"/>
  <c r="K141" i="134" a="1"/>
  <c r="K146" i="134" a="1"/>
  <c r="K149" i="134" a="1"/>
  <c r="K154" i="134" a="1"/>
  <c r="K170" i="134" a="1"/>
  <c r="K243" i="134" a="1"/>
  <c r="K247" i="134" a="1"/>
  <c r="K251" i="134" a="1"/>
  <c r="K255" i="134" a="1"/>
  <c r="K259" i="134" a="1"/>
  <c r="K263" i="134" a="1"/>
  <c r="K267" i="134" a="1"/>
  <c r="K271" i="134" a="1"/>
  <c r="K275" i="134" a="1"/>
  <c r="K279" i="134" a="1"/>
  <c r="K282" i="134" a="1"/>
  <c r="K287" i="134" a="1"/>
  <c r="K290" i="134" a="1"/>
  <c r="K295" i="134" a="1"/>
  <c r="K298" i="134" a="1"/>
  <c r="K303" i="134" a="1"/>
  <c r="K306" i="134" a="1"/>
  <c r="K311" i="134" a="1"/>
  <c r="K314" i="134" a="1"/>
  <c r="K319" i="134" a="1"/>
  <c r="K322" i="134" a="1"/>
  <c r="K327" i="134" a="1"/>
  <c r="K330" i="134" a="1"/>
  <c r="K335" i="134" a="1"/>
  <c r="K338" i="134" a="1"/>
  <c r="K343" i="134" a="1"/>
  <c r="K346" i="134" a="1"/>
  <c r="K351" i="134" a="1"/>
  <c r="K354" i="134" a="1"/>
  <c r="K359" i="134" a="1"/>
  <c r="K362" i="134" a="1"/>
  <c r="K367" i="134" a="1"/>
  <c r="K370" i="134" a="1"/>
  <c r="K375" i="134" a="1"/>
  <c r="K378" i="134" a="1"/>
  <c r="K383" i="134" a="1"/>
  <c r="K386" i="134" a="1"/>
  <c r="K391" i="134" a="1"/>
  <c r="K394" i="134" a="1"/>
  <c r="K399" i="134" a="1"/>
  <c r="K402" i="134" a="1"/>
  <c r="K407" i="134" a="1"/>
  <c r="K410" i="134" a="1"/>
  <c r="K415" i="134" a="1"/>
  <c r="K418" i="134" a="1"/>
  <c r="K423" i="134" a="1"/>
  <c r="K165" i="134" a="1"/>
  <c r="K245" i="134" a="1"/>
  <c r="K249" i="134" a="1"/>
  <c r="K253" i="134" a="1"/>
  <c r="K257" i="134" a="1"/>
  <c r="K261" i="134" a="1"/>
  <c r="K265" i="134" a="1"/>
  <c r="K269" i="134" a="1"/>
  <c r="K273" i="134" a="1"/>
  <c r="K277" i="134" a="1"/>
  <c r="K283" i="134" a="1"/>
  <c r="K286" i="134" a="1"/>
  <c r="K291" i="134" a="1"/>
  <c r="K294" i="134" a="1"/>
  <c r="K299" i="134" a="1"/>
  <c r="K302" i="134" a="1"/>
  <c r="K307" i="134" a="1"/>
  <c r="K310" i="134" a="1"/>
  <c r="K315" i="134" a="1"/>
  <c r="K318" i="134" a="1"/>
  <c r="K323" i="134" a="1"/>
  <c r="K326" i="134" a="1"/>
  <c r="K331" i="134" a="1"/>
  <c r="K334" i="134" a="1"/>
  <c r="K339" i="134" a="1"/>
  <c r="K342" i="134" a="1"/>
  <c r="K347" i="134" a="1"/>
  <c r="K350" i="134" a="1"/>
  <c r="K355" i="134" a="1"/>
  <c r="K358" i="134" a="1"/>
  <c r="K363" i="134" a="1"/>
  <c r="K366" i="134" a="1"/>
  <c r="K371" i="134" a="1"/>
  <c r="K374" i="134" a="1"/>
  <c r="K379" i="134" a="1"/>
  <c r="K382" i="134" a="1"/>
  <c r="K387" i="134" a="1"/>
  <c r="K390" i="134" a="1"/>
  <c r="K395" i="134" a="1"/>
  <c r="K398" i="134" a="1"/>
  <c r="K403" i="134" a="1"/>
  <c r="K406" i="134" a="1"/>
  <c r="K411" i="134" a="1"/>
  <c r="K414" i="134" a="1"/>
  <c r="K419" i="134" a="1"/>
  <c r="K422" i="134" a="1"/>
  <c r="K157" i="134" a="1"/>
  <c r="K178" i="134" a="1"/>
  <c r="K281" i="134" a="1"/>
  <c r="K292" i="134" a="1"/>
  <c r="K297" i="134" a="1"/>
  <c r="K308" i="134" a="1"/>
  <c r="K313" i="134" a="1"/>
  <c r="K324" i="134" a="1"/>
  <c r="K329" i="134" a="1"/>
  <c r="K340" i="134" a="1"/>
  <c r="K345" i="134" a="1"/>
  <c r="K356" i="134" a="1"/>
  <c r="K361" i="134" a="1"/>
  <c r="K372" i="134" a="1"/>
  <c r="K377" i="134" a="1"/>
  <c r="K388" i="134" a="1"/>
  <c r="K404" i="134" a="1"/>
  <c r="K429" i="134" a="1"/>
  <c r="K433" i="134" a="1"/>
  <c r="K437" i="134" a="1"/>
  <c r="K441" i="134" a="1"/>
  <c r="K488" i="134" a="1"/>
  <c r="K500" i="134" a="1"/>
  <c r="K504" i="134" a="1"/>
  <c r="K508" i="134" a="1"/>
  <c r="K512" i="134" a="1"/>
  <c r="K516" i="134" a="1"/>
  <c r="K520" i="134" a="1"/>
  <c r="K524" i="134" a="1"/>
  <c r="K162" i="134" a="1"/>
  <c r="K288" i="134" a="1"/>
  <c r="K293" i="134" a="1"/>
  <c r="K304" i="134" a="1"/>
  <c r="K309" i="134" a="1"/>
  <c r="K320" i="134" a="1"/>
  <c r="K325" i="134" a="1"/>
  <c r="K336" i="134" a="1"/>
  <c r="K341" i="134" a="1"/>
  <c r="K352" i="134" a="1"/>
  <c r="K357" i="134" a="1"/>
  <c r="K368" i="134" a="1"/>
  <c r="K373" i="134" a="1"/>
  <c r="K384" i="134" a="1"/>
  <c r="K389" i="134" a="1"/>
  <c r="K400" i="134" a="1"/>
  <c r="K405" i="134" a="1"/>
  <c r="K416" i="134" a="1"/>
  <c r="K421" i="134" a="1"/>
  <c r="K426" i="134" a="1"/>
  <c r="K430" i="134" a="1"/>
  <c r="K434" i="134" a="1"/>
  <c r="K438" i="134" a="1"/>
  <c r="K442" i="134" a="1"/>
  <c r="K446" i="134" a="1"/>
  <c r="K450" i="134" a="1"/>
  <c r="K454" i="134" a="1"/>
  <c r="K458" i="134" a="1"/>
  <c r="K462" i="134" a="1"/>
  <c r="K466" i="134" a="1"/>
  <c r="K470" i="134" a="1"/>
  <c r="K474" i="134" a="1"/>
  <c r="K478" i="134" a="1"/>
  <c r="K401" i="134" a="1"/>
  <c r="K427" i="134" a="1"/>
  <c r="K435" i="134" a="1"/>
  <c r="K443" i="134" a="1"/>
  <c r="K447" i="134" a="1"/>
  <c r="K451" i="134" a="1"/>
  <c r="K459" i="134" a="1"/>
  <c r="K467" i="134" a="1"/>
  <c r="K475" i="134" a="1"/>
  <c r="K481" i="134" a="1"/>
  <c r="K487" i="134" a="1"/>
  <c r="K489" i="134" a="1"/>
  <c r="K493" i="134" a="1"/>
  <c r="K497" i="134" a="1"/>
  <c r="K503" i="134" a="1"/>
  <c r="K507" i="134" a="1"/>
  <c r="K511" i="134" a="1"/>
  <c r="K515" i="134" a="1"/>
  <c r="K519" i="134" a="1"/>
  <c r="K523" i="134" a="1"/>
  <c r="K284" i="134" a="1"/>
  <c r="K289" i="134" a="1"/>
  <c r="K300" i="134" a="1"/>
  <c r="K305" i="134" a="1"/>
  <c r="K316" i="134" a="1"/>
  <c r="K321" i="134" a="1"/>
  <c r="K332" i="134" a="1"/>
  <c r="K337" i="134" a="1"/>
  <c r="K348" i="134" a="1"/>
  <c r="K353" i="134" a="1"/>
  <c r="K364" i="134" a="1"/>
  <c r="K369" i="134" a="1"/>
  <c r="K380" i="134" a="1"/>
  <c r="K385" i="134" a="1"/>
  <c r="K396" i="134" a="1"/>
  <c r="K412" i="134" a="1"/>
  <c r="K417" i="134" a="1"/>
  <c r="K431" i="134" a="1"/>
  <c r="K439" i="134" a="1"/>
  <c r="K455" i="134" a="1"/>
  <c r="K463" i="134" a="1"/>
  <c r="K471" i="134" a="1"/>
  <c r="K483" i="134" a="1"/>
  <c r="K485" i="134" a="1"/>
  <c r="K491" i="134" a="1"/>
  <c r="K495" i="134" a="1"/>
  <c r="K499" i="134" a="1"/>
  <c r="K501" i="134" a="1"/>
  <c r="K505" i="134" a="1"/>
  <c r="K509" i="134" a="1"/>
  <c r="K513" i="134" a="1"/>
  <c r="K517" i="134" a="1"/>
  <c r="K521" i="134" a="1"/>
  <c r="K525" i="134" a="1"/>
  <c r="K173" i="134" a="1"/>
  <c r="K280" i="134" a="1"/>
  <c r="K285" i="134" a="1"/>
  <c r="K296" i="134" a="1"/>
  <c r="K301" i="134" a="1"/>
  <c r="K312" i="134" a="1"/>
  <c r="K317" i="134" a="1"/>
  <c r="K328" i="134" a="1"/>
  <c r="K333" i="134" a="1"/>
  <c r="K344" i="134" a="1"/>
  <c r="K349" i="134" a="1"/>
  <c r="K360" i="134" a="1"/>
  <c r="K365" i="134" a="1"/>
  <c r="K376" i="134" a="1"/>
  <c r="K381" i="134" a="1"/>
  <c r="K392" i="134" a="1"/>
  <c r="K397" i="134" a="1"/>
  <c r="K408" i="134" a="1"/>
  <c r="K413" i="134" a="1"/>
  <c r="K424" i="134" a="1"/>
  <c r="K428" i="134" a="1"/>
  <c r="K432" i="134" a="1"/>
  <c r="K436" i="134" a="1"/>
  <c r="K440" i="134" a="1"/>
  <c r="K444" i="134" a="1"/>
  <c r="K448" i="134" a="1"/>
  <c r="K452" i="134" a="1"/>
  <c r="K456" i="134" a="1"/>
  <c r="K460" i="134" a="1"/>
  <c r="K464" i="134" a="1"/>
  <c r="K468" i="134" a="1"/>
  <c r="K472" i="134" a="1"/>
  <c r="K476" i="134" a="1"/>
  <c r="K479" i="134" a="1"/>
  <c r="K393" i="134" a="1"/>
  <c r="K409" i="134" a="1"/>
  <c r="K420" i="134" a="1"/>
  <c r="K425" i="134" a="1"/>
  <c r="K445" i="134" a="1"/>
  <c r="K449" i="134" a="1"/>
  <c r="K453" i="134" a="1"/>
  <c r="K457" i="134" a="1"/>
  <c r="K461" i="134" a="1"/>
  <c r="K465" i="134" a="1"/>
  <c r="K469" i="134" a="1"/>
  <c r="K473" i="134" a="1"/>
  <c r="K477" i="134" a="1"/>
  <c r="K480" i="134" a="1"/>
  <c r="K482" i="134" a="1"/>
  <c r="K484" i="134" a="1"/>
  <c r="K486" i="134" a="1"/>
  <c r="K490" i="134" a="1"/>
  <c r="K492" i="134" a="1"/>
  <c r="K494" i="134" a="1"/>
  <c r="K496" i="134" a="1"/>
  <c r="K498" i="134" a="1"/>
  <c r="K502" i="134" a="1"/>
  <c r="K506" i="134" a="1"/>
  <c r="K510" i="134" a="1"/>
  <c r="K514" i="134" a="1"/>
  <c r="K518" i="134" a="1"/>
  <c r="K522" i="134" a="1"/>
  <c r="D102" i="145" a="1"/>
  <c r="D112" i="145" a="1"/>
  <c r="D251" i="145" a="1"/>
  <c r="D204" i="145" a="1"/>
  <c r="D22" i="145" a="1"/>
  <c r="D58" i="145" a="1"/>
  <c r="D100" i="145" a="1"/>
  <c r="D456" i="145" a="1"/>
  <c r="D121" i="145" a="1"/>
  <c r="D269" i="145" a="1"/>
  <c r="D223" i="145" a="1"/>
  <c r="D65" i="145" a="1"/>
  <c r="D221" i="145" a="1"/>
  <c r="D11" i="145" a="1"/>
  <c r="D113" i="145" a="1"/>
  <c r="D42" i="145" a="1"/>
  <c r="D424" i="145" a="1"/>
  <c r="D57" i="145" a="1"/>
  <c r="D21" i="145" a="1"/>
  <c r="D15" i="145" a="1"/>
  <c r="D80" i="145" a="1"/>
  <c r="D78" i="145" a="1"/>
  <c r="D104" i="145" a="1"/>
  <c r="D461" i="145" a="1"/>
  <c r="D122" i="145" a="1"/>
  <c r="D488" i="145" a="1"/>
  <c r="D318" i="145" a="1"/>
  <c r="D71" i="145" a="1"/>
  <c r="D69" i="145" a="1"/>
  <c r="D127" i="145" a="1"/>
  <c r="D249" i="145" a="1"/>
  <c r="D146" i="145" a="1"/>
  <c r="D283" i="145" a="1"/>
  <c r="D412" i="145" a="1"/>
  <c r="D40" i="145" a="1"/>
  <c r="D43" i="145" a="1"/>
  <c r="D384" i="145" a="1"/>
  <c r="D12" i="145" a="1"/>
  <c r="D394" i="145" a="1"/>
  <c r="D485" i="145" a="1"/>
  <c r="D398" i="145" a="1"/>
  <c r="D343" i="145" a="1"/>
  <c r="D428" i="145" a="1"/>
  <c r="D136" i="145" a="1"/>
  <c r="D14" i="145" a="1"/>
  <c r="D205" i="145" a="1"/>
  <c r="D240" i="145" a="1"/>
  <c r="D134" i="145" a="1"/>
  <c r="D46" i="145" a="1"/>
  <c r="D135" i="145" a="1"/>
  <c r="D117" i="145" a="1"/>
  <c r="D175" i="145" a="1"/>
  <c r="D311" i="145" a="1"/>
  <c r="D61" i="145" a="1"/>
  <c r="D55" i="145" a="1"/>
  <c r="D213" i="145" a="1"/>
  <c r="D242" i="145" a="1"/>
  <c r="D169" i="145" a="1"/>
  <c r="D218" i="145" a="1"/>
  <c r="D304" i="145" a="1"/>
  <c r="D239" i="145" a="1"/>
  <c r="D48" i="145" a="1"/>
  <c r="D108" i="145" a="1"/>
  <c r="D189" i="145" a="1"/>
  <c r="D224" i="145" a="1"/>
  <c r="D70" i="145" a="1"/>
  <c r="D352" i="145" a="1"/>
  <c r="D155" i="145" a="1"/>
  <c r="D23" i="145" a="1"/>
  <c r="D67" i="145" a="1"/>
  <c r="D25" i="145" a="1"/>
  <c r="D298" i="145" a="1"/>
  <c r="D7" i="145" a="1"/>
  <c r="D76" i="145" a="1"/>
  <c r="D47" i="145" a="1"/>
  <c r="D66" i="145" a="1"/>
  <c r="D203" i="145" a="1"/>
  <c r="D222" i="145" a="1"/>
  <c r="D275" i="145" a="1"/>
  <c r="D194" i="145" a="1"/>
  <c r="D59" i="145" a="1"/>
  <c r="D186" i="145" a="1"/>
  <c r="D270" i="145" a="1"/>
  <c r="D207" i="145" a="1"/>
  <c r="D292" i="145" a="1"/>
  <c r="D252" i="145" a="1"/>
  <c r="D149" i="145" a="1"/>
  <c r="D482" i="145" a="1"/>
  <c r="D128" i="145" a="1"/>
  <c r="D157" i="145" a="1"/>
  <c r="D187" i="145" a="1"/>
  <c r="D232" i="145" a="1"/>
  <c r="D31" i="145" a="1"/>
  <c r="D129" i="145" a="1"/>
  <c r="D18" i="145" a="1"/>
  <c r="D324" i="145" a="1"/>
  <c r="D170" i="145" a="1"/>
  <c r="D357" i="145" a="1"/>
  <c r="D196" i="145" a="1"/>
  <c r="D167" i="145" a="1"/>
  <c r="D323" i="145" a="1"/>
  <c r="D497" i="145" a="1"/>
  <c r="D111" i="145" a="1"/>
  <c r="D432" i="145" a="1"/>
  <c r="D73" i="145" a="1"/>
  <c r="D442" i="145" a="1"/>
  <c r="D119" i="145" a="1"/>
  <c r="D17" i="145" a="1"/>
  <c r="D29" i="145" a="1"/>
  <c r="D229" i="145" a="1"/>
  <c r="D248" i="145" a="1"/>
  <c r="D294" i="145" a="1"/>
  <c r="D107" i="145" a="1"/>
  <c r="D165" i="145" a="1"/>
  <c r="D261" i="145" a="1"/>
  <c r="D44" i="145" a="1"/>
  <c r="D465" i="145" a="1"/>
  <c r="D433" i="145" a="1"/>
  <c r="D371" i="145" a="1"/>
  <c r="D427" i="145" a="1"/>
  <c r="D90" i="145" a="1"/>
  <c r="D115" i="145" a="1"/>
  <c r="D262" i="145" a="1"/>
  <c r="D379" i="145" a="1"/>
  <c r="D312" i="145" a="1"/>
  <c r="D79" i="145" a="1"/>
  <c r="D214" i="145" a="1"/>
  <c r="D468" i="145" a="1"/>
  <c r="D483" i="145" a="1"/>
  <c r="D291" i="145" a="1"/>
  <c r="D417" i="145" a="1"/>
  <c r="D500" i="145" a="1"/>
  <c r="D297" i="145" a="1"/>
  <c r="D296" i="145" a="1"/>
  <c r="D344" i="145" a="1"/>
  <c r="D399" i="145" a="1"/>
  <c r="D50" i="145" a="1"/>
  <c r="D39" i="145" a="1"/>
  <c r="D299" i="145" a="1"/>
  <c r="D397" i="145" a="1"/>
  <c r="D472" i="145" a="1"/>
  <c r="D460" i="145" a="1"/>
  <c r="D453" i="145" a="1"/>
  <c r="K5" i="134" a="1"/>
  <c r="D176" i="145" a="1"/>
  <c r="D85" i="145" a="1"/>
  <c r="D466" i="145" a="1"/>
  <c r="D366" i="145" a="1"/>
  <c r="D365" i="145" a="1"/>
  <c r="D319" i="145" a="1"/>
  <c r="D372" i="145" a="1"/>
  <c r="D255" i="145" a="1"/>
  <c r="D473" i="145" a="1"/>
  <c r="D147" i="145" a="1"/>
  <c r="D144" i="145" a="1"/>
  <c r="D448" i="145" a="1"/>
  <c r="D173" i="145" a="1"/>
  <c r="D383" i="145" a="1"/>
  <c r="D228" i="145" a="1"/>
  <c r="D418" i="145" a="1"/>
  <c r="D188" i="145" a="1"/>
  <c r="D330" i="145" a="1"/>
  <c r="D306" i="145" a="1"/>
  <c r="D353" i="145" a="1"/>
  <c r="D139" i="145" a="1"/>
  <c r="D423" i="145" a="1"/>
  <c r="D375" i="145" a="1"/>
  <c r="D220" i="145" a="1"/>
  <c r="D364" i="145" a="1"/>
  <c r="D400" i="145" a="1"/>
  <c r="D470" i="145" a="1"/>
  <c r="D72" i="145" a="1"/>
  <c r="D94" i="145" a="1"/>
  <c r="D185" i="145" a="1"/>
  <c r="D151" i="145" a="1"/>
  <c r="D52" i="145" a="1"/>
  <c r="D327" i="145" a="1"/>
  <c r="D77" i="145" a="1"/>
  <c r="D347" i="145" a="1"/>
  <c r="D476" i="145" a="1"/>
  <c r="D160" i="145" a="1"/>
  <c r="D168" i="145" a="1"/>
  <c r="D125" i="145" a="1"/>
  <c r="D33" i="145" a="1"/>
  <c r="D314" i="145" a="1"/>
  <c r="D334" i="145" a="1"/>
  <c r="D131" i="145" a="1"/>
  <c r="D174" i="145" a="1"/>
  <c r="D64" i="145" a="1"/>
  <c r="D416" i="145" a="1"/>
  <c r="D109" i="145" a="1"/>
  <c r="D358" i="145" a="1"/>
  <c r="D462" i="145" a="1"/>
  <c r="D286" i="145" a="1"/>
  <c r="D245" i="145" a="1"/>
  <c r="D487" i="145" a="1"/>
  <c r="D452" i="145" a="1"/>
  <c r="D348" i="145" a="1"/>
  <c r="D321" i="145" a="1"/>
  <c r="D273" i="145" a="1"/>
  <c r="D449" i="145" a="1"/>
  <c r="D219" i="145" a="1"/>
  <c r="D419" i="145" a="1"/>
  <c r="D354" i="145" a="1"/>
  <c r="D454" i="145" a="1"/>
  <c r="D395" i="145" a="1"/>
  <c r="D317" i="145" a="1"/>
  <c r="D402" i="145" a="1"/>
  <c r="D230" i="145" a="1"/>
  <c r="D289" i="145" a="1"/>
  <c r="D277" i="145" a="1"/>
  <c r="D259" i="145" a="1"/>
  <c r="D225" i="145" a="1"/>
  <c r="D180" i="145" a="1"/>
  <c r="D164" i="145" a="1"/>
  <c r="D302" i="145" a="1"/>
  <c r="D256" i="145" a="1"/>
  <c r="D263" i="145" a="1"/>
  <c r="D439" i="145" a="1"/>
  <c r="D422" i="145" a="1"/>
  <c r="D447" i="145" a="1"/>
  <c r="D143" i="145" a="1"/>
  <c r="D236" i="145" a="1"/>
  <c r="D332" i="145" a="1"/>
  <c r="D478" i="145" a="1"/>
  <c r="D361" i="145" a="1"/>
  <c r="D322" i="145" a="1"/>
  <c r="D260" i="145" a="1"/>
  <c r="D446" i="145" a="1"/>
  <c r="D293" i="145" a="1"/>
  <c r="D28" i="145" a="1"/>
  <c r="D328" i="145" a="1"/>
  <c r="D140" i="145" a="1"/>
  <c r="D95" i="145" a="1"/>
  <c r="D114" i="145" a="1"/>
  <c r="D380" i="145" a="1"/>
  <c r="D93" i="145" a="1"/>
  <c r="D284" i="145" a="1"/>
  <c r="D156" i="145" a="1"/>
  <c r="D130" i="145" a="1"/>
  <c r="D56" i="145" a="1"/>
  <c r="D363" i="145" a="1"/>
  <c r="D184" i="145" a="1"/>
  <c r="D182" i="145" a="1"/>
  <c r="D385" i="145" a="1"/>
  <c r="D16" i="145" a="1"/>
  <c r="D360" i="145" a="1"/>
  <c r="D83" i="145" a="1"/>
  <c r="D30" i="145" a="1"/>
  <c r="D74" i="145" a="1"/>
  <c r="D116" i="145" a="1"/>
  <c r="D464" i="145" a="1"/>
  <c r="D137" i="145" a="1"/>
  <c r="D474" i="145" a="1"/>
  <c r="D227" i="145" a="1"/>
  <c r="D123" i="145" a="1"/>
  <c r="D231" i="145" a="1"/>
  <c r="D241" i="145" a="1"/>
  <c r="D34" i="145" a="1"/>
  <c r="D435" i="145" a="1"/>
  <c r="D271" i="145" a="1"/>
  <c r="D340" i="145" a="1"/>
  <c r="D9" i="145" a="1"/>
  <c r="D377" i="145" a="1"/>
  <c r="K8" i="134" a="1"/>
  <c r="D373" i="145" a="1"/>
  <c r="K9" i="134" a="1"/>
  <c r="D124" i="145" a="1"/>
  <c r="D98" i="145" a="1"/>
  <c r="D393" i="145" a="1"/>
  <c r="D217" i="145" a="1"/>
  <c r="D285" i="145" a="1"/>
  <c r="D307" i="145" a="1"/>
  <c r="D415" i="145" a="1"/>
  <c r="D308" i="145" a="1"/>
  <c r="D244" i="145" a="1"/>
  <c r="D86" i="145" a="1"/>
  <c r="D335" i="145" a="1"/>
  <c r="D250" i="145" a="1"/>
  <c r="D325" i="145" a="1"/>
  <c r="D257" i="145" a="1"/>
  <c r="D382" i="145" a="1"/>
  <c r="D331" i="145" a="1"/>
  <c r="D494" i="145" a="1"/>
  <c r="K4" i="134" a="1"/>
  <c r="D471" i="145" a="1"/>
  <c r="D211" i="145" a="1"/>
  <c r="D126" i="145" a="1"/>
  <c r="D481" i="145" a="1"/>
  <c r="D374" i="145" a="1"/>
  <c r="D279" i="145" a="1"/>
  <c r="D195" i="145" a="1"/>
  <c r="D264" i="145" a="1"/>
  <c r="D484" i="145" a="1"/>
  <c r="D391" i="145" a="1"/>
  <c r="D32" i="145" a="1"/>
  <c r="D234" i="145" a="1"/>
  <c r="D486" i="145" a="1"/>
  <c r="D387" i="145" a="1"/>
  <c r="D303" i="145" a="1"/>
  <c r="D20" i="145" a="1"/>
  <c r="D62" i="145" a="1"/>
  <c r="D161" i="145" a="1"/>
  <c r="D152" i="145" a="1"/>
  <c r="D410" i="145" a="1"/>
  <c r="D171" i="145" a="1"/>
  <c r="D190" i="145" a="1"/>
  <c r="D301" i="145" a="1"/>
  <c r="D326" i="145" a="1"/>
  <c r="D183" i="145" a="1"/>
  <c r="D53" i="145" a="1"/>
  <c r="D370" i="145" a="1"/>
  <c r="D133" i="145" a="1"/>
  <c r="D193" i="145" a="1"/>
  <c r="D266" i="145" a="1"/>
  <c r="D451" i="145" a="1"/>
  <c r="D215" i="145" a="1"/>
  <c r="D305" i="145" a="1"/>
  <c r="D96" i="145" a="1"/>
  <c r="D142" i="145" a="1"/>
  <c r="D120" i="145" a="1"/>
  <c r="D477" i="145" a="1"/>
  <c r="D141" i="145" a="1"/>
  <c r="D75" i="145" a="1"/>
  <c r="D287" i="145" a="1"/>
  <c r="D288" i="145" a="1"/>
  <c r="D99" i="145" a="1"/>
  <c r="D212" i="145" a="1"/>
  <c r="D97" i="145" a="1"/>
  <c r="D88" i="145" a="1"/>
  <c r="D426" i="145" a="1"/>
  <c r="D341" i="145" a="1"/>
  <c r="D68" i="145" a="1"/>
  <c r="D499" i="145" a="1"/>
  <c r="D434" i="145" a="1"/>
  <c r="D278" i="145" a="1"/>
  <c r="D339" i="145" a="1"/>
  <c r="D4" i="145" a="1"/>
  <c r="D430" i="145" a="1"/>
  <c r="D154" i="145" a="1"/>
  <c r="D450" i="145" a="1"/>
  <c r="D342" i="145" a="1"/>
  <c r="D238" i="145" a="1"/>
  <c r="D463" i="145" a="1"/>
  <c r="D337" i="145" a="1"/>
  <c r="D459" i="145" a="1"/>
  <c r="D420" i="145" a="1"/>
  <c r="D209" i="145" a="1"/>
  <c r="D475" i="145" a="1"/>
  <c r="D226" i="145" a="1"/>
  <c r="D336" i="145" a="1"/>
  <c r="D367" i="145" a="1"/>
  <c r="D89" i="145" a="1"/>
  <c r="D407" i="145" a="1"/>
  <c r="D403" i="145" a="1"/>
  <c r="D290" i="145" a="1"/>
  <c r="D445" i="145" a="1"/>
  <c r="D492" i="145" a="1"/>
  <c r="D87" i="145" a="1"/>
  <c r="D162" i="145" a="1"/>
  <c r="D409" i="145" a="1"/>
  <c r="D389" i="145" a="1"/>
  <c r="D386" i="145" a="1"/>
  <c r="D320" i="145" a="1"/>
  <c r="D396" i="145" a="1"/>
  <c r="D421" i="145" a="1"/>
  <c r="D210" i="145" a="1"/>
  <c r="D6" i="145" a="1"/>
  <c r="D199" i="145" a="1"/>
  <c r="D235" i="145" a="1"/>
  <c r="D105" i="145" a="1"/>
  <c r="D313" i="145" a="1"/>
  <c r="D309" i="145" a="1"/>
  <c r="D390" i="145" a="1"/>
  <c r="D369" i="145" a="1"/>
  <c r="D179" i="145" a="1"/>
  <c r="D411" i="145" a="1"/>
  <c r="D413" i="145" a="1"/>
  <c r="D163" i="145" a="1"/>
  <c r="D438" i="145" a="1"/>
  <c r="D268" i="145" a="1"/>
  <c r="D26" i="145" a="1"/>
  <c r="D254" i="145" a="1"/>
  <c r="K7" i="134" a="1"/>
  <c r="D110" i="145" a="1"/>
  <c r="D368" i="145" a="1"/>
  <c r="D274" i="145" a="1"/>
  <c r="D197" i="145" a="1"/>
  <c r="D315" i="145" a="1"/>
  <c r="D440" i="145" a="1"/>
  <c r="D41" i="145" a="1"/>
  <c r="D404" i="145" a="1"/>
  <c r="D166" i="145" a="1"/>
  <c r="D436" i="145" a="1"/>
  <c r="D345" i="145" a="1"/>
  <c r="D10" i="145" a="1"/>
  <c r="D458" i="145" a="1"/>
  <c r="D181" i="145" a="1"/>
  <c r="D38" i="145" a="1"/>
  <c r="D414" i="145" a="1"/>
  <c r="D54" i="145" a="1"/>
  <c r="D81" i="145" a="1"/>
  <c r="D37" i="145" a="1"/>
  <c r="D13" i="145" a="1"/>
  <c r="D148" i="145" a="1"/>
  <c r="D91" i="145" a="1"/>
  <c r="D198" i="145" a="1"/>
  <c r="D92" i="145" a="1"/>
  <c r="D82" i="145" a="1"/>
  <c r="D103" i="145" a="1"/>
  <c r="D267" i="145" a="1"/>
  <c r="D346" i="145" a="1"/>
  <c r="D177" i="145" a="1"/>
  <c r="D246" i="145" a="1"/>
  <c r="D310" i="145" a="1"/>
  <c r="D200" i="145" a="1"/>
  <c r="D132" i="145" a="1"/>
  <c r="D437" i="145" a="1"/>
  <c r="D388" i="145" a="1"/>
  <c r="D495" i="145" a="1"/>
  <c r="D118" i="145" a="1"/>
  <c r="D45" i="145" a="1"/>
  <c r="D381" i="145" a="1"/>
  <c r="D172" i="145" a="1"/>
  <c r="D429" i="145" a="1"/>
  <c r="D158" i="145" a="1"/>
  <c r="D457" i="145" a="1"/>
  <c r="D153" i="145" a="1"/>
  <c r="D455" i="145" a="1"/>
  <c r="D178" i="145" a="1"/>
  <c r="D24" i="145" a="1"/>
  <c r="D106" i="145" a="1"/>
  <c r="D282" i="145" a="1"/>
  <c r="D490" i="145" a="1"/>
  <c r="D49" i="145" a="1"/>
  <c r="D138" i="145" a="1"/>
  <c r="D329" i="145" a="1"/>
  <c r="D253" i="145" a="1"/>
  <c r="D5" i="145" a="1"/>
  <c r="D295" i="145" a="1"/>
  <c r="D216" i="145" a="1"/>
  <c r="D237" i="145" a="1"/>
  <c r="D281" i="145" a="1"/>
  <c r="D479" i="145" a="1"/>
  <c r="D469" i="145" a="1"/>
  <c r="D276" i="145" a="1"/>
  <c r="D84" i="145" a="1"/>
  <c r="D443" i="145" a="1"/>
  <c r="D408" i="145" a="1"/>
  <c r="D378" i="145" a="1"/>
  <c r="D406" i="145" a="1"/>
  <c r="D272" i="145" a="1"/>
  <c r="D351" i="145" a="1"/>
  <c r="D498" i="145" a="1"/>
  <c r="D441" i="145" a="1"/>
  <c r="D349" i="145" a="1"/>
  <c r="D247" i="145" a="1"/>
  <c r="D493" i="145" a="1"/>
  <c r="D36" i="145" a="1"/>
  <c r="D202" i="145" a="1"/>
  <c r="D27" i="145" a="1"/>
  <c r="D208" i="145" a="1"/>
  <c r="D480" i="145" a="1"/>
  <c r="D265" i="145" a="1"/>
  <c r="D491" i="145" a="1"/>
  <c r="D392" i="145" a="1"/>
  <c r="D63" i="145" a="1"/>
  <c r="D338" i="145" a="1"/>
  <c r="D8" i="145" a="1"/>
  <c r="D159" i="145" a="1"/>
  <c r="D362" i="145" a="1"/>
  <c r="D444" i="145" a="1"/>
  <c r="K6" i="134" a="1"/>
  <c r="D201" i="145" a="1"/>
  <c r="D350" i="145" a="1"/>
  <c r="D51" i="145" a="1"/>
  <c r="D489" i="145" a="1"/>
  <c r="D316" i="145" a="1"/>
  <c r="D35" i="145" a="1"/>
  <c r="D333" i="145" a="1"/>
  <c r="D258" i="145" a="1"/>
  <c r="D467" i="145" a="1"/>
  <c r="D356" i="145" a="1"/>
  <c r="D145" i="145" a="1"/>
  <c r="D425" i="145" a="1"/>
  <c r="D405" i="145" a="1"/>
  <c r="D191" i="145" a="1"/>
  <c r="D60" i="145" a="1"/>
  <c r="D243" i="145" a="1"/>
  <c r="D206" i="145" a="1"/>
  <c r="D496" i="145" a="1"/>
  <c r="D101" i="145" a="1"/>
  <c r="D19" i="145" a="1"/>
  <c r="D401" i="145" a="1"/>
  <c r="D359" i="145" a="1"/>
  <c r="D150" i="145" a="1"/>
  <c r="D355" i="145" a="1"/>
  <c r="D300" i="145" a="1"/>
  <c r="D376" i="145" a="1"/>
  <c r="D192" i="145" a="1"/>
  <c r="D280" i="145" a="1"/>
  <c r="D233" i="145" a="1"/>
  <c r="D431" i="145" a="1"/>
  <c r="F525" i="134" l="1"/>
  <c r="F523" i="134"/>
  <c r="F515" i="134"/>
  <c r="F507" i="134"/>
  <c r="F499" i="134"/>
  <c r="F486" i="134"/>
  <c r="F483" i="134"/>
  <c r="F467" i="134"/>
  <c r="F459" i="134"/>
  <c r="F451" i="134"/>
  <c r="F443" i="134"/>
  <c r="F438" i="134"/>
  <c r="F429" i="134"/>
  <c r="F421" i="134"/>
  <c r="F309" i="134"/>
  <c r="F520" i="134"/>
  <c r="F517" i="134"/>
  <c r="F512" i="134"/>
  <c r="F509" i="134"/>
  <c r="F504" i="134"/>
  <c r="F501" i="134"/>
  <c r="F496" i="134"/>
  <c r="F493" i="134"/>
  <c r="F488" i="134"/>
  <c r="F485" i="134"/>
  <c r="F480" i="134"/>
  <c r="F477" i="134"/>
  <c r="F472" i="134"/>
  <c r="F469" i="134"/>
  <c r="F464" i="134"/>
  <c r="F461" i="134"/>
  <c r="F456" i="134"/>
  <c r="F453" i="134"/>
  <c r="F448" i="134"/>
  <c r="F445" i="134"/>
  <c r="F440" i="134"/>
  <c r="F437" i="134"/>
  <c r="F432" i="134"/>
  <c r="F395" i="134"/>
  <c r="F387" i="134"/>
  <c r="F379" i="134"/>
  <c r="F371" i="134"/>
  <c r="F363" i="134"/>
  <c r="F355" i="134"/>
  <c r="F347" i="134"/>
  <c r="F339" i="134"/>
  <c r="F331" i="134"/>
  <c r="F323" i="134"/>
  <c r="F315" i="134"/>
  <c r="F307" i="134"/>
  <c r="F299" i="134"/>
  <c r="F291" i="134"/>
  <c r="F283" i="134"/>
  <c r="F275" i="134"/>
  <c r="F518" i="134"/>
  <c r="F502" i="134"/>
  <c r="F494" i="134"/>
  <c r="F491" i="134"/>
  <c r="F478" i="134"/>
  <c r="F470" i="134"/>
  <c r="F462" i="134"/>
  <c r="F446" i="134"/>
  <c r="F417" i="134"/>
  <c r="F317" i="134"/>
  <c r="F522" i="134"/>
  <c r="F519" i="134"/>
  <c r="F514" i="134"/>
  <c r="F511" i="134"/>
  <c r="F506" i="134"/>
  <c r="F503" i="134"/>
  <c r="F498" i="134"/>
  <c r="F495" i="134"/>
  <c r="F490" i="134"/>
  <c r="F487" i="134"/>
  <c r="F482" i="134"/>
  <c r="F479" i="134"/>
  <c r="F474" i="134"/>
  <c r="F471" i="134"/>
  <c r="F466" i="134"/>
  <c r="F463" i="134"/>
  <c r="F458" i="134"/>
  <c r="F455" i="134"/>
  <c r="F450" i="134"/>
  <c r="F447" i="134"/>
  <c r="F442" i="134"/>
  <c r="F439" i="134"/>
  <c r="F434" i="134"/>
  <c r="F431" i="134"/>
  <c r="F427" i="134"/>
  <c r="F423" i="134"/>
  <c r="F419" i="134"/>
  <c r="F415" i="134"/>
  <c r="F411" i="134"/>
  <c r="F407" i="134"/>
  <c r="F403" i="134"/>
  <c r="F399" i="134"/>
  <c r="F393" i="134"/>
  <c r="F385" i="134"/>
  <c r="F377" i="134"/>
  <c r="F369" i="134"/>
  <c r="F361" i="134"/>
  <c r="F353" i="134"/>
  <c r="F345" i="134"/>
  <c r="F337" i="134"/>
  <c r="F329" i="134"/>
  <c r="F321" i="134"/>
  <c r="F313" i="134"/>
  <c r="F305" i="134"/>
  <c r="F297" i="134"/>
  <c r="F289" i="134"/>
  <c r="F281" i="134"/>
  <c r="F273" i="134"/>
  <c r="F524" i="134"/>
  <c r="F521" i="134"/>
  <c r="F516" i="134"/>
  <c r="F513" i="134"/>
  <c r="F508" i="134"/>
  <c r="F505" i="134"/>
  <c r="F500" i="134"/>
  <c r="F497" i="134"/>
  <c r="F492" i="134"/>
  <c r="F489" i="134"/>
  <c r="F484" i="134"/>
  <c r="F481" i="134"/>
  <c r="F476" i="134"/>
  <c r="F473" i="134"/>
  <c r="F468" i="134"/>
  <c r="F465" i="134"/>
  <c r="F460" i="134"/>
  <c r="F457" i="134"/>
  <c r="F452" i="134"/>
  <c r="F449" i="134"/>
  <c r="F444" i="134"/>
  <c r="F441" i="134"/>
  <c r="F436" i="134"/>
  <c r="F433" i="134"/>
  <c r="F391" i="134"/>
  <c r="F383" i="134"/>
  <c r="F375" i="134"/>
  <c r="F367" i="134"/>
  <c r="F359" i="134"/>
  <c r="F351" i="134"/>
  <c r="F343" i="134"/>
  <c r="F335" i="134"/>
  <c r="F327" i="134"/>
  <c r="F319" i="134"/>
  <c r="F311" i="134"/>
  <c r="F303" i="134"/>
  <c r="F295" i="134"/>
  <c r="F287" i="134"/>
  <c r="F279" i="134"/>
  <c r="F271" i="134"/>
  <c r="F510" i="134"/>
  <c r="F475" i="134"/>
  <c r="F454" i="134"/>
  <c r="F435" i="134"/>
  <c r="F425" i="134"/>
  <c r="F413" i="134"/>
  <c r="F409" i="134"/>
  <c r="F405" i="134"/>
  <c r="F401" i="134"/>
  <c r="F397" i="134"/>
  <c r="F389" i="134"/>
  <c r="F381" i="134"/>
  <c r="F373" i="134"/>
  <c r="F365" i="134"/>
  <c r="F357" i="134"/>
  <c r="F349" i="134"/>
  <c r="F341" i="134"/>
  <c r="F333" i="134"/>
  <c r="F325" i="134"/>
  <c r="F301" i="134"/>
  <c r="F293" i="134"/>
  <c r="F285" i="134"/>
  <c r="F277" i="134"/>
  <c r="F269" i="134"/>
  <c r="F430" i="134"/>
  <c r="F428" i="134"/>
  <c r="F426" i="134"/>
  <c r="F424" i="134"/>
  <c r="F422" i="134"/>
  <c r="F420" i="134"/>
  <c r="F418" i="134"/>
  <c r="F414" i="134"/>
  <c r="F412" i="134"/>
  <c r="F410" i="134"/>
  <c r="F408" i="134"/>
  <c r="F406" i="134"/>
  <c r="F404" i="134"/>
  <c r="F402" i="134"/>
  <c r="F400" i="134"/>
  <c r="F398" i="134"/>
  <c r="F394" i="134"/>
  <c r="F392" i="134"/>
  <c r="F390" i="134"/>
  <c r="F388" i="134"/>
  <c r="F386" i="134"/>
  <c r="F384" i="134"/>
  <c r="F382" i="134"/>
  <c r="F380" i="134"/>
  <c r="F378" i="134"/>
  <c r="F376" i="134"/>
  <c r="F374" i="134"/>
  <c r="F372" i="134"/>
  <c r="F370" i="134"/>
  <c r="F368" i="134"/>
  <c r="F366" i="134"/>
  <c r="F364" i="134"/>
  <c r="F362" i="134"/>
  <c r="F360" i="134"/>
  <c r="F358" i="134"/>
  <c r="F356" i="134"/>
  <c r="F354" i="134"/>
  <c r="F352" i="134"/>
  <c r="F350" i="134"/>
  <c r="F348" i="134"/>
  <c r="F346" i="134"/>
  <c r="F344" i="134"/>
  <c r="F342" i="134"/>
  <c r="F340" i="134"/>
  <c r="F338" i="134"/>
  <c r="F336" i="134"/>
  <c r="F334" i="134"/>
  <c r="F332" i="134"/>
  <c r="F330" i="134"/>
  <c r="F328" i="134"/>
  <c r="F326" i="134"/>
  <c r="F324" i="134"/>
  <c r="F322" i="134"/>
  <c r="F320" i="134"/>
  <c r="F318" i="134"/>
  <c r="F316" i="134"/>
  <c r="F314" i="134"/>
  <c r="F312" i="134"/>
  <c r="F310" i="134"/>
  <c r="F308" i="134"/>
  <c r="F306" i="134"/>
  <c r="F304" i="134"/>
  <c r="F302" i="134"/>
  <c r="F300" i="134"/>
  <c r="F298" i="134"/>
  <c r="F296" i="134"/>
  <c r="F294" i="134"/>
  <c r="F292" i="134"/>
  <c r="F290" i="134"/>
  <c r="F288" i="134"/>
  <c r="F286" i="134"/>
  <c r="F284" i="134"/>
  <c r="F282" i="134"/>
  <c r="F280" i="134"/>
  <c r="F278" i="134"/>
  <c r="F276" i="134"/>
  <c r="F274" i="134"/>
  <c r="F272" i="134"/>
  <c r="F270" i="134"/>
  <c r="F268" i="134"/>
  <c r="F266" i="134"/>
  <c r="F264" i="134"/>
  <c r="F259" i="134"/>
  <c r="F256" i="134"/>
  <c r="F251" i="134"/>
  <c r="F248" i="134"/>
  <c r="F245" i="134"/>
  <c r="F241" i="134"/>
  <c r="F237" i="134"/>
  <c r="F233" i="134"/>
  <c r="F229" i="134"/>
  <c r="F225" i="134"/>
  <c r="F221" i="134"/>
  <c r="F217" i="134"/>
  <c r="F213" i="134"/>
  <c r="F209" i="134"/>
  <c r="F205" i="134"/>
  <c r="F201" i="134"/>
  <c r="F197" i="134"/>
  <c r="F193" i="134"/>
  <c r="F189" i="134"/>
  <c r="F185" i="134"/>
  <c r="F181" i="134"/>
  <c r="F177" i="134"/>
  <c r="F416" i="134"/>
  <c r="F396" i="134"/>
  <c r="F261" i="134"/>
  <c r="F258" i="134"/>
  <c r="F253" i="134"/>
  <c r="F250" i="134"/>
  <c r="F244" i="134"/>
  <c r="F240" i="134"/>
  <c r="F236" i="134"/>
  <c r="F232" i="134"/>
  <c r="F228" i="134"/>
  <c r="F224" i="134"/>
  <c r="F220" i="134"/>
  <c r="F216" i="134"/>
  <c r="F212" i="134"/>
  <c r="F208" i="134"/>
  <c r="F204" i="134"/>
  <c r="F200" i="134"/>
  <c r="F196" i="134"/>
  <c r="F192" i="134"/>
  <c r="F188" i="134"/>
  <c r="F184" i="134"/>
  <c r="F180" i="134"/>
  <c r="F176" i="134"/>
  <c r="F171" i="134"/>
  <c r="F267" i="134"/>
  <c r="F265" i="134"/>
  <c r="F263" i="134"/>
  <c r="F260" i="134"/>
  <c r="F255" i="134"/>
  <c r="F252" i="134"/>
  <c r="F247" i="134"/>
  <c r="F243" i="134"/>
  <c r="F239" i="134"/>
  <c r="F235" i="134"/>
  <c r="F231" i="134"/>
  <c r="F227" i="134"/>
  <c r="F223" i="134"/>
  <c r="F219" i="134"/>
  <c r="F215" i="134"/>
  <c r="F211" i="134"/>
  <c r="F207" i="134"/>
  <c r="F203" i="134"/>
  <c r="F199" i="134"/>
  <c r="F195" i="134"/>
  <c r="F191" i="134"/>
  <c r="F187" i="134"/>
  <c r="F183" i="134"/>
  <c r="F179" i="134"/>
  <c r="F175" i="134"/>
  <c r="F170" i="134"/>
  <c r="F262" i="134"/>
  <c r="F257" i="134"/>
  <c r="F254" i="134"/>
  <c r="F249" i="134"/>
  <c r="F246" i="134"/>
  <c r="F242" i="134"/>
  <c r="F238" i="134"/>
  <c r="F234" i="134"/>
  <c r="F230" i="134"/>
  <c r="F226" i="134"/>
  <c r="F222" i="134"/>
  <c r="F218" i="134"/>
  <c r="F214" i="134"/>
  <c r="F210" i="134"/>
  <c r="F206" i="134"/>
  <c r="F202" i="134"/>
  <c r="F198" i="134"/>
  <c r="F194" i="134"/>
  <c r="F190" i="134"/>
  <c r="F186" i="134"/>
  <c r="F182" i="134"/>
  <c r="F178" i="134"/>
  <c r="F174" i="134"/>
  <c r="F167" i="134"/>
  <c r="F162" i="134"/>
  <c r="F159" i="134"/>
  <c r="F154" i="134"/>
  <c r="F151" i="134"/>
  <c r="F146" i="134"/>
  <c r="F143" i="134"/>
  <c r="F138" i="134"/>
  <c r="F135" i="134"/>
  <c r="F130" i="134"/>
  <c r="F127" i="134"/>
  <c r="F122" i="134"/>
  <c r="F119" i="134"/>
  <c r="F114" i="134"/>
  <c r="F111" i="134"/>
  <c r="F106" i="134"/>
  <c r="F103" i="134"/>
  <c r="F98" i="134"/>
  <c r="F95" i="134"/>
  <c r="F90" i="134"/>
  <c r="F87" i="134"/>
  <c r="F82" i="134"/>
  <c r="F79" i="134"/>
  <c r="F74" i="134"/>
  <c r="F71" i="134"/>
  <c r="F66" i="134"/>
  <c r="F63" i="134"/>
  <c r="F172" i="134"/>
  <c r="F169" i="134"/>
  <c r="F164" i="134"/>
  <c r="F161" i="134"/>
  <c r="F156" i="134"/>
  <c r="F153" i="134"/>
  <c r="F148" i="134"/>
  <c r="F145" i="134"/>
  <c r="F140" i="134"/>
  <c r="F137" i="134"/>
  <c r="F132" i="134"/>
  <c r="F129" i="134"/>
  <c r="F124" i="134"/>
  <c r="F121" i="134"/>
  <c r="F116" i="134"/>
  <c r="F113" i="134"/>
  <c r="F108" i="134"/>
  <c r="F105" i="134"/>
  <c r="F100" i="134"/>
  <c r="F97" i="134"/>
  <c r="F92" i="134"/>
  <c r="F89" i="134"/>
  <c r="F84" i="134"/>
  <c r="F81" i="134"/>
  <c r="F76" i="134"/>
  <c r="F73" i="134"/>
  <c r="F68" i="134"/>
  <c r="F65" i="134"/>
  <c r="F166" i="134"/>
  <c r="F163" i="134"/>
  <c r="F158" i="134"/>
  <c r="F155" i="134"/>
  <c r="F150" i="134"/>
  <c r="F147" i="134"/>
  <c r="F142" i="134"/>
  <c r="F139" i="134"/>
  <c r="F134" i="134"/>
  <c r="F131" i="134"/>
  <c r="F126" i="134"/>
  <c r="F123" i="134"/>
  <c r="F118" i="134"/>
  <c r="F115" i="134"/>
  <c r="F110" i="134"/>
  <c r="F107" i="134"/>
  <c r="F102" i="134"/>
  <c r="F99" i="134"/>
  <c r="F94" i="134"/>
  <c r="F91" i="134"/>
  <c r="F86" i="134"/>
  <c r="F83" i="134"/>
  <c r="F78" i="134"/>
  <c r="F75" i="134"/>
  <c r="F70" i="134"/>
  <c r="F67" i="134"/>
  <c r="F62" i="134"/>
  <c r="F173" i="134"/>
  <c r="F168" i="134"/>
  <c r="F165" i="134"/>
  <c r="F160" i="134"/>
  <c r="F157" i="134"/>
  <c r="F152" i="134"/>
  <c r="F149" i="134"/>
  <c r="F144" i="134"/>
  <c r="F141" i="134"/>
  <c r="F136" i="134"/>
  <c r="F133" i="134"/>
  <c r="F128" i="134"/>
  <c r="F125" i="134"/>
  <c r="F120" i="134"/>
  <c r="F117" i="134"/>
  <c r="F112" i="134"/>
  <c r="F109" i="134"/>
  <c r="F104" i="134"/>
  <c r="F101" i="134"/>
  <c r="F96" i="134"/>
  <c r="F93" i="134"/>
  <c r="F88" i="134"/>
  <c r="F85" i="134"/>
  <c r="F80" i="134"/>
  <c r="F77" i="134"/>
  <c r="F72" i="134"/>
  <c r="F69" i="134"/>
  <c r="F64" i="134"/>
  <c r="F61" i="134"/>
  <c r="F60" i="134"/>
  <c r="F58" i="134"/>
  <c r="F56" i="134"/>
  <c r="F54" i="134"/>
  <c r="F52" i="134"/>
  <c r="F50" i="134"/>
  <c r="F48" i="134"/>
  <c r="F46" i="134"/>
  <c r="F44" i="134"/>
  <c r="F42" i="134"/>
  <c r="F40" i="134"/>
  <c r="F38" i="134"/>
  <c r="F36" i="134"/>
  <c r="F34" i="134"/>
  <c r="F32" i="134"/>
  <c r="F30" i="134"/>
  <c r="F28" i="134"/>
  <c r="F26" i="134"/>
  <c r="F24" i="134"/>
  <c r="F22" i="134"/>
  <c r="F20" i="134"/>
  <c r="F18" i="134"/>
  <c r="F16" i="134"/>
  <c r="F14" i="134"/>
  <c r="F12" i="134"/>
  <c r="F10" i="134"/>
  <c r="F8" i="134"/>
  <c r="F6" i="134"/>
  <c r="F59" i="134"/>
  <c r="F57" i="134"/>
  <c r="F55" i="134"/>
  <c r="F53" i="134"/>
  <c r="F51" i="134"/>
  <c r="F49" i="134"/>
  <c r="F47" i="134"/>
  <c r="F45" i="134"/>
  <c r="F43" i="134"/>
  <c r="F41" i="134"/>
  <c r="F39" i="134"/>
  <c r="F37" i="134"/>
  <c r="F35" i="134"/>
  <c r="F33" i="134"/>
  <c r="F31" i="134"/>
  <c r="F29" i="134"/>
  <c r="F27" i="134"/>
  <c r="F25" i="134"/>
  <c r="F23" i="134"/>
  <c r="F21" i="134"/>
  <c r="F19" i="134"/>
  <c r="F17" i="134"/>
  <c r="F15" i="134"/>
  <c r="F13" i="134"/>
  <c r="F11" i="134"/>
  <c r="F9" i="134"/>
  <c r="F7" i="134"/>
  <c r="F5" i="134"/>
  <c r="F4" i="134"/>
  <c r="K522" i="134"/>
  <c r="K518" i="134"/>
  <c r="K514" i="134"/>
  <c r="K510" i="134"/>
  <c r="K506" i="134"/>
  <c r="K502" i="134"/>
  <c r="K498" i="134"/>
  <c r="K496" i="134"/>
  <c r="K494" i="134"/>
  <c r="K492" i="134"/>
  <c r="K490" i="134"/>
  <c r="K486" i="134"/>
  <c r="K484" i="134"/>
  <c r="K482" i="134"/>
  <c r="K480" i="134"/>
  <c r="K477" i="134"/>
  <c r="K473" i="134"/>
  <c r="K469" i="134"/>
  <c r="K465" i="134"/>
  <c r="K461" i="134"/>
  <c r="K457" i="134"/>
  <c r="K453" i="134"/>
  <c r="K449" i="134"/>
  <c r="K445" i="134"/>
  <c r="K425" i="134"/>
  <c r="K420" i="134"/>
  <c r="K409" i="134"/>
  <c r="K393" i="134"/>
  <c r="K479" i="134"/>
  <c r="K476" i="134"/>
  <c r="K472" i="134"/>
  <c r="K468" i="134"/>
  <c r="K464" i="134"/>
  <c r="K460" i="134"/>
  <c r="K456" i="134"/>
  <c r="K452" i="134"/>
  <c r="K448" i="134"/>
  <c r="K444" i="134"/>
  <c r="K440" i="134"/>
  <c r="K436" i="134"/>
  <c r="K432" i="134"/>
  <c r="K428" i="134"/>
  <c r="K424" i="134"/>
  <c r="K413" i="134"/>
  <c r="K408" i="134"/>
  <c r="K397" i="134"/>
  <c r="K392" i="134"/>
  <c r="K381" i="134"/>
  <c r="K376" i="134"/>
  <c r="K365" i="134"/>
  <c r="K360" i="134"/>
  <c r="K349" i="134"/>
  <c r="K344" i="134"/>
  <c r="K333" i="134"/>
  <c r="K328" i="134"/>
  <c r="K317" i="134"/>
  <c r="K312" i="134"/>
  <c r="K301" i="134"/>
  <c r="K296" i="134"/>
  <c r="K285" i="134"/>
  <c r="K280" i="134"/>
  <c r="K173" i="134"/>
  <c r="K525" i="134"/>
  <c r="K521" i="134"/>
  <c r="K517" i="134"/>
  <c r="K513" i="134"/>
  <c r="K509" i="134"/>
  <c r="K505" i="134"/>
  <c r="K501" i="134"/>
  <c r="K499" i="134"/>
  <c r="K495" i="134"/>
  <c r="K491" i="134"/>
  <c r="K485" i="134"/>
  <c r="K483" i="134"/>
  <c r="K471" i="134"/>
  <c r="K463" i="134"/>
  <c r="K455" i="134"/>
  <c r="K439" i="134"/>
  <c r="K431" i="134"/>
  <c r="K417" i="134"/>
  <c r="K412" i="134"/>
  <c r="K396" i="134"/>
  <c r="K385" i="134"/>
  <c r="K380" i="134"/>
  <c r="K369" i="134"/>
  <c r="K364" i="134"/>
  <c r="K353" i="134"/>
  <c r="K348" i="134"/>
  <c r="K337" i="134"/>
  <c r="K332" i="134"/>
  <c r="K321" i="134"/>
  <c r="K316" i="134"/>
  <c r="K305" i="134"/>
  <c r="K300" i="134"/>
  <c r="K289" i="134"/>
  <c r="K284" i="134"/>
  <c r="K523" i="134"/>
  <c r="K519" i="134"/>
  <c r="K515" i="134"/>
  <c r="K511" i="134"/>
  <c r="K507" i="134"/>
  <c r="K503" i="134"/>
  <c r="K497" i="134"/>
  <c r="K493" i="134"/>
  <c r="K489" i="134"/>
  <c r="K487" i="134"/>
  <c r="K481" i="134"/>
  <c r="K475" i="134"/>
  <c r="K467" i="134"/>
  <c r="K459" i="134"/>
  <c r="K451" i="134"/>
  <c r="K447" i="134"/>
  <c r="K443" i="134"/>
  <c r="K435" i="134"/>
  <c r="K427" i="134"/>
  <c r="K401" i="134"/>
  <c r="K478" i="134"/>
  <c r="K474" i="134"/>
  <c r="K470" i="134"/>
  <c r="K466" i="134"/>
  <c r="K462" i="134"/>
  <c r="K458" i="134"/>
  <c r="K454" i="134"/>
  <c r="K450" i="134"/>
  <c r="K446" i="134"/>
  <c r="K442" i="134"/>
  <c r="K438" i="134"/>
  <c r="K434" i="134"/>
  <c r="K430" i="134"/>
  <c r="K426" i="134"/>
  <c r="K421" i="134"/>
  <c r="K416" i="134"/>
  <c r="K405" i="134"/>
  <c r="K400" i="134"/>
  <c r="K389" i="134"/>
  <c r="K384" i="134"/>
  <c r="K373" i="134"/>
  <c r="K368" i="134"/>
  <c r="K357" i="134"/>
  <c r="K352" i="134"/>
  <c r="K341" i="134"/>
  <c r="K336" i="134"/>
  <c r="K325" i="134"/>
  <c r="K320" i="134"/>
  <c r="K309" i="134"/>
  <c r="K304" i="134"/>
  <c r="K293" i="134"/>
  <c r="K288" i="134"/>
  <c r="K162" i="134"/>
  <c r="K524" i="134"/>
  <c r="K520" i="134"/>
  <c r="K516" i="134"/>
  <c r="K512" i="134"/>
  <c r="K508" i="134"/>
  <c r="K504" i="134"/>
  <c r="K500" i="134"/>
  <c r="K488" i="134"/>
  <c r="K441" i="134"/>
  <c r="K437" i="134"/>
  <c r="K433" i="134"/>
  <c r="K429" i="134"/>
  <c r="K404" i="134"/>
  <c r="K388" i="134"/>
  <c r="K377" i="134"/>
  <c r="K372" i="134"/>
  <c r="K361" i="134"/>
  <c r="K356" i="134"/>
  <c r="K345" i="134"/>
  <c r="K340" i="134"/>
  <c r="K329" i="134"/>
  <c r="K324" i="134"/>
  <c r="K313" i="134"/>
  <c r="K308" i="134"/>
  <c r="K297" i="134"/>
  <c r="K292" i="134"/>
  <c r="K281" i="134"/>
  <c r="K178" i="134"/>
  <c r="K157" i="134"/>
  <c r="K422" i="134"/>
  <c r="K419" i="134"/>
  <c r="K414" i="134"/>
  <c r="K411" i="134"/>
  <c r="K406" i="134"/>
  <c r="K403" i="134"/>
  <c r="K398" i="134"/>
  <c r="K395" i="134"/>
  <c r="K390" i="134"/>
  <c r="K387" i="134"/>
  <c r="K382" i="134"/>
  <c r="K379" i="134"/>
  <c r="K374" i="134"/>
  <c r="K371" i="134"/>
  <c r="K366" i="134"/>
  <c r="K363" i="134"/>
  <c r="K358" i="134"/>
  <c r="K355" i="134"/>
  <c r="K350" i="134"/>
  <c r="K347" i="134"/>
  <c r="K342" i="134"/>
  <c r="K339" i="134"/>
  <c r="K334" i="134"/>
  <c r="K331" i="134"/>
  <c r="K326" i="134"/>
  <c r="K323" i="134"/>
  <c r="K318" i="134"/>
  <c r="K315" i="134"/>
  <c r="K310" i="134"/>
  <c r="K307" i="134"/>
  <c r="K302" i="134"/>
  <c r="K299" i="134"/>
  <c r="K294" i="134"/>
  <c r="K291" i="134"/>
  <c r="K286" i="134"/>
  <c r="K283" i="134"/>
  <c r="K277" i="134"/>
  <c r="K273" i="134"/>
  <c r="K269" i="134"/>
  <c r="K265" i="134"/>
  <c r="K261" i="134"/>
  <c r="K257" i="134"/>
  <c r="K253" i="134"/>
  <c r="K249" i="134"/>
  <c r="K245" i="134"/>
  <c r="K165" i="134"/>
  <c r="K423" i="134"/>
  <c r="K418" i="134"/>
  <c r="K415" i="134"/>
  <c r="K410" i="134"/>
  <c r="K407" i="134"/>
  <c r="K402" i="134"/>
  <c r="K399" i="134"/>
  <c r="K394" i="134"/>
  <c r="K391" i="134"/>
  <c r="K386" i="134"/>
  <c r="K383" i="134"/>
  <c r="K378" i="134"/>
  <c r="K375" i="134"/>
  <c r="K370" i="134"/>
  <c r="K367" i="134"/>
  <c r="K362" i="134"/>
  <c r="K359" i="134"/>
  <c r="K354" i="134"/>
  <c r="K351" i="134"/>
  <c r="K346" i="134"/>
  <c r="K343" i="134"/>
  <c r="K338" i="134"/>
  <c r="K335" i="134"/>
  <c r="K330" i="134"/>
  <c r="K327" i="134"/>
  <c r="K322" i="134"/>
  <c r="K319" i="134"/>
  <c r="K314" i="134"/>
  <c r="K311" i="134"/>
  <c r="K306" i="134"/>
  <c r="K303" i="134"/>
  <c r="K298" i="134"/>
  <c r="K295" i="134"/>
  <c r="K290" i="134"/>
  <c r="K287" i="134"/>
  <c r="K282" i="134"/>
  <c r="K279" i="134"/>
  <c r="K275" i="134"/>
  <c r="K271" i="134"/>
  <c r="K267" i="134"/>
  <c r="K263" i="134"/>
  <c r="K259" i="134"/>
  <c r="K255" i="134"/>
  <c r="K251" i="134"/>
  <c r="K247" i="134"/>
  <c r="K243" i="134"/>
  <c r="K170" i="134"/>
  <c r="K154" i="134"/>
  <c r="K149" i="134"/>
  <c r="K146" i="134"/>
  <c r="K141" i="134"/>
  <c r="K138" i="134"/>
  <c r="K133" i="134"/>
  <c r="K130" i="134"/>
  <c r="K125" i="134"/>
  <c r="K122" i="134"/>
  <c r="K117" i="134"/>
  <c r="K114" i="134"/>
  <c r="K109" i="134"/>
  <c r="K106" i="134"/>
  <c r="K101" i="134"/>
  <c r="K98" i="134"/>
  <c r="K93" i="134"/>
  <c r="K90" i="134"/>
  <c r="K85" i="134"/>
  <c r="K82" i="134"/>
  <c r="K77" i="134"/>
  <c r="K74" i="134"/>
  <c r="K69" i="134"/>
  <c r="K66" i="134"/>
  <c r="K61" i="134"/>
  <c r="K58" i="134"/>
  <c r="K53" i="134"/>
  <c r="K50" i="134"/>
  <c r="K45" i="134"/>
  <c r="K42" i="134"/>
  <c r="K37" i="134"/>
  <c r="K34" i="134"/>
  <c r="K29" i="134"/>
  <c r="K26" i="134"/>
  <c r="K22" i="134"/>
  <c r="K18" i="134"/>
  <c r="K14" i="134"/>
  <c r="K278" i="134"/>
  <c r="K276" i="134"/>
  <c r="K274" i="134"/>
  <c r="K272" i="134"/>
  <c r="K270" i="134"/>
  <c r="K268" i="134"/>
  <c r="K266" i="134"/>
  <c r="K264" i="134"/>
  <c r="K262" i="134"/>
  <c r="K260" i="134"/>
  <c r="K258" i="134"/>
  <c r="K256" i="134"/>
  <c r="K254" i="134"/>
  <c r="K252" i="134"/>
  <c r="K250" i="134"/>
  <c r="K248" i="134"/>
  <c r="K246" i="134"/>
  <c r="K244" i="134"/>
  <c r="K242" i="134"/>
  <c r="K240" i="134"/>
  <c r="K238" i="134"/>
  <c r="K236" i="134"/>
  <c r="K234" i="134"/>
  <c r="K232" i="134"/>
  <c r="K230" i="134"/>
  <c r="K228" i="134"/>
  <c r="K226" i="134"/>
  <c r="K224" i="134"/>
  <c r="K222" i="134"/>
  <c r="K220" i="134"/>
  <c r="K218" i="134"/>
  <c r="K216" i="134"/>
  <c r="K214" i="134"/>
  <c r="K212" i="134"/>
  <c r="K210" i="134"/>
  <c r="K208" i="134"/>
  <c r="K206" i="134"/>
  <c r="K204" i="134"/>
  <c r="K202" i="134"/>
  <c r="K200" i="134"/>
  <c r="K198" i="134"/>
  <c r="K196" i="134"/>
  <c r="K194" i="134"/>
  <c r="K192" i="134"/>
  <c r="K190" i="134"/>
  <c r="K188" i="134"/>
  <c r="K186" i="134"/>
  <c r="K184" i="134"/>
  <c r="K182" i="134"/>
  <c r="K180" i="134"/>
  <c r="K175" i="134"/>
  <c r="K172" i="134"/>
  <c r="K167" i="134"/>
  <c r="K164" i="134"/>
  <c r="K159" i="134"/>
  <c r="K156" i="134"/>
  <c r="K151" i="134"/>
  <c r="K148" i="134"/>
  <c r="K143" i="134"/>
  <c r="K140" i="134"/>
  <c r="K135" i="134"/>
  <c r="K132" i="134"/>
  <c r="K127" i="134"/>
  <c r="K124" i="134"/>
  <c r="K119" i="134"/>
  <c r="K116" i="134"/>
  <c r="K111" i="134"/>
  <c r="K108" i="134"/>
  <c r="K103" i="134"/>
  <c r="K100" i="134"/>
  <c r="K95" i="134"/>
  <c r="K92" i="134"/>
  <c r="K87" i="134"/>
  <c r="K84" i="134"/>
  <c r="K79" i="134"/>
  <c r="K76" i="134"/>
  <c r="K71" i="134"/>
  <c r="K68" i="134"/>
  <c r="K63" i="134"/>
  <c r="K60" i="134"/>
  <c r="K55" i="134"/>
  <c r="K52" i="134"/>
  <c r="K47" i="134"/>
  <c r="K44" i="134"/>
  <c r="K39" i="134"/>
  <c r="K36" i="134"/>
  <c r="K31" i="134"/>
  <c r="K28" i="134"/>
  <c r="K177" i="134"/>
  <c r="K174" i="134"/>
  <c r="K169" i="134"/>
  <c r="K166" i="134"/>
  <c r="K161" i="134"/>
  <c r="K158" i="134"/>
  <c r="K153" i="134"/>
  <c r="K150" i="134"/>
  <c r="K145" i="134"/>
  <c r="K142" i="134"/>
  <c r="K137" i="134"/>
  <c r="K134" i="134"/>
  <c r="K129" i="134"/>
  <c r="K126" i="134"/>
  <c r="K121" i="134"/>
  <c r="K118" i="134"/>
  <c r="K113" i="134"/>
  <c r="K110" i="134"/>
  <c r="K105" i="134"/>
  <c r="K102" i="134"/>
  <c r="K97" i="134"/>
  <c r="K94" i="134"/>
  <c r="K89" i="134"/>
  <c r="K86" i="134"/>
  <c r="K81" i="134"/>
  <c r="K78" i="134"/>
  <c r="K73" i="134"/>
  <c r="K70" i="134"/>
  <c r="K65" i="134"/>
  <c r="K62" i="134"/>
  <c r="K57" i="134"/>
  <c r="K54" i="134"/>
  <c r="K49" i="134"/>
  <c r="K46" i="134"/>
  <c r="K41" i="134"/>
  <c r="K38" i="134"/>
  <c r="K33" i="134"/>
  <c r="K30" i="134"/>
  <c r="K24" i="134"/>
  <c r="K20" i="134"/>
  <c r="K16" i="134"/>
  <c r="K12" i="134"/>
  <c r="K241" i="134"/>
  <c r="K239" i="134"/>
  <c r="K237" i="134"/>
  <c r="K235" i="134"/>
  <c r="K233" i="134"/>
  <c r="K231" i="134"/>
  <c r="K229" i="134"/>
  <c r="K227" i="134"/>
  <c r="K225" i="134"/>
  <c r="K223" i="134"/>
  <c r="K221" i="134"/>
  <c r="K219" i="134"/>
  <c r="K217" i="134"/>
  <c r="K215" i="134"/>
  <c r="K213" i="134"/>
  <c r="K211" i="134"/>
  <c r="K209" i="134"/>
  <c r="K207" i="134"/>
  <c r="K205" i="134"/>
  <c r="K203" i="134"/>
  <c r="K201" i="134"/>
  <c r="K199" i="134"/>
  <c r="K197" i="134"/>
  <c r="K195" i="134"/>
  <c r="K193" i="134"/>
  <c r="K191" i="134"/>
  <c r="K189" i="134"/>
  <c r="K187" i="134"/>
  <c r="K185" i="134"/>
  <c r="K183" i="134"/>
  <c r="K181" i="134"/>
  <c r="K179" i="134"/>
  <c r="K176" i="134"/>
  <c r="K171" i="134"/>
  <c r="K168" i="134"/>
  <c r="K163" i="134"/>
  <c r="K160" i="134"/>
  <c r="K155" i="134"/>
  <c r="K152" i="134"/>
  <c r="K147" i="134"/>
  <c r="K144" i="134"/>
  <c r="K139" i="134"/>
  <c r="K136" i="134"/>
  <c r="K131" i="134"/>
  <c r="K128" i="134"/>
  <c r="K123" i="134"/>
  <c r="K120" i="134"/>
  <c r="K115" i="134"/>
  <c r="K112" i="134"/>
  <c r="K107" i="134"/>
  <c r="K104" i="134"/>
  <c r="K99" i="134"/>
  <c r="K96" i="134"/>
  <c r="K91" i="134"/>
  <c r="K88" i="134"/>
  <c r="K83" i="134"/>
  <c r="K80" i="134"/>
  <c r="K75" i="134"/>
  <c r="K72" i="134"/>
  <c r="K67" i="134"/>
  <c r="K64" i="134"/>
  <c r="K59" i="134"/>
  <c r="K56" i="134"/>
  <c r="K51" i="134"/>
  <c r="K48" i="134"/>
  <c r="K43" i="134"/>
  <c r="K40" i="134"/>
  <c r="K35" i="134"/>
  <c r="K32" i="134"/>
  <c r="K27" i="134"/>
  <c r="K25" i="134"/>
  <c r="K23" i="134"/>
  <c r="K21" i="134"/>
  <c r="K19" i="134"/>
  <c r="K17" i="134"/>
  <c r="K15" i="134"/>
  <c r="K13" i="134"/>
  <c r="K11" i="134"/>
  <c r="K10" i="134"/>
  <c r="D431" i="145"/>
  <c r="D233" i="145"/>
  <c r="D280" i="145"/>
  <c r="D192" i="145"/>
  <c r="D376" i="145"/>
  <c r="D300" i="145"/>
  <c r="D355" i="145"/>
  <c r="D150" i="145"/>
  <c r="D359" i="145"/>
  <c r="D401" i="145"/>
  <c r="D19" i="145"/>
  <c r="D101" i="145"/>
  <c r="D496" i="145"/>
  <c r="D206" i="145"/>
  <c r="D243" i="145"/>
  <c r="D60" i="145"/>
  <c r="D191" i="145"/>
  <c r="D405" i="145"/>
  <c r="D425" i="145"/>
  <c r="D145" i="145"/>
  <c r="D356" i="145"/>
  <c r="D467" i="145"/>
  <c r="D258" i="145"/>
  <c r="D333" i="145"/>
  <c r="D35" i="145"/>
  <c r="D316" i="145"/>
  <c r="D489" i="145"/>
  <c r="D51" i="145"/>
  <c r="D350" i="145"/>
  <c r="D201" i="145"/>
  <c r="K6" i="134"/>
  <c r="D444" i="145"/>
  <c r="D362" i="145"/>
  <c r="D159" i="145"/>
  <c r="D8" i="145"/>
  <c r="D338" i="145"/>
  <c r="D63" i="145"/>
  <c r="D392" i="145"/>
  <c r="D491" i="145"/>
  <c r="D265" i="145"/>
  <c r="D480" i="145"/>
  <c r="D208" i="145"/>
  <c r="D27" i="145"/>
  <c r="D202" i="145"/>
  <c r="D36" i="145"/>
  <c r="D493" i="145"/>
  <c r="D247" i="145"/>
  <c r="D349" i="145"/>
  <c r="D441" i="145"/>
  <c r="D498" i="145"/>
  <c r="D351" i="145"/>
  <c r="D272" i="145"/>
  <c r="D406" i="145"/>
  <c r="D378" i="145"/>
  <c r="D408" i="145"/>
  <c r="D443" i="145"/>
  <c r="D84" i="145"/>
  <c r="D276" i="145"/>
  <c r="D469" i="145"/>
  <c r="D479" i="145"/>
  <c r="D281" i="145"/>
  <c r="D237" i="145"/>
  <c r="D216" i="145"/>
  <c r="D295" i="145"/>
  <c r="D5" i="145"/>
  <c r="D253" i="145"/>
  <c r="D329" i="145"/>
  <c r="D138" i="145"/>
  <c r="D49" i="145"/>
  <c r="D490" i="145"/>
  <c r="D282" i="145"/>
  <c r="D106" i="145"/>
  <c r="D24" i="145"/>
  <c r="D178" i="145"/>
  <c r="D455" i="145"/>
  <c r="D153" i="145"/>
  <c r="D457" i="145"/>
  <c r="D158" i="145"/>
  <c r="D429" i="145"/>
  <c r="D172" i="145"/>
  <c r="D381" i="145"/>
  <c r="D45" i="145"/>
  <c r="D118" i="145"/>
  <c r="D495" i="145"/>
  <c r="D388" i="145"/>
  <c r="D437" i="145"/>
  <c r="D132" i="145"/>
  <c r="D200" i="145"/>
  <c r="D310" i="145"/>
  <c r="D246" i="145"/>
  <c r="D177" i="145"/>
  <c r="D346" i="145"/>
  <c r="D267" i="145"/>
  <c r="D103" i="145"/>
  <c r="D82" i="145"/>
  <c r="D92" i="145"/>
  <c r="D198" i="145"/>
  <c r="D91" i="145"/>
  <c r="D148" i="145"/>
  <c r="D13" i="145"/>
  <c r="D37" i="145"/>
  <c r="D81" i="145"/>
  <c r="D54" i="145"/>
  <c r="D414" i="145"/>
  <c r="D38" i="145"/>
  <c r="D181" i="145"/>
  <c r="D458" i="145"/>
  <c r="D10" i="145"/>
  <c r="D345" i="145"/>
  <c r="D436" i="145"/>
  <c r="D166" i="145"/>
  <c r="D404" i="145"/>
  <c r="D41" i="145"/>
  <c r="D440" i="145"/>
  <c r="D315" i="145"/>
  <c r="D197" i="145"/>
  <c r="D274" i="145"/>
  <c r="D368" i="145"/>
  <c r="D110" i="145"/>
  <c r="K7" i="134"/>
  <c r="D254" i="145"/>
  <c r="D26" i="145"/>
  <c r="D268" i="145"/>
  <c r="D438" i="145"/>
  <c r="D163" i="145"/>
  <c r="D413" i="145"/>
  <c r="D411" i="145"/>
  <c r="D179" i="145"/>
  <c r="D369" i="145"/>
  <c r="D390" i="145"/>
  <c r="D309" i="145"/>
  <c r="D313" i="145"/>
  <c r="D105" i="145"/>
  <c r="D235" i="145"/>
  <c r="D199" i="145"/>
  <c r="D6" i="145"/>
  <c r="D210" i="145"/>
  <c r="D421" i="145"/>
  <c r="D396" i="145"/>
  <c r="D320" i="145"/>
  <c r="D386" i="145"/>
  <c r="D389" i="145"/>
  <c r="D409" i="145"/>
  <c r="D162" i="145"/>
  <c r="D87" i="145"/>
  <c r="D492" i="145"/>
  <c r="D445" i="145"/>
  <c r="D290" i="145"/>
  <c r="D403" i="145"/>
  <c r="D407" i="145"/>
  <c r="D89" i="145"/>
  <c r="D367" i="145"/>
  <c r="D336" i="145"/>
  <c r="D226" i="145"/>
  <c r="D475" i="145"/>
  <c r="D209" i="145"/>
  <c r="D420" i="145"/>
  <c r="D459" i="145"/>
  <c r="D337" i="145"/>
  <c r="D463" i="145"/>
  <c r="D238" i="145"/>
  <c r="D342" i="145"/>
  <c r="D450" i="145"/>
  <c r="D154" i="145"/>
  <c r="D430" i="145"/>
  <c r="D4" i="145"/>
  <c r="D339" i="145"/>
  <c r="D278" i="145"/>
  <c r="D434" i="145"/>
  <c r="D499" i="145"/>
  <c r="D68" i="145"/>
  <c r="D341" i="145"/>
  <c r="D426" i="145"/>
  <c r="D88" i="145"/>
  <c r="D97" i="145"/>
  <c r="D212" i="145"/>
  <c r="D99" i="145"/>
  <c r="D288" i="145"/>
  <c r="D287" i="145"/>
  <c r="D75" i="145"/>
  <c r="D141" i="145"/>
  <c r="D477" i="145"/>
  <c r="D120" i="145"/>
  <c r="D142" i="145"/>
  <c r="D96" i="145"/>
  <c r="D305" i="145"/>
  <c r="D215" i="145"/>
  <c r="D451" i="145"/>
  <c r="D266" i="145"/>
  <c r="D193" i="145"/>
  <c r="D133" i="145"/>
  <c r="D370" i="145"/>
  <c r="D53" i="145"/>
  <c r="D183" i="145"/>
  <c r="D326" i="145"/>
  <c r="D301" i="145"/>
  <c r="D190" i="145"/>
  <c r="D171" i="145"/>
  <c r="D410" i="145"/>
  <c r="D152" i="145"/>
  <c r="D161" i="145"/>
  <c r="D62" i="145"/>
  <c r="D20" i="145"/>
  <c r="D303" i="145"/>
  <c r="D387" i="145"/>
  <c r="D486" i="145"/>
  <c r="D234" i="145"/>
  <c r="D32" i="145"/>
  <c r="D391" i="145"/>
  <c r="D484" i="145"/>
  <c r="D264" i="145"/>
  <c r="D195" i="145"/>
  <c r="D279" i="145"/>
  <c r="D374" i="145"/>
  <c r="D481" i="145"/>
  <c r="D126" i="145"/>
  <c r="D211" i="145"/>
  <c r="D471" i="145"/>
  <c r="K4" i="134"/>
  <c r="D494" i="145"/>
  <c r="D331" i="145"/>
  <c r="D382" i="145"/>
  <c r="D257" i="145"/>
  <c r="D325" i="145"/>
  <c r="D250" i="145"/>
  <c r="D335" i="145"/>
  <c r="D86" i="145"/>
  <c r="D244" i="145"/>
  <c r="D308" i="145"/>
  <c r="D415" i="145"/>
  <c r="D307" i="145"/>
  <c r="D285" i="145"/>
  <c r="D217" i="145"/>
  <c r="D393" i="145"/>
  <c r="D98" i="145"/>
  <c r="D124" i="145"/>
  <c r="K9" i="134"/>
  <c r="D373" i="145"/>
  <c r="K8" i="134"/>
  <c r="D377" i="145"/>
  <c r="D9" i="145"/>
  <c r="D340" i="145"/>
  <c r="D271" i="145"/>
  <c r="D435" i="145"/>
  <c r="D34" i="145"/>
  <c r="D241" i="145"/>
  <c r="D231" i="145"/>
  <c r="D123" i="145"/>
  <c r="D227" i="145"/>
  <c r="D474" i="145"/>
  <c r="D137" i="145"/>
  <c r="D464" i="145"/>
  <c r="D116" i="145"/>
  <c r="D74" i="145"/>
  <c r="D30" i="145"/>
  <c r="D83" i="145"/>
  <c r="D360" i="145"/>
  <c r="D16" i="145"/>
  <c r="D385" i="145"/>
  <c r="D182" i="145"/>
  <c r="D184" i="145"/>
  <c r="D363" i="145"/>
  <c r="D56" i="145"/>
  <c r="D130" i="145"/>
  <c r="D156" i="145"/>
  <c r="D284" i="145"/>
  <c r="D93" i="145"/>
  <c r="D380" i="145"/>
  <c r="D114" i="145"/>
  <c r="D95" i="145"/>
  <c r="D140" i="145"/>
  <c r="D328" i="145"/>
  <c r="D28" i="145"/>
  <c r="D293" i="145"/>
  <c r="D446" i="145"/>
  <c r="D260" i="145"/>
  <c r="D322" i="145"/>
  <c r="D361" i="145"/>
  <c r="D478" i="145"/>
  <c r="D332" i="145"/>
  <c r="D236" i="145"/>
  <c r="D143" i="145"/>
  <c r="D447" i="145"/>
  <c r="D422" i="145"/>
  <c r="D439" i="145"/>
  <c r="D263" i="145"/>
  <c r="D256" i="145"/>
  <c r="D302" i="145"/>
  <c r="D164" i="145"/>
  <c r="D180" i="145"/>
  <c r="D225" i="145"/>
  <c r="D259" i="145"/>
  <c r="D277" i="145"/>
  <c r="D289" i="145"/>
  <c r="D230" i="145"/>
  <c r="D402" i="145"/>
  <c r="D317" i="145"/>
  <c r="D395" i="145"/>
  <c r="D454" i="145"/>
  <c r="D354" i="145"/>
  <c r="D419" i="145"/>
  <c r="D219" i="145"/>
  <c r="D449" i="145"/>
  <c r="D273" i="145"/>
  <c r="D321" i="145"/>
  <c r="D348" i="145"/>
  <c r="D452" i="145"/>
  <c r="D487" i="145"/>
  <c r="D245" i="145"/>
  <c r="D286" i="145"/>
  <c r="D462" i="145"/>
  <c r="D358" i="145"/>
  <c r="D109" i="145"/>
  <c r="D416" i="145"/>
  <c r="D64" i="145"/>
  <c r="D174" i="145"/>
  <c r="D131" i="145"/>
  <c r="D334" i="145"/>
  <c r="D314" i="145"/>
  <c r="D33" i="145"/>
  <c r="D125" i="145"/>
  <c r="D168" i="145"/>
  <c r="D160" i="145"/>
  <c r="D476" i="145"/>
  <c r="D347" i="145"/>
  <c r="D77" i="145"/>
  <c r="D327" i="145"/>
  <c r="D52" i="145"/>
  <c r="D151" i="145"/>
  <c r="D185" i="145"/>
  <c r="D94" i="145"/>
  <c r="D72" i="145"/>
  <c r="D470" i="145"/>
  <c r="D400" i="145"/>
  <c r="D364" i="145"/>
  <c r="D220" i="145"/>
  <c r="D375" i="145"/>
  <c r="D423" i="145"/>
  <c r="D139" i="145"/>
  <c r="D353" i="145"/>
  <c r="D306" i="145"/>
  <c r="D330" i="145"/>
  <c r="D188" i="145"/>
  <c r="D418" i="145"/>
  <c r="D228" i="145"/>
  <c r="D383" i="145"/>
  <c r="D173" i="145"/>
  <c r="D448" i="145"/>
  <c r="D144" i="145"/>
  <c r="D147" i="145"/>
  <c r="D473" i="145"/>
  <c r="D255" i="145"/>
  <c r="D372" i="145"/>
  <c r="D319" i="145"/>
  <c r="D365" i="145"/>
  <c r="D366" i="145"/>
  <c r="D466" i="145"/>
  <c r="D85" i="145"/>
  <c r="D176" i="145"/>
  <c r="K5" i="134"/>
  <c r="D453" i="145"/>
  <c r="D460" i="145"/>
  <c r="D472" i="145"/>
  <c r="D397" i="145"/>
  <c r="D299" i="145"/>
  <c r="D39" i="145"/>
  <c r="D50" i="145"/>
  <c r="D399" i="145"/>
  <c r="D344" i="145"/>
  <c r="D296" i="145"/>
  <c r="D297" i="145"/>
  <c r="D500" i="145"/>
  <c r="D417" i="145"/>
  <c r="D291" i="145"/>
  <c r="D483" i="145"/>
  <c r="D468" i="145"/>
  <c r="D214" i="145"/>
  <c r="D79" i="145"/>
  <c r="D312" i="145"/>
  <c r="D379" i="145"/>
  <c r="D262" i="145"/>
  <c r="D115" i="145"/>
  <c r="D90" i="145"/>
  <c r="D427" i="145"/>
  <c r="D371" i="145"/>
  <c r="D433" i="145"/>
  <c r="D465" i="145"/>
  <c r="D44" i="145"/>
  <c r="D261" i="145"/>
  <c r="D165" i="145"/>
  <c r="D107" i="145"/>
  <c r="D294" i="145"/>
  <c r="D248" i="145"/>
  <c r="D229" i="145"/>
  <c r="D29" i="145"/>
  <c r="D17" i="145"/>
  <c r="D119" i="145"/>
  <c r="D442" i="145"/>
  <c r="D73" i="145"/>
  <c r="D432" i="145"/>
  <c r="D111" i="145"/>
  <c r="D497" i="145"/>
  <c r="D323" i="145"/>
  <c r="D167" i="145"/>
  <c r="D196" i="145"/>
  <c r="D357" i="145"/>
  <c r="D170" i="145"/>
  <c r="D324" i="145"/>
  <c r="D18" i="145"/>
  <c r="D129" i="145"/>
  <c r="D31" i="145"/>
  <c r="D232" i="145"/>
  <c r="D187" i="145"/>
  <c r="D157" i="145"/>
  <c r="D128" i="145"/>
  <c r="D482" i="145"/>
  <c r="D149" i="145"/>
  <c r="D252" i="145"/>
  <c r="D292" i="145"/>
  <c r="D207" i="145"/>
  <c r="D270" i="145"/>
  <c r="D186" i="145"/>
  <c r="D59" i="145"/>
  <c r="D194" i="145"/>
  <c r="D275" i="145"/>
  <c r="D222" i="145"/>
  <c r="D203" i="145"/>
  <c r="D66" i="145"/>
  <c r="D47" i="145"/>
  <c r="D76" i="145"/>
  <c r="D7" i="145"/>
  <c r="D298" i="145"/>
  <c r="D25" i="145"/>
  <c r="D67" i="145"/>
  <c r="D23" i="145"/>
  <c r="D155" i="145"/>
  <c r="D352" i="145"/>
  <c r="D70" i="145"/>
  <c r="D224" i="145"/>
  <c r="D189" i="145"/>
  <c r="D108" i="145"/>
  <c r="D48" i="145"/>
  <c r="D239" i="145"/>
  <c r="D304" i="145"/>
  <c r="D218" i="145"/>
  <c r="D169" i="145"/>
  <c r="D242" i="145"/>
  <c r="D213" i="145"/>
  <c r="D55" i="145"/>
  <c r="D61" i="145"/>
  <c r="D311" i="145"/>
  <c r="D175" i="145"/>
  <c r="D117" i="145"/>
  <c r="D135" i="145"/>
  <c r="D46" i="145"/>
  <c r="D134" i="145"/>
  <c r="D240" i="145"/>
  <c r="D205" i="145"/>
  <c r="D14" i="145"/>
  <c r="D136" i="145"/>
  <c r="D428" i="145"/>
  <c r="D343" i="145"/>
  <c r="D398" i="145"/>
  <c r="D485" i="145"/>
  <c r="D394" i="145"/>
  <c r="D12" i="145"/>
  <c r="D384" i="145"/>
  <c r="D43" i="145"/>
  <c r="D40" i="145"/>
  <c r="D412" i="145"/>
  <c r="D283" i="145"/>
  <c r="D146" i="145"/>
  <c r="D249" i="145"/>
  <c r="D127" i="145"/>
  <c r="D69" i="145"/>
  <c r="D71" i="145"/>
  <c r="D318" i="145"/>
  <c r="D488" i="145"/>
  <c r="D122" i="145"/>
  <c r="D461" i="145"/>
  <c r="D104" i="145"/>
  <c r="D78" i="145"/>
  <c r="D80" i="145"/>
  <c r="D15" i="145"/>
  <c r="D21" i="145"/>
  <c r="D57" i="145"/>
  <c r="D424" i="145"/>
  <c r="D42" i="145"/>
  <c r="D113" i="145"/>
  <c r="D11" i="145"/>
  <c r="D221" i="145"/>
  <c r="D65" i="145"/>
  <c r="D223" i="145"/>
  <c r="D269" i="145"/>
  <c r="D121" i="145"/>
  <c r="D456" i="145"/>
  <c r="D100" i="145"/>
  <c r="D58" i="145"/>
  <c r="D22" i="145"/>
  <c r="D204" i="145"/>
  <c r="D251" i="145"/>
  <c r="D112" i="145"/>
  <c r="D102" i="145"/>
  <c r="K2" i="134" l="1"/>
  <c r="D2" i="145"/>
  <c r="J2" i="134" a="1"/>
  <c r="C2" i="145" a="1"/>
  <c r="C2" i="145" l="1"/>
  <c r="J2" i="134"/>
  <c r="F2" i="145"/>
  <c r="G2" i="145" s="1"/>
  <c r="O174" i="145" l="1"/>
  <c r="P174" i="145" s="1"/>
  <c r="R174" i="145" s="1"/>
  <c r="O181" i="145"/>
  <c r="P181" i="145" s="1"/>
  <c r="R181" i="145" s="1"/>
  <c r="O479" i="145"/>
  <c r="P479" i="145" s="1"/>
  <c r="R479" i="145" s="1"/>
  <c r="O167" i="145"/>
  <c r="P167" i="145" s="1"/>
  <c r="R167" i="145" s="1"/>
  <c r="O106" i="145"/>
  <c r="P106" i="145" s="1"/>
  <c r="R106" i="145" s="1"/>
  <c r="O456" i="145"/>
  <c r="P456" i="145" s="1"/>
  <c r="R456" i="145" s="1"/>
  <c r="O361" i="145"/>
  <c r="P361" i="145" s="1"/>
  <c r="R361" i="145" s="1"/>
  <c r="O244" i="145"/>
  <c r="P244" i="145" s="1"/>
  <c r="R244" i="145" s="1"/>
  <c r="O95" i="145"/>
  <c r="P95" i="145" s="1"/>
  <c r="R95" i="145" s="1"/>
  <c r="O50" i="145"/>
  <c r="P50" i="145" s="1"/>
  <c r="R50" i="145" s="1"/>
  <c r="O432" i="145"/>
  <c r="P432" i="145" s="1"/>
  <c r="R432" i="145" s="1"/>
  <c r="O120" i="145"/>
  <c r="P120" i="145" s="1"/>
  <c r="R120" i="145" s="1"/>
  <c r="O27" i="145"/>
  <c r="P27" i="145" s="1"/>
  <c r="R27" i="145" s="1"/>
  <c r="O474" i="145"/>
  <c r="P474" i="145" s="1"/>
  <c r="R474" i="145" s="1"/>
  <c r="O394" i="145"/>
  <c r="P394" i="145" s="1"/>
  <c r="R394" i="145" s="1"/>
  <c r="O308" i="145"/>
  <c r="P308" i="145" s="1"/>
  <c r="R308" i="145" s="1"/>
  <c r="O303" i="145"/>
  <c r="P303" i="145" s="1"/>
  <c r="R303" i="145" s="1"/>
  <c r="O258" i="145"/>
  <c r="P258" i="145" s="1"/>
  <c r="R258" i="145" s="1"/>
  <c r="O185" i="145"/>
  <c r="P185" i="145" s="1"/>
  <c r="R185" i="145" s="1"/>
  <c r="O483" i="145"/>
  <c r="P483" i="145" s="1"/>
  <c r="R483" i="145" s="1"/>
  <c r="O235" i="145"/>
  <c r="P235" i="145" s="1"/>
  <c r="R235" i="145" s="1"/>
  <c r="O298" i="145"/>
  <c r="P298" i="145" s="1"/>
  <c r="R298" i="145" s="1"/>
  <c r="O65" i="145"/>
  <c r="P65" i="145" s="1"/>
  <c r="R65" i="145" s="1"/>
  <c r="O363" i="145"/>
  <c r="P363" i="145" s="1"/>
  <c r="R363" i="145" s="1"/>
  <c r="O131" i="145"/>
  <c r="P131" i="145" s="1"/>
  <c r="R131" i="145" s="1"/>
  <c r="O6" i="145"/>
  <c r="P6" i="145" s="1"/>
  <c r="R6" i="145" s="1"/>
  <c r="O388" i="145"/>
  <c r="P388" i="145" s="1"/>
  <c r="R388" i="145" s="1"/>
  <c r="O200" i="145"/>
  <c r="P200" i="145" s="1"/>
  <c r="R200" i="145" s="1"/>
  <c r="O52" i="145"/>
  <c r="P52" i="145" s="1"/>
  <c r="R52" i="145" s="1"/>
  <c r="O378" i="145"/>
  <c r="P378" i="145" s="1"/>
  <c r="R378" i="145" s="1"/>
  <c r="O273" i="145"/>
  <c r="P273" i="145" s="1"/>
  <c r="R273" i="145" s="1"/>
  <c r="O284" i="145"/>
  <c r="P284" i="145" s="1"/>
  <c r="R284" i="145" s="1"/>
  <c r="O339" i="145"/>
  <c r="P339" i="145" s="1"/>
  <c r="R339" i="145" s="1"/>
  <c r="O214" i="145"/>
  <c r="P214" i="145" s="1"/>
  <c r="R214" i="145" s="1"/>
  <c r="O427" i="145"/>
  <c r="P427" i="145" s="1"/>
  <c r="R427" i="145" s="1"/>
  <c r="O70" i="145"/>
  <c r="P70" i="145" s="1"/>
  <c r="R70" i="145" s="1"/>
  <c r="O359" i="145"/>
  <c r="P359" i="145" s="1"/>
  <c r="R359" i="145" s="1"/>
  <c r="O36" i="145"/>
  <c r="P36" i="145" s="1"/>
  <c r="R36" i="145" s="1"/>
  <c r="O5" i="145"/>
  <c r="P5" i="145" s="1"/>
  <c r="R5" i="145" s="1"/>
  <c r="O278" i="145"/>
  <c r="P278" i="145" s="1"/>
  <c r="R278" i="145" s="1"/>
  <c r="O91" i="145"/>
  <c r="P91" i="145" s="1"/>
  <c r="R91" i="145" s="1"/>
  <c r="O180" i="145"/>
  <c r="P180" i="145" s="1"/>
  <c r="R180" i="145" s="1"/>
  <c r="O465" i="145"/>
  <c r="P465" i="145" s="1"/>
  <c r="R465" i="145" s="1"/>
  <c r="O88" i="145"/>
  <c r="P88" i="145" s="1"/>
  <c r="R88" i="145" s="1"/>
  <c r="O40" i="145"/>
  <c r="P40" i="145" s="1"/>
  <c r="R40" i="145" s="1"/>
  <c r="O263" i="145"/>
  <c r="P263" i="145" s="1"/>
  <c r="R263" i="145" s="1"/>
  <c r="O299" i="145"/>
  <c r="P299" i="145" s="1"/>
  <c r="R299" i="145" s="1"/>
  <c r="O68" i="145"/>
  <c r="P68" i="145" s="1"/>
  <c r="R68" i="145" s="1"/>
  <c r="O497" i="145"/>
  <c r="P497" i="145" s="1"/>
  <c r="R497" i="145" s="1"/>
  <c r="O63" i="145"/>
  <c r="P63" i="145" s="1"/>
  <c r="R63" i="145" s="1"/>
  <c r="O18" i="145"/>
  <c r="P18" i="145" s="1"/>
  <c r="R18" i="145" s="1"/>
  <c r="O400" i="145"/>
  <c r="P400" i="145" s="1"/>
  <c r="R400" i="145" s="1"/>
  <c r="O343" i="145"/>
  <c r="P343" i="145" s="1"/>
  <c r="R343" i="145" s="1"/>
  <c r="O282" i="145"/>
  <c r="P282" i="145" s="1"/>
  <c r="R282" i="145" s="1"/>
  <c r="O346" i="145"/>
  <c r="P346" i="145" s="1"/>
  <c r="R346" i="145" s="1"/>
  <c r="O316" i="145"/>
  <c r="P316" i="145" s="1"/>
  <c r="R316" i="145" s="1"/>
  <c r="O350" i="145"/>
  <c r="P350" i="145" s="1"/>
  <c r="R350" i="145" s="1"/>
  <c r="O351" i="145"/>
  <c r="P351" i="145" s="1"/>
  <c r="R351" i="145" s="1"/>
  <c r="O360" i="145"/>
  <c r="P360" i="145" s="1"/>
  <c r="R360" i="145" s="1"/>
  <c r="O254" i="145"/>
  <c r="P254" i="145" s="1"/>
  <c r="R254" i="145" s="1"/>
  <c r="O467" i="145"/>
  <c r="P467" i="145" s="1"/>
  <c r="R467" i="145" s="1"/>
  <c r="O176" i="145"/>
  <c r="P176" i="145" s="1"/>
  <c r="R176" i="145" s="1"/>
  <c r="O142" i="145"/>
  <c r="P142" i="145" s="1"/>
  <c r="R142" i="145" s="1"/>
  <c r="O447" i="145"/>
  <c r="P447" i="145" s="1"/>
  <c r="R447" i="145" s="1"/>
  <c r="O29" i="145"/>
  <c r="P29" i="145" s="1"/>
  <c r="R29" i="145" s="1"/>
  <c r="O208" i="145"/>
  <c r="P208" i="145" s="1"/>
  <c r="R208" i="145" s="1"/>
  <c r="O222" i="145"/>
  <c r="P222" i="145" s="1"/>
  <c r="R222" i="145" s="1"/>
  <c r="O115" i="145"/>
  <c r="P115" i="145" s="1"/>
  <c r="R115" i="145" s="1"/>
  <c r="O371" i="145"/>
  <c r="P371" i="145" s="1"/>
  <c r="R371" i="145" s="1"/>
  <c r="O140" i="145"/>
  <c r="P140" i="145" s="1"/>
  <c r="R140" i="145" s="1"/>
  <c r="O276" i="145"/>
  <c r="P276" i="145" s="1"/>
  <c r="R276" i="145" s="1"/>
  <c r="O491" i="145"/>
  <c r="P491" i="145" s="1"/>
  <c r="R491" i="145" s="1"/>
  <c r="O134" i="145"/>
  <c r="P134" i="145" s="1"/>
  <c r="R134" i="145" s="1"/>
  <c r="O423" i="145"/>
  <c r="P423" i="145" s="1"/>
  <c r="R423" i="145" s="1"/>
  <c r="O340" i="145"/>
  <c r="P340" i="145" s="1"/>
  <c r="R340" i="145" s="1"/>
  <c r="O69" i="145"/>
  <c r="P69" i="145" s="1"/>
  <c r="R69" i="145" s="1"/>
  <c r="O55" i="145"/>
  <c r="P55" i="145" s="1"/>
  <c r="R55" i="145" s="1"/>
  <c r="O155" i="145"/>
  <c r="P155" i="145" s="1"/>
  <c r="R155" i="145" s="1"/>
  <c r="O418" i="145"/>
  <c r="P418" i="145" s="1"/>
  <c r="R418" i="145" s="1"/>
  <c r="O332" i="145"/>
  <c r="P332" i="145" s="1"/>
  <c r="R332" i="145" s="1"/>
  <c r="O318" i="145"/>
  <c r="P318" i="145" s="1"/>
  <c r="R318" i="145" s="1"/>
  <c r="O294" i="145"/>
  <c r="P294" i="145" s="1"/>
  <c r="R294" i="145" s="1"/>
  <c r="O184" i="145"/>
  <c r="P184" i="145" s="1"/>
  <c r="R184" i="145" s="1"/>
  <c r="O72" i="145"/>
  <c r="P72" i="145" s="1"/>
  <c r="R72" i="145" s="1"/>
  <c r="O494" i="145"/>
  <c r="P494" i="145" s="1"/>
  <c r="R494" i="145" s="1"/>
  <c r="O4" i="145"/>
  <c r="P4" i="145" s="1"/>
  <c r="R4" i="145" s="1"/>
  <c r="O127" i="145"/>
  <c r="P127" i="145" s="1"/>
  <c r="R127" i="145" s="1"/>
  <c r="O82" i="145"/>
  <c r="P82" i="145" s="1"/>
  <c r="R82" i="145" s="1"/>
  <c r="O9" i="145"/>
  <c r="P9" i="145" s="1"/>
  <c r="R9" i="145" s="1"/>
  <c r="O248" i="145"/>
  <c r="P248" i="145" s="1"/>
  <c r="R248" i="145" s="1"/>
  <c r="O59" i="145"/>
  <c r="P59" i="145" s="1"/>
  <c r="R59" i="145" s="1"/>
  <c r="O445" i="145"/>
  <c r="P445" i="145" s="1"/>
  <c r="R445" i="145" s="1"/>
  <c r="O458" i="145"/>
  <c r="P458" i="145" s="1"/>
  <c r="R458" i="145" s="1"/>
  <c r="O228" i="145"/>
  <c r="P228" i="145" s="1"/>
  <c r="R228" i="145" s="1"/>
  <c r="O48" i="145"/>
  <c r="P48" i="145" s="1"/>
  <c r="R48" i="145" s="1"/>
  <c r="O22" i="145"/>
  <c r="P22" i="145" s="1"/>
  <c r="R22" i="145" s="1"/>
  <c r="O100" i="145"/>
  <c r="P100" i="145" s="1"/>
  <c r="R100" i="145" s="1"/>
  <c r="O38" i="145"/>
  <c r="P38" i="145" s="1"/>
  <c r="R38" i="145" s="1"/>
  <c r="O349" i="145"/>
  <c r="P349" i="145" s="1"/>
  <c r="R349" i="145" s="1"/>
  <c r="O146" i="145"/>
  <c r="P146" i="145" s="1"/>
  <c r="R146" i="145" s="1"/>
  <c r="O237" i="145"/>
  <c r="P237" i="145" s="1"/>
  <c r="R237" i="145" s="1"/>
  <c r="O457" i="145"/>
  <c r="P457" i="145" s="1"/>
  <c r="R457" i="145" s="1"/>
  <c r="O424" i="145"/>
  <c r="P424" i="145" s="1"/>
  <c r="R424" i="145" s="1"/>
  <c r="O8" i="145"/>
  <c r="P8" i="145" s="1"/>
  <c r="R8" i="145" s="1"/>
  <c r="O44" i="145"/>
  <c r="P44" i="145" s="1"/>
  <c r="R44" i="145" s="1"/>
  <c r="O498" i="145"/>
  <c r="P498" i="145" s="1"/>
  <c r="R498" i="145" s="1"/>
  <c r="O435" i="145"/>
  <c r="P435" i="145" s="1"/>
  <c r="R435" i="145" s="1"/>
  <c r="O415" i="145"/>
  <c r="P415" i="145" s="1"/>
  <c r="R415" i="145" s="1"/>
  <c r="O269" i="145"/>
  <c r="P269" i="145" s="1"/>
  <c r="R269" i="145" s="1"/>
  <c r="O476" i="145"/>
  <c r="P476" i="145" s="1"/>
  <c r="R476" i="145" s="1"/>
  <c r="O344" i="145"/>
  <c r="P344" i="145" s="1"/>
  <c r="R344" i="145" s="1"/>
  <c r="O470" i="145"/>
  <c r="P470" i="145" s="1"/>
  <c r="R470" i="145" s="1"/>
  <c r="O330" i="145"/>
  <c r="P330" i="145" s="1"/>
  <c r="R330" i="145" s="1"/>
  <c r="O286" i="145"/>
  <c r="P286" i="145" s="1"/>
  <c r="R286" i="145" s="1"/>
  <c r="O421" i="145"/>
  <c r="P421" i="145" s="1"/>
  <c r="R421" i="145" s="1"/>
  <c r="O145" i="145"/>
  <c r="P145" i="145" s="1"/>
  <c r="R145" i="145" s="1"/>
  <c r="O84" i="145"/>
  <c r="P84" i="145" s="1"/>
  <c r="R84" i="145" s="1"/>
  <c r="O157" i="145"/>
  <c r="P157" i="145" s="1"/>
  <c r="R157" i="145" s="1"/>
  <c r="O411" i="145"/>
  <c r="P411" i="145" s="1"/>
  <c r="R411" i="145" s="1"/>
  <c r="O342" i="145"/>
  <c r="P342" i="145" s="1"/>
  <c r="R342" i="145" s="1"/>
  <c r="O31" i="145"/>
  <c r="P31" i="145" s="1"/>
  <c r="R31" i="145" s="1"/>
  <c r="O32" i="145"/>
  <c r="P32" i="145" s="1"/>
  <c r="R32" i="145" s="1"/>
  <c r="O335" i="145"/>
  <c r="P335" i="145" s="1"/>
  <c r="R335" i="145" s="1"/>
  <c r="O369" i="145"/>
  <c r="P369" i="145" s="1"/>
  <c r="R369" i="145" s="1"/>
  <c r="O143" i="145"/>
  <c r="P143" i="145" s="1"/>
  <c r="R143" i="145" s="1"/>
  <c r="O98" i="145"/>
  <c r="P98" i="145" s="1"/>
  <c r="R98" i="145" s="1"/>
  <c r="O25" i="145"/>
  <c r="P25" i="145" s="1"/>
  <c r="R25" i="145" s="1"/>
  <c r="O302" i="145"/>
  <c r="P302" i="145" s="1"/>
  <c r="R302" i="145" s="1"/>
  <c r="O75" i="145"/>
  <c r="P75" i="145" s="1"/>
  <c r="R75" i="145" s="1"/>
  <c r="O406" i="145"/>
  <c r="P406" i="145" s="1"/>
  <c r="R406" i="145" s="1"/>
  <c r="O490" i="145"/>
  <c r="P490" i="145" s="1"/>
  <c r="R490" i="145" s="1"/>
  <c r="O430" i="145"/>
  <c r="P430" i="145" s="1"/>
  <c r="R430" i="145" s="1"/>
  <c r="O24" i="145"/>
  <c r="P24" i="145" s="1"/>
  <c r="R24" i="145" s="1"/>
  <c r="O19" i="145"/>
  <c r="P19" i="145" s="1"/>
  <c r="R19" i="145" s="1"/>
  <c r="O233" i="145"/>
  <c r="P233" i="145" s="1"/>
  <c r="R233" i="145" s="1"/>
  <c r="O124" i="145"/>
  <c r="P124" i="145" s="1"/>
  <c r="R124" i="145" s="1"/>
  <c r="O283" i="145"/>
  <c r="P283" i="145" s="1"/>
  <c r="R283" i="145" s="1"/>
  <c r="O417" i="145"/>
  <c r="P417" i="145" s="1"/>
  <c r="R417" i="145" s="1"/>
  <c r="O16" i="145"/>
  <c r="P16" i="145" s="1"/>
  <c r="R16" i="145" s="1"/>
  <c r="O161" i="145"/>
  <c r="P161" i="145" s="1"/>
  <c r="R161" i="145" s="1"/>
  <c r="O459" i="145"/>
  <c r="P459" i="145" s="1"/>
  <c r="R459" i="145" s="1"/>
  <c r="O227" i="145"/>
  <c r="P227" i="145" s="1"/>
  <c r="R227" i="145" s="1"/>
  <c r="O102" i="145"/>
  <c r="P102" i="145" s="1"/>
  <c r="R102" i="145" s="1"/>
  <c r="O93" i="145"/>
  <c r="P93" i="145" s="1"/>
  <c r="R93" i="145" s="1"/>
  <c r="O391" i="145"/>
  <c r="P391" i="145" s="1"/>
  <c r="R391" i="145" s="1"/>
  <c r="O450" i="145"/>
  <c r="P450" i="145" s="1"/>
  <c r="R450" i="145" s="1"/>
  <c r="O321" i="145"/>
  <c r="P321" i="145" s="1"/>
  <c r="R321" i="145" s="1"/>
  <c r="O364" i="145"/>
  <c r="P364" i="145" s="1"/>
  <c r="R364" i="145" s="1"/>
  <c r="O168" i="145"/>
  <c r="P168" i="145" s="1"/>
  <c r="R168" i="145" s="1"/>
  <c r="O262" i="145"/>
  <c r="P262" i="145" s="1"/>
  <c r="R262" i="145" s="1"/>
  <c r="O253" i="145"/>
  <c r="P253" i="145" s="1"/>
  <c r="R253" i="145" s="1"/>
  <c r="O204" i="145"/>
  <c r="P204" i="145" s="1"/>
  <c r="R204" i="145" s="1"/>
  <c r="O438" i="145"/>
  <c r="P438" i="145" s="1"/>
  <c r="R438" i="145" s="1"/>
  <c r="O240" i="145"/>
  <c r="P240" i="145" s="1"/>
  <c r="R240" i="145" s="1"/>
  <c r="O190" i="145"/>
  <c r="P190" i="145" s="1"/>
  <c r="R190" i="145" s="1"/>
  <c r="O197" i="145"/>
  <c r="P197" i="145" s="1"/>
  <c r="R197" i="145" s="1"/>
  <c r="O495" i="145"/>
  <c r="P495" i="145" s="1"/>
  <c r="R495" i="145" s="1"/>
  <c r="O183" i="145"/>
  <c r="P183" i="145" s="1"/>
  <c r="R183" i="145" s="1"/>
  <c r="O309" i="145"/>
  <c r="P309" i="145" s="1"/>
  <c r="R309" i="145" s="1"/>
  <c r="O295" i="145"/>
  <c r="P295" i="145" s="1"/>
  <c r="R295" i="145" s="1"/>
  <c r="O64" i="145"/>
  <c r="P64" i="145" s="1"/>
  <c r="R64" i="145" s="1"/>
  <c r="O365" i="145"/>
  <c r="P365" i="145" s="1"/>
  <c r="R365" i="145" s="1"/>
  <c r="O178" i="145"/>
  <c r="P178" i="145" s="1"/>
  <c r="R178" i="145" s="1"/>
  <c r="O334" i="145"/>
  <c r="P334" i="145" s="1"/>
  <c r="R334" i="145" s="1"/>
  <c r="O264" i="145"/>
  <c r="P264" i="145" s="1"/>
  <c r="R264" i="145" s="1"/>
  <c r="O444" i="145"/>
  <c r="P444" i="145" s="1"/>
  <c r="R444" i="145" s="1"/>
  <c r="O260" i="145"/>
  <c r="P260" i="145" s="1"/>
  <c r="R260" i="145" s="1"/>
  <c r="O320" i="145"/>
  <c r="P320" i="145" s="1"/>
  <c r="R320" i="145" s="1"/>
  <c r="O296" i="145"/>
  <c r="P296" i="145" s="1"/>
  <c r="R296" i="145" s="1"/>
  <c r="O188" i="145"/>
  <c r="P188" i="145" s="1"/>
  <c r="R188" i="145" s="1"/>
  <c r="O76" i="145"/>
  <c r="P76" i="145" s="1"/>
  <c r="R76" i="145" s="1"/>
  <c r="O357" i="145"/>
  <c r="P357" i="145" s="1"/>
  <c r="R357" i="145" s="1"/>
  <c r="O493" i="145"/>
  <c r="P493" i="145" s="1"/>
  <c r="R493" i="145" s="1"/>
  <c r="O319" i="145"/>
  <c r="P319" i="145" s="1"/>
  <c r="R319" i="145" s="1"/>
  <c r="O274" i="145"/>
  <c r="P274" i="145" s="1"/>
  <c r="R274" i="145" s="1"/>
  <c r="O201" i="145"/>
  <c r="P201" i="145" s="1"/>
  <c r="R201" i="145" s="1"/>
  <c r="O499" i="145"/>
  <c r="P499" i="145" s="1"/>
  <c r="R499" i="145" s="1"/>
  <c r="O251" i="145"/>
  <c r="P251" i="145" s="1"/>
  <c r="R251" i="145" s="1"/>
  <c r="O353" i="145"/>
  <c r="P353" i="145" s="1"/>
  <c r="R353" i="145" s="1"/>
  <c r="O132" i="145"/>
  <c r="P132" i="145" s="1"/>
  <c r="R132" i="145" s="1"/>
  <c r="O46" i="145"/>
  <c r="P46" i="145" s="1"/>
  <c r="R46" i="145" s="1"/>
  <c r="O39" i="145"/>
  <c r="P39" i="145" s="1"/>
  <c r="R39" i="145" s="1"/>
  <c r="O412" i="145"/>
  <c r="P412" i="145" s="1"/>
  <c r="R412" i="145" s="1"/>
  <c r="O261" i="145"/>
  <c r="P261" i="145" s="1"/>
  <c r="R261" i="145" s="1"/>
  <c r="O205" i="145"/>
  <c r="P205" i="145" s="1"/>
  <c r="R205" i="145" s="1"/>
  <c r="O192" i="145"/>
  <c r="P192" i="145" s="1"/>
  <c r="R192" i="145" s="1"/>
  <c r="O175" i="145"/>
  <c r="P175" i="145" s="1"/>
  <c r="R175" i="145" s="1"/>
  <c r="O57" i="145"/>
  <c r="P57" i="145" s="1"/>
  <c r="R57" i="145" s="1"/>
  <c r="O107" i="145"/>
  <c r="P107" i="145" s="1"/>
  <c r="R107" i="145" s="1"/>
  <c r="O148" i="145"/>
  <c r="P148" i="145" s="1"/>
  <c r="R148" i="145" s="1"/>
  <c r="O191" i="145"/>
  <c r="P191" i="145" s="1"/>
  <c r="R191" i="145" s="1"/>
  <c r="O108" i="145"/>
  <c r="P108" i="145" s="1"/>
  <c r="R108" i="145" s="1"/>
  <c r="O372" i="145"/>
  <c r="P372" i="145" s="1"/>
  <c r="R372" i="145" s="1"/>
  <c r="O404" i="145"/>
  <c r="P404" i="145" s="1"/>
  <c r="R404" i="145" s="1"/>
  <c r="O402" i="145"/>
  <c r="P402" i="145" s="1"/>
  <c r="R402" i="145" s="1"/>
  <c r="O34" i="145"/>
  <c r="P34" i="145" s="1"/>
  <c r="R34" i="145" s="1"/>
  <c r="O56" i="145"/>
  <c r="P56" i="145" s="1"/>
  <c r="R56" i="145" s="1"/>
  <c r="O410" i="145"/>
  <c r="P410" i="145" s="1"/>
  <c r="R410" i="145" s="1"/>
  <c r="O478" i="145"/>
  <c r="P478" i="145" s="1"/>
  <c r="R478" i="145" s="1"/>
  <c r="O242" i="145"/>
  <c r="P242" i="145" s="1"/>
  <c r="R242" i="145" s="1"/>
  <c r="O403" i="145"/>
  <c r="P403" i="145" s="1"/>
  <c r="R403" i="145" s="1"/>
  <c r="O375" i="145"/>
  <c r="P375" i="145" s="1"/>
  <c r="R375" i="145" s="1"/>
  <c r="O393" i="145"/>
  <c r="P393" i="145" s="1"/>
  <c r="R393" i="145" s="1"/>
  <c r="O33" i="145"/>
  <c r="P33" i="145" s="1"/>
  <c r="R33" i="145" s="1"/>
  <c r="O21" i="145"/>
  <c r="P21" i="145" s="1"/>
  <c r="R21" i="145" s="1"/>
  <c r="O448" i="145"/>
  <c r="P448" i="145" s="1"/>
  <c r="R448" i="145" s="1"/>
  <c r="O356" i="145"/>
  <c r="P356" i="145" s="1"/>
  <c r="R356" i="145" s="1"/>
  <c r="O312" i="145"/>
  <c r="P312" i="145" s="1"/>
  <c r="R312" i="145" s="1"/>
  <c r="O426" i="145"/>
  <c r="P426" i="145" s="1"/>
  <c r="R426" i="145" s="1"/>
  <c r="O454" i="145"/>
  <c r="P454" i="145" s="1"/>
  <c r="R454" i="145" s="1"/>
  <c r="O152" i="145"/>
  <c r="P152" i="145" s="1"/>
  <c r="R152" i="145" s="1"/>
  <c r="O51" i="145"/>
  <c r="P51" i="145" s="1"/>
  <c r="R51" i="145" s="1"/>
  <c r="O265" i="145"/>
  <c r="P265" i="145" s="1"/>
  <c r="R265" i="145" s="1"/>
  <c r="O252" i="145"/>
  <c r="P252" i="145" s="1"/>
  <c r="R252" i="145" s="1"/>
  <c r="O315" i="145"/>
  <c r="P315" i="145" s="1"/>
  <c r="R315" i="145" s="1"/>
  <c r="O481" i="145"/>
  <c r="P481" i="145" s="1"/>
  <c r="R481" i="145" s="1"/>
  <c r="O473" i="145"/>
  <c r="P473" i="145" s="1"/>
  <c r="R473" i="145" s="1"/>
  <c r="O271" i="145"/>
  <c r="P271" i="145" s="1"/>
  <c r="R271" i="145" s="1"/>
  <c r="O433" i="145"/>
  <c r="P433" i="145" s="1"/>
  <c r="R433" i="145" s="1"/>
  <c r="O186" i="145"/>
  <c r="P186" i="145" s="1"/>
  <c r="R186" i="145" s="1"/>
  <c r="O97" i="145"/>
  <c r="P97" i="145" s="1"/>
  <c r="R97" i="145" s="1"/>
  <c r="O74" i="145"/>
  <c r="P74" i="145" s="1"/>
  <c r="R74" i="145" s="1"/>
  <c r="O370" i="145"/>
  <c r="P370" i="145" s="1"/>
  <c r="R370" i="145" s="1"/>
  <c r="O104" i="145"/>
  <c r="P104" i="145" s="1"/>
  <c r="R104" i="145" s="1"/>
  <c r="O136" i="145"/>
  <c r="P136" i="145" s="1"/>
  <c r="R136" i="145" s="1"/>
  <c r="O112" i="145"/>
  <c r="P112" i="145" s="1"/>
  <c r="R112" i="145" s="1"/>
  <c r="O373" i="145"/>
  <c r="P373" i="145" s="1"/>
  <c r="R373" i="145" s="1"/>
  <c r="O366" i="145"/>
  <c r="P366" i="145" s="1"/>
  <c r="R366" i="145" s="1"/>
  <c r="O419" i="145"/>
  <c r="P419" i="145" s="1"/>
  <c r="R419" i="145" s="1"/>
  <c r="O255" i="145"/>
  <c r="P255" i="145" s="1"/>
  <c r="R255" i="145" s="1"/>
  <c r="O187" i="145"/>
  <c r="P187" i="145" s="1"/>
  <c r="R187" i="145" s="1"/>
  <c r="O42" i="145"/>
  <c r="P42" i="145" s="1"/>
  <c r="R42" i="145" s="1"/>
  <c r="O453" i="145"/>
  <c r="P453" i="145" s="1"/>
  <c r="R453" i="145" s="1"/>
  <c r="O30" i="145"/>
  <c r="P30" i="145" s="1"/>
  <c r="R30" i="145" s="1"/>
  <c r="O401" i="145"/>
  <c r="P401" i="145" s="1"/>
  <c r="R401" i="145" s="1"/>
  <c r="O443" i="145"/>
  <c r="P443" i="145" s="1"/>
  <c r="R443" i="145" s="1"/>
  <c r="O291" i="145"/>
  <c r="P291" i="145" s="1"/>
  <c r="R291" i="145" s="1"/>
  <c r="O293" i="145"/>
  <c r="P293" i="145" s="1"/>
  <c r="R293" i="145" s="1"/>
  <c r="O290" i="145"/>
  <c r="P290" i="145" s="1"/>
  <c r="R290" i="145" s="1"/>
  <c r="O211" i="145"/>
  <c r="P211" i="145" s="1"/>
  <c r="R211" i="145" s="1"/>
  <c r="O225" i="145"/>
  <c r="P225" i="145" s="1"/>
  <c r="R225" i="145" s="1"/>
  <c r="O488" i="145"/>
  <c r="P488" i="145" s="1"/>
  <c r="R488" i="145" s="1"/>
  <c r="O179" i="145"/>
  <c r="P179" i="145" s="1"/>
  <c r="R179" i="145" s="1"/>
  <c r="O354" i="145"/>
  <c r="P354" i="145" s="1"/>
  <c r="R354" i="145" s="1"/>
  <c r="O389" i="145"/>
  <c r="P389" i="145" s="1"/>
  <c r="R389" i="145" s="1"/>
  <c r="O326" i="145"/>
  <c r="P326" i="145" s="1"/>
  <c r="R326" i="145" s="1"/>
  <c r="O250" i="145"/>
  <c r="P250" i="145" s="1"/>
  <c r="R250" i="145" s="1"/>
  <c r="O328" i="145"/>
  <c r="P328" i="145" s="1"/>
  <c r="R328" i="145" s="1"/>
  <c r="O216" i="145"/>
  <c r="P216" i="145" s="1"/>
  <c r="R216" i="145" s="1"/>
  <c r="O67" i="145"/>
  <c r="P67" i="145" s="1"/>
  <c r="R67" i="145" s="1"/>
  <c r="O281" i="145"/>
  <c r="P281" i="145" s="1"/>
  <c r="R281" i="145" s="1"/>
  <c r="O304" i="145"/>
  <c r="P304" i="145" s="1"/>
  <c r="R304" i="145" s="1"/>
  <c r="O331" i="145"/>
  <c r="P331" i="145" s="1"/>
  <c r="R331" i="145" s="1"/>
  <c r="O128" i="145"/>
  <c r="P128" i="145" s="1"/>
  <c r="R128" i="145" s="1"/>
  <c r="O306" i="145"/>
  <c r="P306" i="145" s="1"/>
  <c r="R306" i="145" s="1"/>
  <c r="O209" i="145"/>
  <c r="P209" i="145" s="1"/>
  <c r="R209" i="145" s="1"/>
  <c r="O28" i="145"/>
  <c r="P28" i="145" s="1"/>
  <c r="R28" i="145" s="1"/>
  <c r="O275" i="145"/>
  <c r="P275" i="145" s="1"/>
  <c r="R275" i="145" s="1"/>
  <c r="O150" i="145"/>
  <c r="P150" i="145" s="1"/>
  <c r="R150" i="145" s="1"/>
  <c r="O141" i="145"/>
  <c r="P141" i="145" s="1"/>
  <c r="R141" i="145" s="1"/>
  <c r="O439" i="145"/>
  <c r="P439" i="145" s="1"/>
  <c r="R439" i="145" s="1"/>
  <c r="O322" i="145"/>
  <c r="P322" i="145" s="1"/>
  <c r="R322" i="145" s="1"/>
  <c r="O380" i="145"/>
  <c r="P380" i="145" s="1"/>
  <c r="R380" i="145" s="1"/>
  <c r="O78" i="145"/>
  <c r="P78" i="145" s="1"/>
  <c r="R78" i="145" s="1"/>
  <c r="O85" i="145"/>
  <c r="P85" i="145" s="1"/>
  <c r="R85" i="145" s="1"/>
  <c r="O383" i="145"/>
  <c r="P383" i="145" s="1"/>
  <c r="R383" i="145" s="1"/>
  <c r="O71" i="145"/>
  <c r="P71" i="145" s="1"/>
  <c r="R71" i="145" s="1"/>
  <c r="O10" i="145"/>
  <c r="P10" i="145" s="1"/>
  <c r="R10" i="145" s="1"/>
  <c r="O392" i="145"/>
  <c r="P392" i="145" s="1"/>
  <c r="R392" i="145" s="1"/>
  <c r="O464" i="145"/>
  <c r="P464" i="145" s="1"/>
  <c r="R464" i="145" s="1"/>
  <c r="O238" i="145"/>
  <c r="P238" i="145" s="1"/>
  <c r="R238" i="145" s="1"/>
  <c r="O245" i="145"/>
  <c r="P245" i="145" s="1"/>
  <c r="R245" i="145" s="1"/>
  <c r="O172" i="145"/>
  <c r="P172" i="145" s="1"/>
  <c r="R172" i="145" s="1"/>
  <c r="O231" i="145"/>
  <c r="P231" i="145" s="1"/>
  <c r="R231" i="145" s="1"/>
  <c r="O170" i="145"/>
  <c r="P170" i="145" s="1"/>
  <c r="R170" i="145" s="1"/>
  <c r="O272" i="145"/>
  <c r="P272" i="145" s="1"/>
  <c r="R272" i="145" s="1"/>
  <c r="O489" i="145"/>
  <c r="P489" i="145" s="1"/>
  <c r="R489" i="145" s="1"/>
  <c r="O434" i="145"/>
  <c r="P434" i="145" s="1"/>
  <c r="R434" i="145" s="1"/>
  <c r="O159" i="145"/>
  <c r="P159" i="145" s="1"/>
  <c r="R159" i="145" s="1"/>
  <c r="O114" i="145"/>
  <c r="P114" i="145" s="1"/>
  <c r="R114" i="145" s="1"/>
  <c r="O41" i="145"/>
  <c r="P41" i="145" s="1"/>
  <c r="R41" i="145" s="1"/>
  <c r="O129" i="145"/>
  <c r="P129" i="145" s="1"/>
  <c r="R129" i="145" s="1"/>
  <c r="O195" i="145"/>
  <c r="P195" i="145" s="1"/>
  <c r="R195" i="145" s="1"/>
  <c r="O61" i="145"/>
  <c r="P61" i="145" s="1"/>
  <c r="R61" i="145" s="1"/>
  <c r="O386" i="145"/>
  <c r="P386" i="145" s="1"/>
  <c r="R386" i="145" s="1"/>
  <c r="O337" i="145"/>
  <c r="P337" i="145" s="1"/>
  <c r="R337" i="145" s="1"/>
  <c r="O232" i="145"/>
  <c r="P232" i="145" s="1"/>
  <c r="R232" i="145" s="1"/>
  <c r="O13" i="145"/>
  <c r="P13" i="145" s="1"/>
  <c r="R13" i="145" s="1"/>
  <c r="O376" i="145"/>
  <c r="P376" i="145" s="1"/>
  <c r="R376" i="145" s="1"/>
  <c r="O160" i="145"/>
  <c r="P160" i="145" s="1"/>
  <c r="R160" i="145" s="1"/>
  <c r="O289" i="145"/>
  <c r="P289" i="145" s="1"/>
  <c r="R289" i="145" s="1"/>
  <c r="O277" i="145"/>
  <c r="P277" i="145" s="1"/>
  <c r="R277" i="145" s="1"/>
  <c r="O249" i="145"/>
  <c r="P249" i="145" s="1"/>
  <c r="R249" i="145" s="1"/>
  <c r="O221" i="145"/>
  <c r="P221" i="145" s="1"/>
  <c r="R221" i="145" s="1"/>
  <c r="O377" i="145"/>
  <c r="P377" i="145" s="1"/>
  <c r="R377" i="145" s="1"/>
  <c r="O398" i="145"/>
  <c r="P398" i="145" s="1"/>
  <c r="R398" i="145" s="1"/>
  <c r="O177" i="145"/>
  <c r="P177" i="145" s="1"/>
  <c r="R177" i="145" s="1"/>
  <c r="O475" i="145"/>
  <c r="P475" i="145" s="1"/>
  <c r="R475" i="145" s="1"/>
  <c r="O243" i="145"/>
  <c r="P243" i="145" s="1"/>
  <c r="R243" i="145" s="1"/>
  <c r="O118" i="145"/>
  <c r="P118" i="145" s="1"/>
  <c r="R118" i="145" s="1"/>
  <c r="O109" i="145"/>
  <c r="P109" i="145" s="1"/>
  <c r="R109" i="145" s="1"/>
  <c r="O407" i="145"/>
  <c r="P407" i="145" s="1"/>
  <c r="R407" i="145" s="1"/>
  <c r="O482" i="145"/>
  <c r="P482" i="145" s="1"/>
  <c r="R482" i="145" s="1"/>
  <c r="O324" i="145"/>
  <c r="P324" i="145" s="1"/>
  <c r="R324" i="145" s="1"/>
  <c r="O53" i="145"/>
  <c r="P53" i="145" s="1"/>
  <c r="R53" i="145" s="1"/>
  <c r="O451" i="145"/>
  <c r="P451" i="145" s="1"/>
  <c r="R451" i="145" s="1"/>
  <c r="O422" i="145"/>
  <c r="P422" i="145" s="1"/>
  <c r="R422" i="145" s="1"/>
  <c r="O236" i="145"/>
  <c r="P236" i="145" s="1"/>
  <c r="R236" i="145" s="1"/>
  <c r="O219" i="145"/>
  <c r="P219" i="145" s="1"/>
  <c r="R219" i="145" s="1"/>
  <c r="O484" i="145"/>
  <c r="P484" i="145" s="1"/>
  <c r="R484" i="145" s="1"/>
  <c r="O149" i="145"/>
  <c r="P149" i="145" s="1"/>
  <c r="R149" i="145" s="1"/>
  <c r="O135" i="145"/>
  <c r="P135" i="145" s="1"/>
  <c r="R135" i="145" s="1"/>
  <c r="O396" i="145"/>
  <c r="P396" i="145" s="1"/>
  <c r="R396" i="145" s="1"/>
  <c r="O500" i="145"/>
  <c r="P500" i="145" s="1"/>
  <c r="R500" i="145" s="1"/>
  <c r="O348" i="145"/>
  <c r="P348" i="145" s="1"/>
  <c r="R348" i="145" s="1"/>
  <c r="O73" i="145"/>
  <c r="P73" i="145" s="1"/>
  <c r="R73" i="145" s="1"/>
  <c r="O154" i="145"/>
  <c r="P154" i="145" s="1"/>
  <c r="R154" i="145" s="1"/>
  <c r="O390" i="145"/>
  <c r="P390" i="145" s="1"/>
  <c r="R390" i="145" s="1"/>
  <c r="O193" i="145"/>
  <c r="P193" i="145" s="1"/>
  <c r="R193" i="145" s="1"/>
  <c r="O259" i="145"/>
  <c r="P259" i="145" s="1"/>
  <c r="R259" i="145" s="1"/>
  <c r="O125" i="145"/>
  <c r="P125" i="145" s="1"/>
  <c r="R125" i="145" s="1"/>
  <c r="O96" i="145"/>
  <c r="P96" i="145" s="1"/>
  <c r="R96" i="145" s="1"/>
  <c r="O62" i="145"/>
  <c r="P62" i="145" s="1"/>
  <c r="R62" i="145" s="1"/>
  <c r="O367" i="145"/>
  <c r="P367" i="145" s="1"/>
  <c r="R367" i="145" s="1"/>
  <c r="O77" i="145"/>
  <c r="P77" i="145" s="1"/>
  <c r="R77" i="145" s="1"/>
  <c r="O472" i="145"/>
  <c r="P472" i="145" s="1"/>
  <c r="R472" i="145" s="1"/>
  <c r="O292" i="145"/>
  <c r="P292" i="145" s="1"/>
  <c r="R292" i="145" s="1"/>
  <c r="O14" i="145"/>
  <c r="P14" i="145" s="1"/>
  <c r="R14" i="145" s="1"/>
  <c r="O66" i="145"/>
  <c r="P66" i="145" s="1"/>
  <c r="R66" i="145" s="1"/>
  <c r="O313" i="145"/>
  <c r="P313" i="145" s="1"/>
  <c r="R313" i="145" s="1"/>
  <c r="O285" i="145"/>
  <c r="P285" i="145" s="1"/>
  <c r="R285" i="145" s="1"/>
  <c r="O288" i="145"/>
  <c r="P288" i="145" s="1"/>
  <c r="R288" i="145" s="1"/>
  <c r="O409" i="145"/>
  <c r="P409" i="145" s="1"/>
  <c r="R409" i="145" s="1"/>
  <c r="O241" i="145"/>
  <c r="P241" i="145" s="1"/>
  <c r="R241" i="145" s="1"/>
  <c r="O156" i="145"/>
  <c r="P156" i="145" s="1"/>
  <c r="R156" i="145" s="1"/>
  <c r="O307" i="145"/>
  <c r="P307" i="145" s="1"/>
  <c r="R307" i="145" s="1"/>
  <c r="O182" i="145"/>
  <c r="P182" i="145" s="1"/>
  <c r="R182" i="145" s="1"/>
  <c r="O173" i="145"/>
  <c r="P173" i="145" s="1"/>
  <c r="R173" i="145" s="1"/>
  <c r="O471" i="145"/>
  <c r="P471" i="145" s="1"/>
  <c r="R471" i="145" s="1"/>
  <c r="O461" i="145"/>
  <c r="P461" i="145" s="1"/>
  <c r="R461" i="145" s="1"/>
  <c r="O452" i="145"/>
  <c r="P452" i="145" s="1"/>
  <c r="R452" i="145" s="1"/>
  <c r="O153" i="145"/>
  <c r="P153" i="145" s="1"/>
  <c r="R153" i="145" s="1"/>
  <c r="O379" i="145"/>
  <c r="P379" i="145" s="1"/>
  <c r="R379" i="145" s="1"/>
  <c r="O345" i="145"/>
  <c r="P345" i="145" s="1"/>
  <c r="R345" i="145" s="1"/>
  <c r="O395" i="145"/>
  <c r="P395" i="145" s="1"/>
  <c r="R395" i="145" s="1"/>
  <c r="O310" i="145"/>
  <c r="P310" i="145" s="1"/>
  <c r="R310" i="145" s="1"/>
  <c r="O305" i="145"/>
  <c r="P305" i="145" s="1"/>
  <c r="R305" i="145" s="1"/>
  <c r="O329" i="145"/>
  <c r="P329" i="145" s="1"/>
  <c r="R329" i="145" s="1"/>
  <c r="O144" i="145"/>
  <c r="P144" i="145" s="1"/>
  <c r="R144" i="145" s="1"/>
  <c r="O117" i="145"/>
  <c r="P117" i="145" s="1"/>
  <c r="R117" i="145" s="1"/>
  <c r="O325" i="145"/>
  <c r="P325" i="145" s="1"/>
  <c r="R325" i="145" s="1"/>
  <c r="O429" i="145"/>
  <c r="P429" i="145" s="1"/>
  <c r="R429" i="145" s="1"/>
  <c r="O455" i="145"/>
  <c r="P455" i="145" s="1"/>
  <c r="R455" i="145" s="1"/>
  <c r="O210" i="145"/>
  <c r="P210" i="145" s="1"/>
  <c r="R210" i="145" s="1"/>
  <c r="O492" i="145"/>
  <c r="P492" i="145" s="1"/>
  <c r="R492" i="145" s="1"/>
  <c r="O496" i="145"/>
  <c r="P496" i="145" s="1"/>
  <c r="R496" i="145" s="1"/>
  <c r="O206" i="145"/>
  <c r="P206" i="145" s="1"/>
  <c r="R206" i="145" s="1"/>
  <c r="O37" i="145"/>
  <c r="P37" i="145" s="1"/>
  <c r="R37" i="145" s="1"/>
  <c r="O217" i="145"/>
  <c r="P217" i="145" s="1"/>
  <c r="R217" i="145" s="1"/>
  <c r="O86" i="145"/>
  <c r="P86" i="145" s="1"/>
  <c r="R86" i="145" s="1"/>
  <c r="O171" i="145"/>
  <c r="P171" i="145" s="1"/>
  <c r="R171" i="145" s="1"/>
  <c r="O279" i="145"/>
  <c r="P279" i="145" s="1"/>
  <c r="R279" i="145" s="1"/>
  <c r="O60" i="145"/>
  <c r="P60" i="145" s="1"/>
  <c r="R60" i="145" s="1"/>
  <c r="O336" i="145"/>
  <c r="P336" i="145" s="1"/>
  <c r="R336" i="145" s="1"/>
  <c r="O213" i="145"/>
  <c r="P213" i="145" s="1"/>
  <c r="R213" i="145" s="1"/>
  <c r="O446" i="145"/>
  <c r="P446" i="145" s="1"/>
  <c r="R446" i="145" s="1"/>
  <c r="O54" i="145"/>
  <c r="P54" i="145" s="1"/>
  <c r="R54" i="145" s="1"/>
  <c r="O381" i="145"/>
  <c r="P381" i="145" s="1"/>
  <c r="R381" i="145" s="1"/>
  <c r="O194" i="145"/>
  <c r="P194" i="145" s="1"/>
  <c r="R194" i="145" s="1"/>
  <c r="O301" i="145"/>
  <c r="P301" i="145" s="1"/>
  <c r="R301" i="145" s="1"/>
  <c r="O239" i="145"/>
  <c r="P239" i="145" s="1"/>
  <c r="R239" i="145" s="1"/>
  <c r="O441" i="145"/>
  <c r="P441" i="145" s="1"/>
  <c r="R441" i="145" s="1"/>
  <c r="O257" i="145"/>
  <c r="P257" i="145" s="1"/>
  <c r="R257" i="145" s="1"/>
  <c r="O220" i="145"/>
  <c r="P220" i="145" s="1"/>
  <c r="R220" i="145" s="1"/>
  <c r="O323" i="145"/>
  <c r="P323" i="145" s="1"/>
  <c r="R323" i="145" s="1"/>
  <c r="O198" i="145"/>
  <c r="P198" i="145" s="1"/>
  <c r="R198" i="145" s="1"/>
  <c r="O189" i="145"/>
  <c r="P189" i="145" s="1"/>
  <c r="R189" i="145" s="1"/>
  <c r="O487" i="145"/>
  <c r="P487" i="145" s="1"/>
  <c r="R487" i="145" s="1"/>
  <c r="O164" i="145"/>
  <c r="P164" i="145" s="1"/>
  <c r="R164" i="145" s="1"/>
  <c r="O468" i="145"/>
  <c r="P468" i="145" s="1"/>
  <c r="R468" i="145" s="1"/>
  <c r="O126" i="145"/>
  <c r="P126" i="145" s="1"/>
  <c r="R126" i="145" s="1"/>
  <c r="O133" i="145"/>
  <c r="P133" i="145" s="1"/>
  <c r="R133" i="145" s="1"/>
  <c r="O431" i="145"/>
  <c r="P431" i="145" s="1"/>
  <c r="R431" i="145" s="1"/>
  <c r="O119" i="145"/>
  <c r="P119" i="145" s="1"/>
  <c r="R119" i="145" s="1"/>
  <c r="O58" i="145"/>
  <c r="P58" i="145" s="1"/>
  <c r="R58" i="145" s="1"/>
  <c r="O440" i="145"/>
  <c r="P440" i="145" s="1"/>
  <c r="R440" i="145" s="1"/>
  <c r="O80" i="145"/>
  <c r="P80" i="145" s="1"/>
  <c r="R80" i="145" s="1"/>
  <c r="O437" i="145"/>
  <c r="P437" i="145" s="1"/>
  <c r="R437" i="145" s="1"/>
  <c r="O47" i="145"/>
  <c r="P47" i="145" s="1"/>
  <c r="R47" i="145" s="1"/>
  <c r="O341" i="145"/>
  <c r="P341" i="145" s="1"/>
  <c r="R341" i="145" s="1"/>
  <c r="O384" i="145"/>
  <c r="P384" i="145" s="1"/>
  <c r="R384" i="145" s="1"/>
  <c r="O327" i="145"/>
  <c r="P327" i="145" s="1"/>
  <c r="R327" i="145" s="1"/>
  <c r="O266" i="145"/>
  <c r="P266" i="145" s="1"/>
  <c r="R266" i="145" s="1"/>
  <c r="O20" i="145"/>
  <c r="P20" i="145" s="1"/>
  <c r="R20" i="145" s="1"/>
  <c r="O212" i="145"/>
  <c r="P212" i="145" s="1"/>
  <c r="R212" i="145" s="1"/>
  <c r="O207" i="145"/>
  <c r="P207" i="145" s="1"/>
  <c r="R207" i="145" s="1"/>
  <c r="O162" i="145"/>
  <c r="P162" i="145" s="1"/>
  <c r="R162" i="145" s="1"/>
  <c r="O89" i="145"/>
  <c r="P89" i="145" s="1"/>
  <c r="R89" i="145" s="1"/>
  <c r="O387" i="145"/>
  <c r="P387" i="145" s="1"/>
  <c r="R387" i="145" s="1"/>
  <c r="O139" i="145"/>
  <c r="P139" i="145" s="1"/>
  <c r="R139" i="145" s="1"/>
  <c r="O436" i="145"/>
  <c r="P436" i="145" s="1"/>
  <c r="R436" i="145" s="1"/>
  <c r="O477" i="145"/>
  <c r="P477" i="145" s="1"/>
  <c r="R477" i="145" s="1"/>
  <c r="O17" i="145"/>
  <c r="P17" i="145" s="1"/>
  <c r="R17" i="145" s="1"/>
  <c r="O280" i="145"/>
  <c r="P280" i="145" s="1"/>
  <c r="R280" i="145" s="1"/>
  <c r="O83" i="145"/>
  <c r="P83" i="145" s="1"/>
  <c r="R83" i="145" s="1"/>
  <c r="O297" i="145"/>
  <c r="P297" i="145" s="1"/>
  <c r="R297" i="145" s="1"/>
  <c r="O15" i="145"/>
  <c r="P15" i="145" s="1"/>
  <c r="R15" i="145" s="1"/>
  <c r="O352" i="145"/>
  <c r="P352" i="145" s="1"/>
  <c r="R352" i="145" s="1"/>
  <c r="O234" i="145"/>
  <c r="P234" i="145" s="1"/>
  <c r="R234" i="145" s="1"/>
  <c r="O485" i="145"/>
  <c r="P485" i="145" s="1"/>
  <c r="R485" i="145" s="1"/>
  <c r="O223" i="145"/>
  <c r="P223" i="145" s="1"/>
  <c r="R223" i="145" s="1"/>
  <c r="O105" i="145"/>
  <c r="P105" i="145" s="1"/>
  <c r="R105" i="145" s="1"/>
  <c r="O333" i="145"/>
  <c r="P333" i="145" s="1"/>
  <c r="R333" i="145" s="1"/>
  <c r="O486" i="145"/>
  <c r="P486" i="145" s="1"/>
  <c r="R486" i="145" s="1"/>
  <c r="O442" i="145"/>
  <c r="P442" i="145" s="1"/>
  <c r="R442" i="145" s="1"/>
  <c r="O270" i="145"/>
  <c r="P270" i="145" s="1"/>
  <c r="R270" i="145" s="1"/>
  <c r="O35" i="145"/>
  <c r="P35" i="145" s="1"/>
  <c r="R35" i="145" s="1"/>
  <c r="O230" i="145"/>
  <c r="P230" i="145" s="1"/>
  <c r="R230" i="145" s="1"/>
  <c r="O202" i="145"/>
  <c r="P202" i="145" s="1"/>
  <c r="R202" i="145" s="1"/>
  <c r="O449" i="145"/>
  <c r="P449" i="145" s="1"/>
  <c r="R449" i="145" s="1"/>
  <c r="O358" i="145"/>
  <c r="P358" i="145" s="1"/>
  <c r="R358" i="145" s="1"/>
  <c r="O94" i="145"/>
  <c r="P94" i="145" s="1"/>
  <c r="R94" i="145" s="1"/>
  <c r="O101" i="145"/>
  <c r="P101" i="145" s="1"/>
  <c r="R101" i="145" s="1"/>
  <c r="O399" i="145"/>
  <c r="P399" i="145" s="1"/>
  <c r="R399" i="145" s="1"/>
  <c r="O87" i="145"/>
  <c r="P87" i="145" s="1"/>
  <c r="R87" i="145" s="1"/>
  <c r="O26" i="145"/>
  <c r="P26" i="145" s="1"/>
  <c r="R26" i="145" s="1"/>
  <c r="O408" i="145"/>
  <c r="P408" i="145" s="1"/>
  <c r="R408" i="145" s="1"/>
  <c r="O480" i="145"/>
  <c r="P480" i="145" s="1"/>
  <c r="R480" i="145" s="1"/>
  <c r="O256" i="145"/>
  <c r="P256" i="145" s="1"/>
  <c r="R256" i="145" s="1"/>
  <c r="O226" i="145"/>
  <c r="P226" i="145" s="1"/>
  <c r="R226" i="145" s="1"/>
  <c r="O203" i="145"/>
  <c r="P203" i="145" s="1"/>
  <c r="R203" i="145" s="1"/>
  <c r="O81" i="145"/>
  <c r="P81" i="145" s="1"/>
  <c r="R81" i="145" s="1"/>
  <c r="O247" i="145"/>
  <c r="P247" i="145" s="1"/>
  <c r="R247" i="145" s="1"/>
  <c r="O12" i="145"/>
  <c r="P12" i="145" s="1"/>
  <c r="R12" i="145" s="1"/>
  <c r="O466" i="145"/>
  <c r="P466" i="145" s="1"/>
  <c r="R466" i="145" s="1"/>
  <c r="O130" i="145"/>
  <c r="P130" i="145" s="1"/>
  <c r="R130" i="145" s="1"/>
  <c r="O355" i="145"/>
  <c r="P355" i="145" s="1"/>
  <c r="R355" i="145" s="1"/>
  <c r="O300" i="145"/>
  <c r="P300" i="145" s="1"/>
  <c r="R300" i="145" s="1"/>
  <c r="O49" i="145"/>
  <c r="P49" i="145" s="1"/>
  <c r="R49" i="145" s="1"/>
  <c r="O229" i="145"/>
  <c r="P229" i="145" s="1"/>
  <c r="R229" i="145" s="1"/>
  <c r="O246" i="145"/>
  <c r="P246" i="145" s="1"/>
  <c r="R246" i="145" s="1"/>
  <c r="O123" i="145"/>
  <c r="P123" i="145" s="1"/>
  <c r="R123" i="145" s="1"/>
  <c r="O413" i="145"/>
  <c r="P413" i="145" s="1"/>
  <c r="R413" i="145" s="1"/>
  <c r="O79" i="145"/>
  <c r="P79" i="145" s="1"/>
  <c r="R79" i="145" s="1"/>
  <c r="O416" i="145"/>
  <c r="P416" i="145" s="1"/>
  <c r="R416" i="145" s="1"/>
  <c r="O11" i="145"/>
  <c r="P11" i="145" s="1"/>
  <c r="R11" i="145" s="1"/>
  <c r="O362" i="145"/>
  <c r="P362" i="145" s="1"/>
  <c r="R362" i="145" s="1"/>
  <c r="O287" i="145"/>
  <c r="P287" i="145" s="1"/>
  <c r="R287" i="145" s="1"/>
  <c r="O169" i="145"/>
  <c r="P169" i="145" s="1"/>
  <c r="R169" i="145" s="1"/>
  <c r="O122" i="145"/>
  <c r="P122" i="145" s="1"/>
  <c r="R122" i="145" s="1"/>
  <c r="O460" i="145"/>
  <c r="P460" i="145" s="1"/>
  <c r="R460" i="145" s="1"/>
  <c r="O382" i="145"/>
  <c r="P382" i="145" s="1"/>
  <c r="R382" i="145" s="1"/>
  <c r="O111" i="145"/>
  <c r="P111" i="145" s="1"/>
  <c r="R111" i="145" s="1"/>
  <c r="O99" i="145"/>
  <c r="P99" i="145" s="1"/>
  <c r="R99" i="145" s="1"/>
  <c r="O7" i="145"/>
  <c r="P7" i="145" s="1"/>
  <c r="R7" i="145" s="1"/>
  <c r="O43" i="145"/>
  <c r="P43" i="145" s="1"/>
  <c r="R43" i="145" s="1"/>
  <c r="O405" i="145"/>
  <c r="P405" i="145" s="1"/>
  <c r="R405" i="145" s="1"/>
  <c r="O420" i="145"/>
  <c r="P420" i="145" s="1"/>
  <c r="R420" i="145" s="1"/>
  <c r="O158" i="145"/>
  <c r="P158" i="145" s="1"/>
  <c r="R158" i="145" s="1"/>
  <c r="O165" i="145"/>
  <c r="P165" i="145" s="1"/>
  <c r="R165" i="145" s="1"/>
  <c r="O463" i="145"/>
  <c r="P463" i="145" s="1"/>
  <c r="R463" i="145" s="1"/>
  <c r="O151" i="145"/>
  <c r="P151" i="145" s="1"/>
  <c r="R151" i="145" s="1"/>
  <c r="O90" i="145"/>
  <c r="P90" i="145" s="1"/>
  <c r="R90" i="145" s="1"/>
  <c r="O428" i="145"/>
  <c r="P428" i="145" s="1"/>
  <c r="R428" i="145" s="1"/>
  <c r="O314" i="145"/>
  <c r="P314" i="145" s="1"/>
  <c r="R314" i="145" s="1"/>
  <c r="O116" i="145"/>
  <c r="P116" i="145" s="1"/>
  <c r="R116" i="145" s="1"/>
  <c r="O317" i="145"/>
  <c r="P317" i="145" s="1"/>
  <c r="R317" i="145" s="1"/>
  <c r="O147" i="145"/>
  <c r="P147" i="145" s="1"/>
  <c r="R147" i="145" s="1"/>
  <c r="O414" i="145"/>
  <c r="P414" i="145" s="1"/>
  <c r="R414" i="145" s="1"/>
  <c r="O163" i="145"/>
  <c r="P163" i="145" s="1"/>
  <c r="R163" i="145" s="1"/>
  <c r="O462" i="145"/>
  <c r="P462" i="145" s="1"/>
  <c r="R462" i="145" s="1"/>
  <c r="O347" i="145"/>
  <c r="P347" i="145" s="1"/>
  <c r="R347" i="145" s="1"/>
  <c r="O215" i="145"/>
  <c r="P215" i="145" s="1"/>
  <c r="R215" i="145" s="1"/>
  <c r="O469" i="145"/>
  <c r="P469" i="145" s="1"/>
  <c r="R469" i="145" s="1"/>
  <c r="O103" i="145"/>
  <c r="P103" i="145" s="1"/>
  <c r="R103" i="145" s="1"/>
  <c r="O311" i="145"/>
  <c r="P311" i="145" s="1"/>
  <c r="R311" i="145" s="1"/>
  <c r="O92" i="145"/>
  <c r="P92" i="145" s="1"/>
  <c r="R92" i="145" s="1"/>
  <c r="O425" i="145"/>
  <c r="P425" i="145" s="1"/>
  <c r="R425" i="145" s="1"/>
  <c r="O137" i="145"/>
  <c r="P137" i="145" s="1"/>
  <c r="R137" i="145" s="1"/>
  <c r="O196" i="145"/>
  <c r="P196" i="145" s="1"/>
  <c r="R196" i="145" s="1"/>
  <c r="O368" i="145"/>
  <c r="P368" i="145" s="1"/>
  <c r="R368" i="145" s="1"/>
  <c r="O166" i="145"/>
  <c r="P166" i="145" s="1"/>
  <c r="R166" i="145" s="1"/>
  <c r="O23" i="145"/>
  <c r="P23" i="145" s="1"/>
  <c r="R23" i="145" s="1"/>
  <c r="O267" i="145"/>
  <c r="P267" i="145" s="1"/>
  <c r="R267" i="145" s="1"/>
  <c r="O338" i="145"/>
  <c r="P338" i="145" s="1"/>
  <c r="R338" i="145" s="1"/>
  <c r="O397" i="145"/>
  <c r="P397" i="145" s="1"/>
  <c r="R397" i="145" s="1"/>
  <c r="O218" i="145"/>
  <c r="P218" i="145" s="1"/>
  <c r="R218" i="145" s="1"/>
  <c r="O385" i="145"/>
  <c r="P385" i="145" s="1"/>
  <c r="R385" i="145" s="1"/>
  <c r="O268" i="145"/>
  <c r="P268" i="145" s="1"/>
  <c r="R268" i="145" s="1"/>
  <c r="O121" i="145"/>
  <c r="P121" i="145" s="1"/>
  <c r="R121" i="145" s="1"/>
  <c r="O113" i="145"/>
  <c r="P113" i="145" s="1"/>
  <c r="R113" i="145" s="1"/>
  <c r="O45" i="145"/>
  <c r="P45" i="145" s="1"/>
  <c r="R45" i="145" s="1"/>
  <c r="O110" i="145"/>
  <c r="P110" i="145" s="1"/>
  <c r="R110" i="145" s="1"/>
  <c r="O138" i="145"/>
  <c r="P138" i="145" s="1"/>
  <c r="R138" i="145" s="1"/>
  <c r="O374" i="145"/>
  <c r="P374" i="145" s="1"/>
  <c r="R374" i="145" s="1"/>
  <c r="O199" i="145"/>
  <c r="P199" i="145" s="1"/>
  <c r="R199" i="145" s="1"/>
  <c r="O224" i="145"/>
  <c r="P224" i="145" s="1"/>
  <c r="R224" i="145" s="1"/>
  <c r="S4" i="145" a="1"/>
  <c r="S479" i="145" a="1"/>
  <c r="S361" i="145" a="1"/>
  <c r="S432" i="145" a="1"/>
  <c r="S394" i="145" a="1"/>
  <c r="S185" i="145" a="1"/>
  <c r="S65" i="145" a="1"/>
  <c r="S388" i="145" a="1"/>
  <c r="S273" i="145" a="1"/>
  <c r="S427" i="145" a="1"/>
  <c r="S5" i="145" a="1"/>
  <c r="S465" i="145" a="1"/>
  <c r="S299" i="145" a="1"/>
  <c r="S18" i="145" a="1"/>
  <c r="S346" i="145" a="1"/>
  <c r="S360" i="145" a="1"/>
  <c r="S142" i="145" a="1"/>
  <c r="S222" i="145" a="1"/>
  <c r="S276" i="145" a="1"/>
  <c r="S340" i="145" a="1"/>
  <c r="S418" i="145" a="1"/>
  <c r="S184" i="145" a="1"/>
  <c r="S127" i="145" a="1"/>
  <c r="S59" i="145" a="1"/>
  <c r="S48" i="145" a="1"/>
  <c r="S349" i="145" a="1"/>
  <c r="S424" i="145" a="1"/>
  <c r="S435" i="145" a="1"/>
  <c r="S344" i="145" a="1"/>
  <c r="S421" i="145" a="1"/>
  <c r="S411" i="145" a="1"/>
  <c r="S335" i="145" a="1"/>
  <c r="S25" i="145" a="1"/>
  <c r="S490" i="145" a="1"/>
  <c r="S233" i="145" a="1"/>
  <c r="S16" i="145" a="1"/>
  <c r="S102" i="145" a="1"/>
  <c r="S321" i="145" a="1"/>
  <c r="S253" i="145" a="1"/>
  <c r="S190" i="145" a="1"/>
  <c r="S309" i="145" a="1"/>
  <c r="S178" i="145" a="1"/>
  <c r="S260" i="145" a="1"/>
  <c r="S76" i="145" a="1"/>
  <c r="S274" i="145" a="1"/>
  <c r="S353" i="145" a="1"/>
  <c r="S412" i="145" a="1"/>
  <c r="S175" i="145" a="1"/>
  <c r="S191" i="145" a="1"/>
  <c r="S402" i="145" a="1"/>
  <c r="S478" i="145" a="1"/>
  <c r="S393" i="145" a="1"/>
  <c r="S356" i="145" a="1"/>
  <c r="S152" i="145" a="1"/>
  <c r="S315" i="145" a="1"/>
  <c r="S433" i="145" a="1"/>
  <c r="S370" i="145" a="1"/>
  <c r="S373" i="145" a="1"/>
  <c r="S187" i="145" a="1"/>
  <c r="S401" i="145" a="1"/>
  <c r="S290" i="145" a="1"/>
  <c r="S179" i="145" a="1"/>
  <c r="S250" i="145" a="1"/>
  <c r="S281" i="145" a="1"/>
  <c r="S306" i="145" a="1"/>
  <c r="S150" i="145" a="1"/>
  <c r="S380" i="145" a="1"/>
  <c r="S71" i="145" a="1"/>
  <c r="S238" i="145" a="1"/>
  <c r="S170" i="145" a="1"/>
  <c r="S159" i="145" a="1"/>
  <c r="S195" i="145" a="1"/>
  <c r="S232" i="145" a="1"/>
  <c r="S289" i="145" a="1"/>
  <c r="S377" i="145" a="1"/>
  <c r="S243" i="145" a="1"/>
  <c r="S482" i="145" a="1"/>
  <c r="S422" i="145" a="1"/>
  <c r="S149" i="145" a="1"/>
  <c r="S348" i="145" a="1"/>
  <c r="S193" i="145" a="1"/>
  <c r="S62" i="145" a="1"/>
  <c r="S292" i="145" a="1"/>
  <c r="S285" i="145" a="1"/>
  <c r="S156" i="145" a="1"/>
  <c r="S471" i="145" a="1"/>
  <c r="S379" i="145" a="1"/>
  <c r="S305" i="145" a="1"/>
  <c r="S325" i="145" a="1"/>
  <c r="S492" i="145" a="1"/>
  <c r="S217" i="145" a="1"/>
  <c r="S60" i="145" a="1"/>
  <c r="S54" i="145" a="1"/>
  <c r="S239" i="145" a="1"/>
  <c r="S323" i="145" a="1"/>
  <c r="S164" i="145" a="1"/>
  <c r="S431" i="145" a="1"/>
  <c r="S80" i="145" a="1"/>
  <c r="S384" i="145" a="1"/>
  <c r="S212" i="145" a="1"/>
  <c r="S387" i="145" a="1"/>
  <c r="S17" i="145" a="1"/>
  <c r="S15" i="145" a="1"/>
  <c r="S223" i="145" a="1"/>
  <c r="S442" i="145" a="1"/>
  <c r="S202" i="145" a="1"/>
  <c r="S101" i="145" a="1"/>
  <c r="S408" i="145" a="1"/>
  <c r="S203" i="145" a="1"/>
  <c r="S466" i="145" a="1"/>
  <c r="S49" i="145" a="1"/>
  <c r="S413" i="145" a="1"/>
  <c r="S362" i="145" a="1"/>
  <c r="S460" i="145" a="1"/>
  <c r="S7" i="145" a="1"/>
  <c r="S158" i="145" a="1"/>
  <c r="S90" i="145" a="1"/>
  <c r="S317" i="145" a="1"/>
  <c r="S462" i="145" a="1"/>
  <c r="S103" i="145" a="1"/>
  <c r="S137" i="145" a="1"/>
  <c r="S23" i="145" a="1"/>
  <c r="S218" i="145" a="1"/>
  <c r="S113" i="145" a="1"/>
  <c r="S374" i="145" a="1"/>
  <c r="S167" i="145" a="1"/>
  <c r="S244" i="145" a="1"/>
  <c r="S120" i="145" a="1"/>
  <c r="S308" i="145" a="1"/>
  <c r="S483" i="145" a="1"/>
  <c r="S363" i="145" a="1"/>
  <c r="S200" i="145" a="1"/>
  <c r="S284" i="145" a="1"/>
  <c r="S70" i="145" a="1"/>
  <c r="S278" i="145" a="1"/>
  <c r="S88" i="145" a="1"/>
  <c r="S68" i="145" a="1"/>
  <c r="S400" i="145" a="1"/>
  <c r="S316" i="145" a="1"/>
  <c r="S254" i="145" a="1"/>
  <c r="S447" i="145" a="1"/>
  <c r="S115" i="145" a="1"/>
  <c r="S491" i="145" a="1"/>
  <c r="S69" i="145" a="1"/>
  <c r="S332" i="145" a="1"/>
  <c r="S72" i="145" a="1"/>
  <c r="S82" i="145" a="1"/>
  <c r="S445" i="145" a="1"/>
  <c r="S22" i="145" a="1"/>
  <c r="S146" i="145" a="1"/>
  <c r="S8" i="145" a="1"/>
  <c r="S415" i="145" a="1"/>
  <c r="S470" i="145" a="1"/>
  <c r="S145" i="145" a="1"/>
  <c r="S342" i="145" a="1"/>
  <c r="S369" i="145" a="1"/>
  <c r="S302" i="145" a="1"/>
  <c r="S430" i="145" a="1"/>
  <c r="S124" i="145" a="1"/>
  <c r="S161" i="145" a="1"/>
  <c r="S93" i="145" a="1"/>
  <c r="S364" i="145" a="1"/>
  <c r="S204" i="145" a="1"/>
  <c r="S197" i="145" a="1"/>
  <c r="S295" i="145" a="1"/>
  <c r="S334" i="145" a="1"/>
  <c r="S320" i="145" a="1"/>
  <c r="S357" i="145" a="1"/>
  <c r="S201" i="145" a="1"/>
  <c r="S132" i="145" a="1"/>
  <c r="S261" i="145" a="1"/>
  <c r="S57" i="145" a="1"/>
  <c r="S108" i="145" a="1"/>
  <c r="S34" i="145" a="1"/>
  <c r="S242" i="145" a="1"/>
  <c r="S33" i="145" a="1"/>
  <c r="S312" i="145" a="1"/>
  <c r="S51" i="145" a="1"/>
  <c r="S481" i="145" a="1"/>
  <c r="S186" i="145" a="1"/>
  <c r="S104" i="145" a="1"/>
  <c r="S366" i="145" a="1"/>
  <c r="S42" i="145" a="1"/>
  <c r="S443" i="145" a="1"/>
  <c r="S211" i="145" a="1"/>
  <c r="S354" i="145" a="1"/>
  <c r="S328" i="145" a="1"/>
  <c r="S304" i="145" a="1"/>
  <c r="S209" i="145" a="1"/>
  <c r="S141" i="145" a="1"/>
  <c r="S78" i="145" a="1"/>
  <c r="S10" i="145" a="1"/>
  <c r="S245" i="145" a="1"/>
  <c r="S272" i="145" a="1"/>
  <c r="S114" i="145" a="1"/>
  <c r="S61" i="145" a="1"/>
  <c r="S13" i="145" a="1"/>
  <c r="S277" i="145" a="1"/>
  <c r="S398" i="145" a="1"/>
  <c r="S118" i="145" a="1"/>
  <c r="S324" i="145" a="1"/>
  <c r="S236" i="145" a="1"/>
  <c r="S135" i="145" a="1"/>
  <c r="S73" i="145" a="1"/>
  <c r="S259" i="145" a="1"/>
  <c r="S367" i="145" a="1"/>
  <c r="S14" i="145" a="1"/>
  <c r="S288" i="145" a="1"/>
  <c r="S307" i="145" a="1"/>
  <c r="S461" i="145" a="1"/>
  <c r="S345" i="145" a="1"/>
  <c r="S329" i="145" a="1"/>
  <c r="S429" i="145" a="1"/>
  <c r="S496" i="145" a="1"/>
  <c r="S86" i="145" a="1"/>
  <c r="S336" i="145" a="1"/>
  <c r="S381" i="145" a="1"/>
  <c r="S441" i="145" a="1"/>
  <c r="S198" i="145" a="1"/>
  <c r="S468" i="145" a="1"/>
  <c r="S119" i="145" a="1"/>
  <c r="S437" i="145" a="1"/>
  <c r="S327" i="145" a="1"/>
  <c r="S207" i="145" a="1"/>
  <c r="S139" i="145" a="1"/>
  <c r="S280" i="145" a="1"/>
  <c r="S352" i="145" a="1"/>
  <c r="S105" i="145" a="1"/>
  <c r="S270" i="145" a="1"/>
  <c r="S449" i="145" a="1"/>
  <c r="S399" i="145" a="1"/>
  <c r="S480" i="145" a="1"/>
  <c r="S81" i="145" a="1"/>
  <c r="S130" i="145" a="1"/>
  <c r="S229" i="145" a="1"/>
  <c r="S79" i="145" a="1"/>
  <c r="S287" i="145" a="1"/>
  <c r="S382" i="145" a="1"/>
  <c r="S43" i="145" a="1"/>
  <c r="S165" i="145" a="1"/>
  <c r="S428" i="145" a="1"/>
  <c r="S147" i="145" a="1"/>
  <c r="S347" i="145" a="1"/>
  <c r="S311" i="145" a="1"/>
  <c r="S196" i="145" a="1"/>
  <c r="S267" i="145" a="1"/>
  <c r="S385" i="145" a="1"/>
  <c r="S45" i="145" a="1"/>
  <c r="S199" i="145" a="1"/>
  <c r="S174" i="145" a="1"/>
  <c r="S106" i="145" a="1"/>
  <c r="S95" i="145" a="1"/>
  <c r="S27" i="145" a="1"/>
  <c r="S303" i="145" a="1"/>
  <c r="S235" i="145" a="1"/>
  <c r="S131" i="145" a="1"/>
  <c r="S52" i="145" a="1"/>
  <c r="S339" i="145" a="1"/>
  <c r="S359" i="145" a="1"/>
  <c r="S91" i="145" a="1"/>
  <c r="S40" i="145" a="1"/>
  <c r="S497" i="145" a="1"/>
  <c r="S343" i="145" a="1"/>
  <c r="S350" i="145" a="1"/>
  <c r="S467" i="145" a="1"/>
  <c r="S29" i="145" a="1"/>
  <c r="S371" i="145" a="1"/>
  <c r="S134" i="145" a="1"/>
  <c r="S55" i="145" a="1"/>
  <c r="S318" i="145" a="1"/>
  <c r="S494" i="145" a="1"/>
  <c r="S9" i="145" a="1"/>
  <c r="S458" i="145" a="1"/>
  <c r="S100" i="145" a="1"/>
  <c r="S237" i="145" a="1"/>
  <c r="S44" i="145" a="1"/>
  <c r="S269" i="145" a="1"/>
  <c r="S330" i="145" a="1"/>
  <c r="S84" i="145" a="1"/>
  <c r="S31" i="145" a="1"/>
  <c r="S143" i="145" a="1"/>
  <c r="S75" i="145" a="1"/>
  <c r="S24" i="145" a="1"/>
  <c r="S283" i="145" a="1"/>
  <c r="S459" i="145" a="1"/>
  <c r="S391" i="145" a="1"/>
  <c r="S168" i="145" a="1"/>
  <c r="S438" i="145" a="1"/>
  <c r="S495" i="145" a="1"/>
  <c r="S64" i="145" a="1"/>
  <c r="S264" i="145" a="1"/>
  <c r="S296" i="145" a="1"/>
  <c r="S493" i="145" a="1"/>
  <c r="S499" i="145" a="1"/>
  <c r="S46" i="145" a="1"/>
  <c r="S205" i="145" a="1"/>
  <c r="S107" i="145" a="1"/>
  <c r="S372" i="145" a="1"/>
  <c r="S56" i="145" a="1"/>
  <c r="S403" i="145" a="1"/>
  <c r="S21" i="145" a="1"/>
  <c r="S426" i="145" a="1"/>
  <c r="S265" i="145" a="1"/>
  <c r="S473" i="145" a="1"/>
  <c r="S97" i="145" a="1"/>
  <c r="S136" i="145" a="1"/>
  <c r="S419" i="145" a="1"/>
  <c r="S453" i="145" a="1"/>
  <c r="S291" i="145" a="1"/>
  <c r="S225" i="145" a="1"/>
  <c r="S389" i="145" a="1"/>
  <c r="S216" i="145" a="1"/>
  <c r="S331" i="145" a="1"/>
  <c r="S28" i="145" a="1"/>
  <c r="S439" i="145" a="1"/>
  <c r="S85" i="145" a="1"/>
  <c r="S392" i="145" a="1"/>
  <c r="S172" i="145" a="1"/>
  <c r="S489" i="145" a="1"/>
  <c r="S41" i="145" a="1"/>
  <c r="S386" i="145" a="1"/>
  <c r="S376" i="145" a="1"/>
  <c r="S249" i="145" a="1"/>
  <c r="S177" i="145" a="1"/>
  <c r="S109" i="145" a="1"/>
  <c r="S53" i="145" a="1"/>
  <c r="S219" i="145" a="1"/>
  <c r="S396" i="145" a="1"/>
  <c r="S154" i="145" a="1"/>
  <c r="S125" i="145" a="1"/>
  <c r="S77" i="145" a="1"/>
  <c r="S66" i="145" a="1"/>
  <c r="S409" i="145" a="1"/>
  <c r="S182" i="145" a="1"/>
  <c r="S452" i="145" a="1"/>
  <c r="S395" i="145" a="1"/>
  <c r="S144" i="145" a="1"/>
  <c r="S455" i="145" a="1"/>
  <c r="S206" i="145" a="1"/>
  <c r="S171" i="145" a="1"/>
  <c r="S213" i="145" a="1"/>
  <c r="S194" i="145" a="1"/>
  <c r="S257" i="145" a="1"/>
  <c r="S189" i="145" a="1"/>
  <c r="S126" i="145" a="1"/>
  <c r="S58" i="145" a="1"/>
  <c r="S47" i="145" a="1"/>
  <c r="S266" i="145" a="1"/>
  <c r="S162" i="145" a="1"/>
  <c r="S436" i="145" a="1"/>
  <c r="S83" i="145" a="1"/>
  <c r="S234" i="145" a="1"/>
  <c r="S333" i="145" a="1"/>
  <c r="S35" i="145" a="1"/>
  <c r="S358" i="145" a="1"/>
  <c r="S87" i="145" a="1"/>
  <c r="S256" i="145" a="1"/>
  <c r="S247" i="145" a="1"/>
  <c r="S355" i="145" a="1"/>
  <c r="S246" i="145" a="1"/>
  <c r="S416" i="145" a="1"/>
  <c r="S169" i="145" a="1"/>
  <c r="S111" i="145" a="1"/>
  <c r="S405" i="145" a="1"/>
  <c r="S463" i="145" a="1"/>
  <c r="S314" i="145" a="1"/>
  <c r="S414" i="145" a="1"/>
  <c r="S215" i="145" a="1"/>
  <c r="S92" i="145" a="1"/>
  <c r="S368" i="145" a="1"/>
  <c r="S338" i="145" a="1"/>
  <c r="S268" i="145" a="1"/>
  <c r="S110" i="145" a="1"/>
  <c r="S224" i="145" a="1"/>
  <c r="S181" i="145" a="1"/>
  <c r="S456" i="145" a="1"/>
  <c r="S50" i="145" a="1"/>
  <c r="S474" i="145" a="1"/>
  <c r="S258" i="145" a="1"/>
  <c r="S298" i="145" a="1"/>
  <c r="S6" i="145" a="1"/>
  <c r="S378" i="145" a="1"/>
  <c r="S214" i="145" a="1"/>
  <c r="S36" i="145" a="1"/>
  <c r="S180" i="145" a="1"/>
  <c r="S263" i="145" a="1"/>
  <c r="S63" i="145" a="1"/>
  <c r="S282" i="145" a="1"/>
  <c r="S351" i="145" a="1"/>
  <c r="S176" i="145" a="1"/>
  <c r="S208" i="145" a="1"/>
  <c r="S140" i="145" a="1"/>
  <c r="S423" i="145" a="1"/>
  <c r="S155" i="145" a="1"/>
  <c r="S294" i="145" a="1"/>
  <c r="S248" i="145" a="1"/>
  <c r="S228" i="145" a="1"/>
  <c r="S38" i="145" a="1"/>
  <c r="S457" i="145" a="1"/>
  <c r="S498" i="145" a="1"/>
  <c r="S476" i="145" a="1"/>
  <c r="S286" i="145" a="1"/>
  <c r="S157" i="145" a="1"/>
  <c r="S32" i="145" a="1"/>
  <c r="S98" i="145" a="1"/>
  <c r="S406" i="145" a="1"/>
  <c r="S19" i="145" a="1"/>
  <c r="S417" i="145" a="1"/>
  <c r="S227" i="145" a="1"/>
  <c r="S450" i="145" a="1"/>
  <c r="S262" i="145" a="1"/>
  <c r="S240" i="145" a="1"/>
  <c r="S183" i="145" a="1"/>
  <c r="S365" i="145" a="1"/>
  <c r="S444" i="145" a="1"/>
  <c r="S188" i="145" a="1"/>
  <c r="S319" i="145" a="1"/>
  <c r="S251" i="145" a="1"/>
  <c r="S39" i="145" a="1"/>
  <c r="S192" i="145" a="1"/>
  <c r="S148" i="145" a="1"/>
  <c r="S404" i="145" a="1"/>
  <c r="S410" i="145" a="1"/>
  <c r="S375" i="145" a="1"/>
  <c r="S448" i="145" a="1"/>
  <c r="S454" i="145" a="1"/>
  <c r="S252" i="145" a="1"/>
  <c r="S271" i="145" a="1"/>
  <c r="S74" i="145" a="1"/>
  <c r="S112" i="145" a="1"/>
  <c r="S255" i="145" a="1"/>
  <c r="S30" i="145" a="1"/>
  <c r="S293" i="145" a="1"/>
  <c r="S488" i="145" a="1"/>
  <c r="S326" i="145" a="1"/>
  <c r="S67" i="145" a="1"/>
  <c r="S128" i="145" a="1"/>
  <c r="S275" i="145" a="1"/>
  <c r="S322" i="145" a="1"/>
  <c r="S383" i="145" a="1"/>
  <c r="S464" i="145" a="1"/>
  <c r="S231" i="145" a="1"/>
  <c r="S434" i="145" a="1"/>
  <c r="S129" i="145" a="1"/>
  <c r="S337" i="145" a="1"/>
  <c r="S160" i="145" a="1"/>
  <c r="S221" i="145" a="1"/>
  <c r="S475" i="145" a="1"/>
  <c r="S407" i="145" a="1"/>
  <c r="S451" i="145" a="1"/>
  <c r="S484" i="145" a="1"/>
  <c r="S500" i="145" a="1"/>
  <c r="S390" i="145" a="1"/>
  <c r="S96" i="145" a="1"/>
  <c r="S472" i="145" a="1"/>
  <c r="S313" i="145" a="1"/>
  <c r="S241" i="145" a="1"/>
  <c r="S173" i="145" a="1"/>
  <c r="S153" i="145" a="1"/>
  <c r="S310" i="145" a="1"/>
  <c r="S117" i="145" a="1"/>
  <c r="S210" i="145" a="1"/>
  <c r="S37" i="145" a="1"/>
  <c r="S279" i="145" a="1"/>
  <c r="S446" i="145" a="1"/>
  <c r="S301" i="145" a="1"/>
  <c r="S220" i="145" a="1"/>
  <c r="S487" i="145" a="1"/>
  <c r="S133" i="145" a="1"/>
  <c r="S440" i="145" a="1"/>
  <c r="S341" i="145" a="1"/>
  <c r="S20" i="145" a="1"/>
  <c r="S89" i="145" a="1"/>
  <c r="S477" i="145" a="1"/>
  <c r="S297" i="145" a="1"/>
  <c r="S485" i="145" a="1"/>
  <c r="S486" i="145" a="1"/>
  <c r="S230" i="145" a="1"/>
  <c r="S94" i="145" a="1"/>
  <c r="S26" i="145" a="1"/>
  <c r="S226" i="145" a="1"/>
  <c r="S12" i="145" a="1"/>
  <c r="S300" i="145" a="1"/>
  <c r="S123" i="145" a="1"/>
  <c r="S11" i="145" a="1"/>
  <c r="S122" i="145" a="1"/>
  <c r="S99" i="145" a="1"/>
  <c r="S420" i="145" a="1"/>
  <c r="S151" i="145" a="1"/>
  <c r="S116" i="145" a="1"/>
  <c r="S163" i="145" a="1"/>
  <c r="S469" i="145" a="1"/>
  <c r="S425" i="145" a="1"/>
  <c r="S166" i="145" a="1"/>
  <c r="S397" i="145" a="1"/>
  <c r="S121" i="145" a="1"/>
  <c r="S138" i="145" a="1"/>
  <c r="S4" i="145" l="1"/>
  <c r="R2" i="145"/>
  <c r="H2" i="145" s="1"/>
  <c r="S138" i="145"/>
  <c r="S121" i="145"/>
  <c r="S397" i="145"/>
  <c r="S166" i="145"/>
  <c r="S425" i="145"/>
  <c r="S469" i="145"/>
  <c r="S163" i="145"/>
  <c r="S116" i="145"/>
  <c r="S151" i="145"/>
  <c r="S420" i="145"/>
  <c r="S99" i="145"/>
  <c r="S122" i="145"/>
  <c r="S11" i="145"/>
  <c r="S123" i="145"/>
  <c r="S300" i="145"/>
  <c r="S12" i="145"/>
  <c r="S226" i="145"/>
  <c r="S26" i="145"/>
  <c r="S94" i="145"/>
  <c r="S230" i="145"/>
  <c r="S486" i="145"/>
  <c r="S485" i="145"/>
  <c r="S297" i="145"/>
  <c r="S477" i="145"/>
  <c r="S89" i="145"/>
  <c r="S20" i="145"/>
  <c r="S341" i="145"/>
  <c r="S440" i="145"/>
  <c r="S133" i="145"/>
  <c r="S487" i="145"/>
  <c r="S220" i="145"/>
  <c r="S301" i="145"/>
  <c r="S446" i="145"/>
  <c r="S279" i="145"/>
  <c r="S37" i="145"/>
  <c r="S210" i="145"/>
  <c r="S117" i="145"/>
  <c r="S310" i="145"/>
  <c r="S153" i="145"/>
  <c r="S173" i="145"/>
  <c r="S241" i="145"/>
  <c r="S313" i="145"/>
  <c r="S472" i="145"/>
  <c r="S96" i="145"/>
  <c r="S390" i="145"/>
  <c r="S500" i="145"/>
  <c r="S484" i="145"/>
  <c r="S451" i="145"/>
  <c r="S407" i="145"/>
  <c r="S475" i="145"/>
  <c r="S221" i="145"/>
  <c r="S160" i="145"/>
  <c r="S337" i="145"/>
  <c r="S129" i="145"/>
  <c r="S434" i="145"/>
  <c r="S231" i="145"/>
  <c r="S464" i="145"/>
  <c r="S383" i="145"/>
  <c r="S322" i="145"/>
  <c r="S275" i="145"/>
  <c r="S128" i="145"/>
  <c r="S67" i="145"/>
  <c r="S326" i="145"/>
  <c r="S488" i="145"/>
  <c r="S293" i="145"/>
  <c r="S30" i="145"/>
  <c r="S255" i="145"/>
  <c r="S112" i="145"/>
  <c r="S74" i="145"/>
  <c r="S271" i="145"/>
  <c r="S252" i="145"/>
  <c r="S454" i="145"/>
  <c r="S448" i="145"/>
  <c r="S375" i="145"/>
  <c r="S410" i="145"/>
  <c r="S404" i="145"/>
  <c r="S148" i="145"/>
  <c r="S192" i="145"/>
  <c r="S39" i="145"/>
  <c r="S251" i="145"/>
  <c r="S319" i="145"/>
  <c r="S188" i="145"/>
  <c r="S444" i="145"/>
  <c r="S365" i="145"/>
  <c r="S183" i="145"/>
  <c r="S240" i="145"/>
  <c r="S262" i="145"/>
  <c r="S450" i="145"/>
  <c r="S227" i="145"/>
  <c r="S417" i="145"/>
  <c r="S19" i="145"/>
  <c r="S406" i="145"/>
  <c r="S98" i="145"/>
  <c r="S32" i="145"/>
  <c r="S157" i="145"/>
  <c r="S286" i="145"/>
  <c r="S476" i="145"/>
  <c r="S498" i="145"/>
  <c r="S457" i="145"/>
  <c r="S38" i="145"/>
  <c r="S228" i="145"/>
  <c r="S248" i="145"/>
  <c r="S294" i="145"/>
  <c r="S155" i="145"/>
  <c r="S423" i="145"/>
  <c r="S140" i="145"/>
  <c r="S208" i="145"/>
  <c r="S176" i="145"/>
  <c r="S351" i="145"/>
  <c r="S282" i="145"/>
  <c r="S63" i="145"/>
  <c r="S263" i="145"/>
  <c r="S180" i="145"/>
  <c r="S36" i="145"/>
  <c r="S214" i="145"/>
  <c r="S378" i="145"/>
  <c r="S6" i="145"/>
  <c r="S298" i="145"/>
  <c r="S258" i="145"/>
  <c r="S474" i="145"/>
  <c r="S50" i="145"/>
  <c r="S456" i="145"/>
  <c r="S181" i="145"/>
  <c r="S224" i="145"/>
  <c r="S110" i="145"/>
  <c r="S268" i="145"/>
  <c r="S338" i="145"/>
  <c r="S368" i="145"/>
  <c r="S92" i="145"/>
  <c r="S215" i="145"/>
  <c r="S414" i="145"/>
  <c r="S314" i="145"/>
  <c r="S463" i="145"/>
  <c r="S405" i="145"/>
  <c r="S111" i="145"/>
  <c r="S169" i="145"/>
  <c r="S416" i="145"/>
  <c r="S246" i="145"/>
  <c r="S355" i="145"/>
  <c r="S247" i="145"/>
  <c r="S256" i="145"/>
  <c r="S87" i="145"/>
  <c r="S358" i="145"/>
  <c r="S35" i="145"/>
  <c r="S333" i="145"/>
  <c r="S234" i="145"/>
  <c r="S83" i="145"/>
  <c r="S436" i="145"/>
  <c r="S162" i="145"/>
  <c r="S266" i="145"/>
  <c r="S47" i="145"/>
  <c r="S58" i="145"/>
  <c r="S126" i="145"/>
  <c r="S189" i="145"/>
  <c r="S257" i="145"/>
  <c r="S194" i="145"/>
  <c r="S213" i="145"/>
  <c r="S171" i="145"/>
  <c r="S206" i="145"/>
  <c r="S455" i="145"/>
  <c r="S144" i="145"/>
  <c r="S395" i="145"/>
  <c r="S452" i="145"/>
  <c r="S182" i="145"/>
  <c r="S409" i="145"/>
  <c r="S66" i="145"/>
  <c r="S77" i="145"/>
  <c r="S125" i="145"/>
  <c r="S154" i="145"/>
  <c r="S396" i="145"/>
  <c r="S219" i="145"/>
  <c r="S53" i="145"/>
  <c r="S109" i="145"/>
  <c r="S177" i="145"/>
  <c r="S249" i="145"/>
  <c r="S376" i="145"/>
  <c r="S386" i="145"/>
  <c r="S41" i="145"/>
  <c r="S489" i="145"/>
  <c r="S172" i="145"/>
  <c r="S392" i="145"/>
  <c r="S85" i="145"/>
  <c r="S439" i="145"/>
  <c r="S28" i="145"/>
  <c r="S331" i="145"/>
  <c r="S216" i="145"/>
  <c r="S389" i="145"/>
  <c r="S225" i="145"/>
  <c r="S291" i="145"/>
  <c r="S453" i="145"/>
  <c r="S419" i="145"/>
  <c r="S136" i="145"/>
  <c r="S97" i="145"/>
  <c r="S473" i="145"/>
  <c r="S265" i="145"/>
  <c r="S426" i="145"/>
  <c r="S21" i="145"/>
  <c r="S403" i="145"/>
  <c r="S56" i="145"/>
  <c r="S372" i="145"/>
  <c r="S107" i="145"/>
  <c r="S205" i="145"/>
  <c r="S46" i="145"/>
  <c r="S499" i="145"/>
  <c r="S493" i="145"/>
  <c r="S296" i="145"/>
  <c r="S264" i="145"/>
  <c r="S64" i="145"/>
  <c r="S495" i="145"/>
  <c r="S438" i="145"/>
  <c r="S168" i="145"/>
  <c r="S391" i="145"/>
  <c r="S459" i="145"/>
  <c r="S283" i="145"/>
  <c r="S24" i="145"/>
  <c r="S75" i="145"/>
  <c r="S143" i="145"/>
  <c r="S31" i="145"/>
  <c r="S84" i="145"/>
  <c r="S330" i="145"/>
  <c r="S269" i="145"/>
  <c r="S44" i="145"/>
  <c r="S237" i="145"/>
  <c r="S100" i="145"/>
  <c r="S458" i="145"/>
  <c r="S9" i="145"/>
  <c r="S494" i="145"/>
  <c r="S318" i="145"/>
  <c r="S55" i="145"/>
  <c r="S134" i="145"/>
  <c r="S371" i="145"/>
  <c r="S29" i="145"/>
  <c r="S467" i="145"/>
  <c r="S350" i="145"/>
  <c r="S343" i="145"/>
  <c r="S497" i="145"/>
  <c r="S40" i="145"/>
  <c r="S91" i="145"/>
  <c r="S359" i="145"/>
  <c r="S339" i="145"/>
  <c r="S52" i="145"/>
  <c r="S131" i="145"/>
  <c r="S235" i="145"/>
  <c r="S303" i="145"/>
  <c r="S27" i="145"/>
  <c r="S95" i="145"/>
  <c r="S106" i="145"/>
  <c r="S174" i="145"/>
  <c r="S199" i="145"/>
  <c r="S45" i="145"/>
  <c r="S385" i="145"/>
  <c r="S267" i="145"/>
  <c r="S196" i="145"/>
  <c r="S311" i="145"/>
  <c r="S347" i="145"/>
  <c r="S147" i="145"/>
  <c r="S428" i="145"/>
  <c r="S165" i="145"/>
  <c r="S43" i="145"/>
  <c r="S382" i="145"/>
  <c r="S287" i="145"/>
  <c r="S79" i="145"/>
  <c r="S229" i="145"/>
  <c r="S130" i="145"/>
  <c r="S81" i="145"/>
  <c r="S480" i="145"/>
  <c r="S399" i="145"/>
  <c r="S449" i="145"/>
  <c r="S270" i="145"/>
  <c r="S105" i="145"/>
  <c r="S352" i="145"/>
  <c r="S280" i="145"/>
  <c r="S139" i="145"/>
  <c r="S207" i="145"/>
  <c r="S327" i="145"/>
  <c r="S437" i="145"/>
  <c r="S119" i="145"/>
  <c r="S468" i="145"/>
  <c r="S198" i="145"/>
  <c r="S441" i="145"/>
  <c r="S381" i="145"/>
  <c r="S336" i="145"/>
  <c r="S86" i="145"/>
  <c r="S496" i="145"/>
  <c r="S429" i="145"/>
  <c r="S329" i="145"/>
  <c r="S345" i="145"/>
  <c r="S461" i="145"/>
  <c r="S307" i="145"/>
  <c r="S288" i="145"/>
  <c r="S14" i="145"/>
  <c r="S367" i="145"/>
  <c r="S259" i="145"/>
  <c r="S73" i="145"/>
  <c r="S135" i="145"/>
  <c r="S236" i="145"/>
  <c r="S324" i="145"/>
  <c r="S118" i="145"/>
  <c r="S398" i="145"/>
  <c r="S277" i="145"/>
  <c r="S13" i="145"/>
  <c r="S61" i="145"/>
  <c r="S114" i="145"/>
  <c r="S272" i="145"/>
  <c r="S245" i="145"/>
  <c r="S10" i="145"/>
  <c r="S78" i="145"/>
  <c r="S141" i="145"/>
  <c r="S209" i="145"/>
  <c r="S304" i="145"/>
  <c r="S328" i="145"/>
  <c r="S354" i="145"/>
  <c r="S211" i="145"/>
  <c r="S443" i="145"/>
  <c r="S42" i="145"/>
  <c r="S366" i="145"/>
  <c r="S104" i="145"/>
  <c r="S186" i="145"/>
  <c r="S481" i="145"/>
  <c r="S51" i="145"/>
  <c r="S312" i="145"/>
  <c r="S33" i="145"/>
  <c r="S242" i="145"/>
  <c r="S34" i="145"/>
  <c r="S108" i="145"/>
  <c r="S57" i="145"/>
  <c r="S261" i="145"/>
  <c r="S132" i="145"/>
  <c r="S201" i="145"/>
  <c r="S357" i="145"/>
  <c r="S320" i="145"/>
  <c r="S334" i="145"/>
  <c r="S295" i="145"/>
  <c r="S197" i="145"/>
  <c r="S204" i="145"/>
  <c r="S364" i="145"/>
  <c r="S93" i="145"/>
  <c r="S161" i="145"/>
  <c r="S124" i="145"/>
  <c r="S430" i="145"/>
  <c r="S302" i="145"/>
  <c r="S369" i="145"/>
  <c r="S342" i="145"/>
  <c r="S145" i="145"/>
  <c r="S470" i="145"/>
  <c r="S415" i="145"/>
  <c r="S8" i="145"/>
  <c r="S146" i="145"/>
  <c r="S22" i="145"/>
  <c r="S445" i="145"/>
  <c r="S82" i="145"/>
  <c r="S72" i="145"/>
  <c r="S332" i="145"/>
  <c r="S69" i="145"/>
  <c r="S491" i="145"/>
  <c r="S115" i="145"/>
  <c r="S447" i="145"/>
  <c r="S254" i="145"/>
  <c r="S316" i="145"/>
  <c r="S400" i="145"/>
  <c r="S68" i="145"/>
  <c r="S88" i="145"/>
  <c r="S278" i="145"/>
  <c r="S70" i="145"/>
  <c r="S284" i="145"/>
  <c r="S200" i="145"/>
  <c r="S363" i="145"/>
  <c r="S483" i="145"/>
  <c r="S308" i="145"/>
  <c r="S120" i="145"/>
  <c r="S244" i="145"/>
  <c r="S167" i="145"/>
  <c r="S374" i="145"/>
  <c r="S113" i="145"/>
  <c r="S218" i="145"/>
  <c r="S23" i="145"/>
  <c r="S137" i="145"/>
  <c r="S103" i="145"/>
  <c r="S462" i="145"/>
  <c r="S317" i="145"/>
  <c r="S90" i="145"/>
  <c r="S158" i="145"/>
  <c r="S7" i="145"/>
  <c r="S460" i="145"/>
  <c r="S362" i="145"/>
  <c r="S413" i="145"/>
  <c r="S49" i="145"/>
  <c r="S466" i="145"/>
  <c r="S203" i="145"/>
  <c r="S408" i="145"/>
  <c r="S101" i="145"/>
  <c r="S202" i="145"/>
  <c r="S442" i="145"/>
  <c r="S223" i="145"/>
  <c r="S15" i="145"/>
  <c r="S17" i="145"/>
  <c r="S387" i="145"/>
  <c r="S212" i="145"/>
  <c r="S384" i="145"/>
  <c r="S80" i="145"/>
  <c r="S431" i="145"/>
  <c r="S164" i="145"/>
  <c r="S323" i="145"/>
  <c r="S239" i="145"/>
  <c r="S54" i="145"/>
  <c r="S60" i="145"/>
  <c r="S217" i="145"/>
  <c r="S492" i="145"/>
  <c r="S325" i="145"/>
  <c r="S305" i="145"/>
  <c r="S379" i="145"/>
  <c r="S471" i="145"/>
  <c r="S156" i="145"/>
  <c r="S285" i="145"/>
  <c r="S292" i="145"/>
  <c r="S62" i="145"/>
  <c r="S193" i="145"/>
  <c r="S348" i="145"/>
  <c r="S149" i="145"/>
  <c r="S422" i="145"/>
  <c r="S482" i="145"/>
  <c r="S243" i="145"/>
  <c r="S377" i="145"/>
  <c r="S289" i="145"/>
  <c r="S232" i="145"/>
  <c r="S195" i="145"/>
  <c r="S159" i="145"/>
  <c r="S170" i="145"/>
  <c r="S238" i="145"/>
  <c r="S71" i="145"/>
  <c r="S380" i="145"/>
  <c r="S150" i="145"/>
  <c r="S306" i="145"/>
  <c r="S281" i="145"/>
  <c r="S250" i="145"/>
  <c r="S179" i="145"/>
  <c r="S290" i="145"/>
  <c r="S401" i="145"/>
  <c r="S187" i="145"/>
  <c r="S373" i="145"/>
  <c r="S370" i="145"/>
  <c r="S433" i="145"/>
  <c r="S315" i="145"/>
  <c r="S152" i="145"/>
  <c r="S356" i="145"/>
  <c r="S393" i="145"/>
  <c r="S478" i="145"/>
  <c r="S402" i="145"/>
  <c r="S191" i="145"/>
  <c r="S175" i="145"/>
  <c r="S412" i="145"/>
  <c r="S353" i="145"/>
  <c r="S274" i="145"/>
  <c r="S76" i="145"/>
  <c r="S260" i="145"/>
  <c r="S178" i="145"/>
  <c r="S309" i="145"/>
  <c r="S190" i="145"/>
  <c r="S253" i="145"/>
  <c r="S321" i="145"/>
  <c r="S102" i="145"/>
  <c r="S16" i="145"/>
  <c r="S233" i="145"/>
  <c r="S490" i="145"/>
  <c r="S25" i="145"/>
  <c r="S335" i="145"/>
  <c r="S411" i="145"/>
  <c r="S421" i="145"/>
  <c r="S344" i="145"/>
  <c r="S435" i="145"/>
  <c r="S424" i="145"/>
  <c r="S349" i="145"/>
  <c r="S48" i="145"/>
  <c r="S59" i="145"/>
  <c r="S127" i="145"/>
  <c r="S184" i="145"/>
  <c r="S418" i="145"/>
  <c r="S340" i="145"/>
  <c r="S276" i="145"/>
  <c r="S222" i="145"/>
  <c r="S142" i="145"/>
  <c r="S360" i="145"/>
  <c r="S346" i="145"/>
  <c r="S18" i="145"/>
  <c r="S299" i="145"/>
  <c r="S465" i="145"/>
  <c r="S5" i="145"/>
  <c r="S427" i="145"/>
  <c r="S273" i="145"/>
  <c r="S388" i="145"/>
  <c r="S65" i="145"/>
  <c r="S185" i="145"/>
  <c r="S394" i="145"/>
  <c r="S432" i="145"/>
  <c r="S361" i="145"/>
  <c r="S479" i="145"/>
  <c r="T138" i="145"/>
  <c r="T121" i="145"/>
  <c r="T397" i="145"/>
  <c r="T166" i="145"/>
  <c r="T425" i="145"/>
  <c r="T469" i="145"/>
  <c r="T163" i="145"/>
  <c r="T116" i="145"/>
  <c r="T151" i="145"/>
  <c r="T420" i="145"/>
  <c r="T99" i="145"/>
  <c r="T122" i="145"/>
  <c r="T11" i="145"/>
  <c r="T123" i="145"/>
  <c r="T300" i="145"/>
  <c r="T12" i="145"/>
  <c r="T226" i="145"/>
  <c r="T26" i="145"/>
  <c r="T94" i="145"/>
  <c r="T230" i="145"/>
  <c r="T486" i="145"/>
  <c r="T485" i="145"/>
  <c r="T297" i="145"/>
  <c r="T477" i="145"/>
  <c r="T89" i="145"/>
  <c r="T20" i="145"/>
  <c r="T341" i="145"/>
  <c r="T440" i="145"/>
  <c r="T133" i="145"/>
  <c r="T487" i="145"/>
  <c r="T220" i="145"/>
  <c r="T301" i="145"/>
  <c r="T446" i="145"/>
  <c r="T279" i="145"/>
  <c r="T37" i="145"/>
  <c r="T210" i="145"/>
  <c r="T117" i="145"/>
  <c r="T310" i="145"/>
  <c r="T153" i="145"/>
  <c r="T173" i="145"/>
  <c r="T241" i="145"/>
  <c r="T313" i="145"/>
  <c r="T472" i="145"/>
  <c r="T96" i="145"/>
  <c r="T390" i="145"/>
  <c r="T500" i="145"/>
  <c r="T484" i="145"/>
  <c r="T451" i="145"/>
  <c r="T407" i="145"/>
  <c r="T475" i="145"/>
  <c r="T221" i="145"/>
  <c r="T160" i="145"/>
  <c r="T337" i="145"/>
  <c r="T129" i="145"/>
  <c r="T434" i="145"/>
  <c r="T231" i="145"/>
  <c r="T464" i="145"/>
  <c r="T383" i="145"/>
  <c r="T322" i="145"/>
  <c r="T275" i="145"/>
  <c r="T128" i="145"/>
  <c r="T67" i="145"/>
  <c r="T326" i="145"/>
  <c r="T488" i="145"/>
  <c r="T293" i="145"/>
  <c r="T30" i="145"/>
  <c r="T255" i="145"/>
  <c r="T112" i="145"/>
  <c r="T74" i="145"/>
  <c r="T271" i="145"/>
  <c r="T252" i="145"/>
  <c r="T454" i="145"/>
  <c r="T448" i="145"/>
  <c r="T375" i="145"/>
  <c r="T410" i="145"/>
  <c r="T404" i="145"/>
  <c r="T148" i="145"/>
  <c r="T192" i="145"/>
  <c r="T39" i="145"/>
  <c r="T251" i="145"/>
  <c r="T319" i="145"/>
  <c r="T188" i="145"/>
  <c r="T444" i="145"/>
  <c r="T365" i="145"/>
  <c r="T183" i="145"/>
  <c r="T240" i="145"/>
  <c r="T262" i="145"/>
  <c r="T450" i="145"/>
  <c r="T227" i="145"/>
  <c r="T417" i="145"/>
  <c r="T19" i="145"/>
  <c r="T406" i="145"/>
  <c r="T98" i="145"/>
  <c r="T32" i="145"/>
  <c r="T157" i="145"/>
  <c r="T286" i="145"/>
  <c r="T476" i="145"/>
  <c r="T498" i="145"/>
  <c r="T457" i="145"/>
  <c r="T38" i="145"/>
  <c r="T228" i="145"/>
  <c r="T248" i="145"/>
  <c r="T4" i="145"/>
  <c r="T294" i="145"/>
  <c r="T155" i="145"/>
  <c r="T423" i="145"/>
  <c r="T140" i="145"/>
  <c r="T208" i="145"/>
  <c r="T176" i="145"/>
  <c r="T351" i="145"/>
  <c r="T282" i="145"/>
  <c r="T63" i="145"/>
  <c r="T263" i="145"/>
  <c r="T180" i="145"/>
  <c r="T36" i="145"/>
  <c r="T214" i="145"/>
  <c r="T378" i="145"/>
  <c r="T6" i="145"/>
  <c r="T298" i="145"/>
  <c r="T258" i="145"/>
  <c r="T474" i="145"/>
  <c r="T50" i="145"/>
  <c r="T456" i="145"/>
  <c r="T181" i="145"/>
  <c r="T224" i="145"/>
  <c r="T110" i="145"/>
  <c r="T268" i="145"/>
  <c r="T338" i="145"/>
  <c r="T368" i="145"/>
  <c r="T92" i="145"/>
  <c r="T215" i="145"/>
  <c r="T414" i="145"/>
  <c r="T314" i="145"/>
  <c r="T463" i="145"/>
  <c r="T405" i="145"/>
  <c r="T111" i="145"/>
  <c r="T169" i="145"/>
  <c r="T416" i="145"/>
  <c r="T246" i="145"/>
  <c r="T355" i="145"/>
  <c r="T247" i="145"/>
  <c r="T256" i="145"/>
  <c r="T87" i="145"/>
  <c r="T358" i="145"/>
  <c r="T35" i="145"/>
  <c r="T333" i="145"/>
  <c r="T234" i="145"/>
  <c r="T83" i="145"/>
  <c r="T436" i="145"/>
  <c r="T162" i="145"/>
  <c r="T266" i="145"/>
  <c r="T47" i="145"/>
  <c r="T58" i="145"/>
  <c r="T126" i="145"/>
  <c r="T189" i="145"/>
  <c r="T257" i="145"/>
  <c r="T194" i="145"/>
  <c r="T213" i="145"/>
  <c r="T171" i="145"/>
  <c r="T206" i="145"/>
  <c r="T455" i="145"/>
  <c r="T144" i="145"/>
  <c r="T395" i="145"/>
  <c r="T452" i="145"/>
  <c r="T182" i="145"/>
  <c r="T409" i="145"/>
  <c r="T66" i="145"/>
  <c r="T77" i="145"/>
  <c r="T125" i="145"/>
  <c r="T154" i="145"/>
  <c r="T396" i="145"/>
  <c r="T219" i="145"/>
  <c r="T53" i="145"/>
  <c r="T109" i="145"/>
  <c r="T177" i="145"/>
  <c r="T249" i="145"/>
  <c r="T376" i="145"/>
  <c r="T386" i="145"/>
  <c r="T41" i="145"/>
  <c r="T489" i="145"/>
  <c r="T172" i="145"/>
  <c r="T392" i="145"/>
  <c r="T85" i="145"/>
  <c r="T439" i="145"/>
  <c r="T28" i="145"/>
  <c r="T331" i="145"/>
  <c r="T216" i="145"/>
  <c r="T389" i="145"/>
  <c r="T225" i="145"/>
  <c r="T291" i="145"/>
  <c r="T453" i="145"/>
  <c r="T419" i="145"/>
  <c r="T136" i="145"/>
  <c r="T97" i="145"/>
  <c r="T473" i="145"/>
  <c r="T265" i="145"/>
  <c r="T426" i="145"/>
  <c r="T21" i="145"/>
  <c r="T403" i="145"/>
  <c r="T56" i="145"/>
  <c r="T372" i="145"/>
  <c r="T107" i="145"/>
  <c r="T205" i="145"/>
  <c r="T46" i="145"/>
  <c r="T499" i="145"/>
  <c r="T493" i="145"/>
  <c r="T296" i="145"/>
  <c r="T264" i="145"/>
  <c r="T64" i="145"/>
  <c r="T495" i="145"/>
  <c r="T438" i="145"/>
  <c r="T168" i="145"/>
  <c r="T391" i="145"/>
  <c r="T459" i="145"/>
  <c r="T283" i="145"/>
  <c r="T24" i="145"/>
  <c r="T75" i="145"/>
  <c r="T143" i="145"/>
  <c r="T31" i="145"/>
  <c r="T84" i="145"/>
  <c r="T330" i="145"/>
  <c r="T269" i="145"/>
  <c r="T44" i="145"/>
  <c r="T237" i="145"/>
  <c r="T100" i="145"/>
  <c r="T458" i="145"/>
  <c r="T9" i="145"/>
  <c r="T494" i="145"/>
  <c r="T318" i="145"/>
  <c r="T55" i="145"/>
  <c r="T134" i="145"/>
  <c r="T371" i="145"/>
  <c r="T29" i="145"/>
  <c r="T467" i="145"/>
  <c r="T350" i="145"/>
  <c r="T343" i="145"/>
  <c r="T497" i="145"/>
  <c r="T40" i="145"/>
  <c r="T91" i="145"/>
  <c r="T359" i="145"/>
  <c r="T339" i="145"/>
  <c r="T52" i="145"/>
  <c r="T131" i="145"/>
  <c r="T235" i="145"/>
  <c r="T303" i="145"/>
  <c r="T27" i="145"/>
  <c r="T95" i="145"/>
  <c r="T106" i="145"/>
  <c r="T174" i="145"/>
  <c r="T199" i="145"/>
  <c r="T45" i="145"/>
  <c r="T385" i="145"/>
  <c r="T267" i="145"/>
  <c r="T196" i="145"/>
  <c r="T311" i="145"/>
  <c r="T347" i="145"/>
  <c r="T147" i="145"/>
  <c r="T428" i="145"/>
  <c r="T165" i="145"/>
  <c r="T43" i="145"/>
  <c r="T382" i="145"/>
  <c r="T287" i="145"/>
  <c r="T79" i="145"/>
  <c r="T229" i="145"/>
  <c r="T130" i="145"/>
  <c r="T81" i="145"/>
  <c r="T480" i="145"/>
  <c r="T399" i="145"/>
  <c r="T449" i="145"/>
  <c r="T270" i="145"/>
  <c r="T105" i="145"/>
  <c r="T352" i="145"/>
  <c r="T280" i="145"/>
  <c r="T139" i="145"/>
  <c r="T207" i="145"/>
  <c r="T327" i="145"/>
  <c r="T437" i="145"/>
  <c r="T119" i="145"/>
  <c r="T468" i="145"/>
  <c r="T198" i="145"/>
  <c r="T441" i="145"/>
  <c r="T381" i="145"/>
  <c r="T336" i="145"/>
  <c r="T86" i="145"/>
  <c r="T496" i="145"/>
  <c r="T429" i="145"/>
  <c r="T329" i="145"/>
  <c r="T345" i="145"/>
  <c r="T461" i="145"/>
  <c r="T307" i="145"/>
  <c r="T288" i="145"/>
  <c r="T14" i="145"/>
  <c r="T367" i="145"/>
  <c r="T259" i="145"/>
  <c r="T73" i="145"/>
  <c r="T135" i="145"/>
  <c r="T236" i="145"/>
  <c r="T324" i="145"/>
  <c r="T118" i="145"/>
  <c r="T398" i="145"/>
  <c r="T277" i="145"/>
  <c r="T13" i="145"/>
  <c r="T61" i="145"/>
  <c r="T114" i="145"/>
  <c r="T272" i="145"/>
  <c r="T245" i="145"/>
  <c r="T10" i="145"/>
  <c r="T78" i="145"/>
  <c r="T141" i="145"/>
  <c r="T209" i="145"/>
  <c r="T304" i="145"/>
  <c r="T328" i="145"/>
  <c r="T354" i="145"/>
  <c r="T211" i="145"/>
  <c r="T443" i="145"/>
  <c r="T42" i="145"/>
  <c r="T366" i="145"/>
  <c r="T104" i="145"/>
  <c r="T186" i="145"/>
  <c r="T481" i="145"/>
  <c r="T51" i="145"/>
  <c r="T312" i="145"/>
  <c r="T33" i="145"/>
  <c r="T242" i="145"/>
  <c r="T34" i="145"/>
  <c r="T108" i="145"/>
  <c r="T57" i="145"/>
  <c r="T261" i="145"/>
  <c r="T132" i="145"/>
  <c r="T201" i="145"/>
  <c r="T357" i="145"/>
  <c r="T320" i="145"/>
  <c r="T334" i="145"/>
  <c r="T295" i="145"/>
  <c r="T197" i="145"/>
  <c r="T204" i="145"/>
  <c r="T364" i="145"/>
  <c r="T93" i="145"/>
  <c r="T161" i="145"/>
  <c r="T124" i="145"/>
  <c r="T430" i="145"/>
  <c r="T302" i="145"/>
  <c r="T369" i="145"/>
  <c r="T342" i="145"/>
  <c r="T145" i="145"/>
  <c r="T470" i="145"/>
  <c r="T415" i="145"/>
  <c r="T8" i="145"/>
  <c r="T146" i="145"/>
  <c r="T22" i="145"/>
  <c r="T445" i="145"/>
  <c r="T82" i="145"/>
  <c r="T72" i="145"/>
  <c r="T332" i="145"/>
  <c r="T69" i="145"/>
  <c r="T491" i="145"/>
  <c r="T115" i="145"/>
  <c r="T447" i="145"/>
  <c r="T254" i="145"/>
  <c r="T316" i="145"/>
  <c r="T400" i="145"/>
  <c r="T68" i="145"/>
  <c r="T88" i="145"/>
  <c r="T278" i="145"/>
  <c r="T70" i="145"/>
  <c r="T284" i="145"/>
  <c r="T200" i="145"/>
  <c r="T363" i="145"/>
  <c r="T483" i="145"/>
  <c r="T308" i="145"/>
  <c r="T120" i="145"/>
  <c r="T244" i="145"/>
  <c r="T167" i="145"/>
  <c r="T374" i="145"/>
  <c r="T113" i="145"/>
  <c r="T218" i="145"/>
  <c r="T23" i="145"/>
  <c r="T137" i="145"/>
  <c r="T103" i="145"/>
  <c r="T462" i="145"/>
  <c r="T317" i="145"/>
  <c r="T90" i="145"/>
  <c r="T158" i="145"/>
  <c r="T7" i="145"/>
  <c r="T460" i="145"/>
  <c r="T362" i="145"/>
  <c r="T413" i="145"/>
  <c r="T49" i="145"/>
  <c r="T466" i="145"/>
  <c r="T203" i="145"/>
  <c r="T408" i="145"/>
  <c r="T101" i="145"/>
  <c r="T202" i="145"/>
  <c r="T442" i="145"/>
  <c r="T223" i="145"/>
  <c r="T15" i="145"/>
  <c r="T17" i="145"/>
  <c r="T387" i="145"/>
  <c r="T212" i="145"/>
  <c r="T384" i="145"/>
  <c r="T80" i="145"/>
  <c r="T431" i="145"/>
  <c r="T164" i="145"/>
  <c r="T323" i="145"/>
  <c r="T239" i="145"/>
  <c r="T54" i="145"/>
  <c r="T60" i="145"/>
  <c r="T217" i="145"/>
  <c r="T492" i="145"/>
  <c r="T325" i="145"/>
  <c r="T305" i="145"/>
  <c r="T379" i="145"/>
  <c r="T471" i="145"/>
  <c r="T156" i="145"/>
  <c r="T285" i="145"/>
  <c r="T292" i="145"/>
  <c r="T62" i="145"/>
  <c r="T193" i="145"/>
  <c r="T348" i="145"/>
  <c r="T149" i="145"/>
  <c r="T422" i="145"/>
  <c r="T482" i="145"/>
  <c r="T243" i="145"/>
  <c r="T377" i="145"/>
  <c r="T289" i="145"/>
  <c r="T232" i="145"/>
  <c r="T195" i="145"/>
  <c r="T159" i="145"/>
  <c r="T170" i="145"/>
  <c r="T238" i="145"/>
  <c r="T71" i="145"/>
  <c r="T380" i="145"/>
  <c r="T150" i="145"/>
  <c r="T306" i="145"/>
  <c r="T281" i="145"/>
  <c r="T250" i="145"/>
  <c r="T179" i="145"/>
  <c r="T290" i="145"/>
  <c r="T401" i="145"/>
  <c r="T187" i="145"/>
  <c r="T373" i="145"/>
  <c r="T370" i="145"/>
  <c r="T433" i="145"/>
  <c r="T315" i="145"/>
  <c r="T152" i="145"/>
  <c r="T356" i="145"/>
  <c r="T393" i="145"/>
  <c r="T478" i="145"/>
  <c r="T402" i="145"/>
  <c r="T191" i="145"/>
  <c r="T175" i="145"/>
  <c r="T412" i="145"/>
  <c r="T353" i="145"/>
  <c r="T274" i="145"/>
  <c r="T76" i="145"/>
  <c r="T260" i="145"/>
  <c r="T178" i="145"/>
  <c r="T309" i="145"/>
  <c r="T190" i="145"/>
  <c r="T253" i="145"/>
  <c r="T321" i="145"/>
  <c r="T102" i="145"/>
  <c r="T16" i="145"/>
  <c r="T233" i="145"/>
  <c r="T490" i="145"/>
  <c r="T25" i="145"/>
  <c r="T335" i="145"/>
  <c r="T411" i="145"/>
  <c r="T421" i="145"/>
  <c r="T344" i="145"/>
  <c r="T435" i="145"/>
  <c r="T424" i="145"/>
  <c r="T349" i="145"/>
  <c r="T48" i="145"/>
  <c r="T59" i="145"/>
  <c r="T127" i="145"/>
  <c r="T184" i="145"/>
  <c r="T418" i="145"/>
  <c r="T340" i="145"/>
  <c r="T276" i="145"/>
  <c r="T222" i="145"/>
  <c r="T142" i="145"/>
  <c r="T360" i="145"/>
  <c r="T346" i="145"/>
  <c r="T18" i="145"/>
  <c r="T299" i="145"/>
  <c r="T465" i="145"/>
  <c r="T5" i="145"/>
  <c r="T427" i="145"/>
  <c r="T273" i="145"/>
  <c r="T388" i="145"/>
  <c r="T65" i="145"/>
  <c r="T185" i="145"/>
  <c r="T394" i="145"/>
  <c r="T432" i="145"/>
  <c r="T361" i="145"/>
  <c r="T479" i="145"/>
  <c r="S2" i="145" a="1"/>
  <c r="T2" i="145" l="1"/>
  <c r="S2" i="145"/>
  <c r="E2" i="134"/>
  <c r="F2" i="134" a="1"/>
  <c r="L6" i="134" l="1"/>
  <c r="D6" i="134" s="1"/>
  <c r="L10" i="134"/>
  <c r="D10" i="134" s="1"/>
  <c r="L14" i="134"/>
  <c r="D14" i="134" s="1"/>
  <c r="L18" i="134"/>
  <c r="D18" i="134" s="1"/>
  <c r="L22" i="134"/>
  <c r="D22" i="134" s="1"/>
  <c r="L26" i="134"/>
  <c r="D26" i="134" s="1"/>
  <c r="L30" i="134"/>
  <c r="D30" i="134" s="1"/>
  <c r="L34" i="134"/>
  <c r="D34" i="134" s="1"/>
  <c r="L38" i="134"/>
  <c r="D38" i="134" s="1"/>
  <c r="L42" i="134"/>
  <c r="D42" i="134" s="1"/>
  <c r="L46" i="134"/>
  <c r="D46" i="134" s="1"/>
  <c r="L50" i="134"/>
  <c r="D50" i="134" s="1"/>
  <c r="L54" i="134"/>
  <c r="D54" i="134" s="1"/>
  <c r="L58" i="134"/>
  <c r="D58" i="134" s="1"/>
  <c r="L62" i="134"/>
  <c r="D62" i="134" s="1"/>
  <c r="L9" i="134"/>
  <c r="D9" i="134" s="1"/>
  <c r="L15" i="134"/>
  <c r="D15" i="134" s="1"/>
  <c r="L20" i="134"/>
  <c r="D20" i="134" s="1"/>
  <c r="L25" i="134"/>
  <c r="D25" i="134" s="1"/>
  <c r="L31" i="134"/>
  <c r="D31" i="134" s="1"/>
  <c r="L36" i="134"/>
  <c r="D36" i="134" s="1"/>
  <c r="L41" i="134"/>
  <c r="D41" i="134" s="1"/>
  <c r="L47" i="134"/>
  <c r="D47" i="134" s="1"/>
  <c r="L52" i="134"/>
  <c r="D52" i="134" s="1"/>
  <c r="L57" i="134"/>
  <c r="D57" i="134" s="1"/>
  <c r="L63" i="134"/>
  <c r="D63" i="134" s="1"/>
  <c r="L67" i="134"/>
  <c r="D67" i="134" s="1"/>
  <c r="L71" i="134"/>
  <c r="D71" i="134" s="1"/>
  <c r="L75" i="134"/>
  <c r="D75" i="134" s="1"/>
  <c r="L79" i="134"/>
  <c r="D79" i="134" s="1"/>
  <c r="L83" i="134"/>
  <c r="D83" i="134" s="1"/>
  <c r="L87" i="134"/>
  <c r="D87" i="134" s="1"/>
  <c r="L91" i="134"/>
  <c r="D91" i="134" s="1"/>
  <c r="L95" i="134"/>
  <c r="D95" i="134" s="1"/>
  <c r="L99" i="134"/>
  <c r="D99" i="134" s="1"/>
  <c r="L103" i="134"/>
  <c r="D103" i="134" s="1"/>
  <c r="L107" i="134"/>
  <c r="D107" i="134" s="1"/>
  <c r="L111" i="134"/>
  <c r="D111" i="134" s="1"/>
  <c r="L115" i="134"/>
  <c r="D115" i="134" s="1"/>
  <c r="L119" i="134"/>
  <c r="D119" i="134" s="1"/>
  <c r="L123" i="134"/>
  <c r="D123" i="134" s="1"/>
  <c r="L127" i="134"/>
  <c r="D127" i="134" s="1"/>
  <c r="L131" i="134"/>
  <c r="D131" i="134" s="1"/>
  <c r="L135" i="134"/>
  <c r="D135" i="134" s="1"/>
  <c r="L139" i="134"/>
  <c r="D139" i="134" s="1"/>
  <c r="L143" i="134"/>
  <c r="D143" i="134" s="1"/>
  <c r="L147" i="134"/>
  <c r="D147" i="134" s="1"/>
  <c r="L151" i="134"/>
  <c r="D151" i="134" s="1"/>
  <c r="L155" i="134"/>
  <c r="D155" i="134" s="1"/>
  <c r="L159" i="134"/>
  <c r="D159" i="134" s="1"/>
  <c r="L163" i="134"/>
  <c r="D163" i="134" s="1"/>
  <c r="L167" i="134"/>
  <c r="D167" i="134" s="1"/>
  <c r="L171" i="134"/>
  <c r="D171" i="134" s="1"/>
  <c r="L175" i="134"/>
  <c r="D175" i="134" s="1"/>
  <c r="L179" i="134"/>
  <c r="D179" i="134" s="1"/>
  <c r="L183" i="134"/>
  <c r="D183" i="134" s="1"/>
  <c r="L187" i="134"/>
  <c r="D187" i="134" s="1"/>
  <c r="L191" i="134"/>
  <c r="D191" i="134" s="1"/>
  <c r="L195" i="134"/>
  <c r="D195" i="134" s="1"/>
  <c r="L199" i="134"/>
  <c r="D199" i="134" s="1"/>
  <c r="L203" i="134"/>
  <c r="D203" i="134" s="1"/>
  <c r="L207" i="134"/>
  <c r="D207" i="134" s="1"/>
  <c r="L211" i="134"/>
  <c r="D211" i="134" s="1"/>
  <c r="L215" i="134"/>
  <c r="D215" i="134" s="1"/>
  <c r="L219" i="134"/>
  <c r="D219" i="134" s="1"/>
  <c r="L223" i="134"/>
  <c r="D223" i="134" s="1"/>
  <c r="L227" i="134"/>
  <c r="D227" i="134" s="1"/>
  <c r="L231" i="134"/>
  <c r="D231" i="134" s="1"/>
  <c r="L235" i="134"/>
  <c r="D235" i="134" s="1"/>
  <c r="L239" i="134"/>
  <c r="D239" i="134" s="1"/>
  <c r="L243" i="134"/>
  <c r="D243" i="134" s="1"/>
  <c r="L247" i="134"/>
  <c r="D247" i="134" s="1"/>
  <c r="L251" i="134"/>
  <c r="D251" i="134" s="1"/>
  <c r="L255" i="134"/>
  <c r="D255" i="134" s="1"/>
  <c r="L259" i="134"/>
  <c r="D259" i="134" s="1"/>
  <c r="L263" i="134"/>
  <c r="D263" i="134" s="1"/>
  <c r="L267" i="134"/>
  <c r="D267" i="134" s="1"/>
  <c r="L271" i="134"/>
  <c r="D271" i="134" s="1"/>
  <c r="L275" i="134"/>
  <c r="D275" i="134" s="1"/>
  <c r="L279" i="134"/>
  <c r="D279" i="134" s="1"/>
  <c r="L283" i="134"/>
  <c r="D283" i="134" s="1"/>
  <c r="L287" i="134"/>
  <c r="D287" i="134" s="1"/>
  <c r="L291" i="134"/>
  <c r="D291" i="134" s="1"/>
  <c r="L295" i="134"/>
  <c r="D295" i="134" s="1"/>
  <c r="L299" i="134"/>
  <c r="D299" i="134" s="1"/>
  <c r="L303" i="134"/>
  <c r="D303" i="134" s="1"/>
  <c r="L307" i="134"/>
  <c r="D307" i="134" s="1"/>
  <c r="L311" i="134"/>
  <c r="D311" i="134" s="1"/>
  <c r="L315" i="134"/>
  <c r="D315" i="134" s="1"/>
  <c r="L319" i="134"/>
  <c r="D319" i="134" s="1"/>
  <c r="L323" i="134"/>
  <c r="D323" i="134" s="1"/>
  <c r="L327" i="134"/>
  <c r="D327" i="134" s="1"/>
  <c r="L331" i="134"/>
  <c r="D331" i="134" s="1"/>
  <c r="L335" i="134"/>
  <c r="D335" i="134" s="1"/>
  <c r="L339" i="134"/>
  <c r="D339" i="134" s="1"/>
  <c r="L343" i="134"/>
  <c r="D343" i="134" s="1"/>
  <c r="L347" i="134"/>
  <c r="D347" i="134" s="1"/>
  <c r="L351" i="134"/>
  <c r="D351" i="134" s="1"/>
  <c r="L355" i="134"/>
  <c r="D355" i="134" s="1"/>
  <c r="L359" i="134"/>
  <c r="D359" i="134" s="1"/>
  <c r="L363" i="134"/>
  <c r="D363" i="134" s="1"/>
  <c r="L367" i="134"/>
  <c r="D367" i="134" s="1"/>
  <c r="L371" i="134"/>
  <c r="D371" i="134" s="1"/>
  <c r="L375" i="134"/>
  <c r="D375" i="134" s="1"/>
  <c r="L379" i="134"/>
  <c r="D379" i="134" s="1"/>
  <c r="L383" i="134"/>
  <c r="D383" i="134" s="1"/>
  <c r="L387" i="134"/>
  <c r="D387" i="134" s="1"/>
  <c r="L391" i="134"/>
  <c r="D391" i="134" s="1"/>
  <c r="L395" i="134"/>
  <c r="D395" i="134" s="1"/>
  <c r="L399" i="134"/>
  <c r="D399" i="134" s="1"/>
  <c r="L403" i="134"/>
  <c r="D403" i="134" s="1"/>
  <c r="L407" i="134"/>
  <c r="D407" i="134" s="1"/>
  <c r="L411" i="134"/>
  <c r="D411" i="134" s="1"/>
  <c r="L415" i="134"/>
  <c r="D415" i="134" s="1"/>
  <c r="L419" i="134"/>
  <c r="D419" i="134" s="1"/>
  <c r="L423" i="134"/>
  <c r="D423" i="134" s="1"/>
  <c r="L427" i="134"/>
  <c r="D427" i="134" s="1"/>
  <c r="L431" i="134"/>
  <c r="D431" i="134" s="1"/>
  <c r="L435" i="134"/>
  <c r="D435" i="134" s="1"/>
  <c r="L439" i="134"/>
  <c r="D439" i="134" s="1"/>
  <c r="L443" i="134"/>
  <c r="D443" i="134" s="1"/>
  <c r="L5" i="134"/>
  <c r="D5" i="134" s="1"/>
  <c r="L11" i="134"/>
  <c r="D11" i="134" s="1"/>
  <c r="L16" i="134"/>
  <c r="D16" i="134" s="1"/>
  <c r="L21" i="134"/>
  <c r="D21" i="134" s="1"/>
  <c r="L27" i="134"/>
  <c r="D27" i="134" s="1"/>
  <c r="L32" i="134"/>
  <c r="D32" i="134" s="1"/>
  <c r="L37" i="134"/>
  <c r="D37" i="134" s="1"/>
  <c r="L43" i="134"/>
  <c r="D43" i="134" s="1"/>
  <c r="L48" i="134"/>
  <c r="D48" i="134" s="1"/>
  <c r="L53" i="134"/>
  <c r="D53" i="134" s="1"/>
  <c r="L59" i="134"/>
  <c r="D59" i="134" s="1"/>
  <c r="L64" i="134"/>
  <c r="D64" i="134" s="1"/>
  <c r="L68" i="134"/>
  <c r="D68" i="134" s="1"/>
  <c r="L72" i="134"/>
  <c r="D72" i="134" s="1"/>
  <c r="L76" i="134"/>
  <c r="D76" i="134" s="1"/>
  <c r="L80" i="134"/>
  <c r="D80" i="134" s="1"/>
  <c r="L84" i="134"/>
  <c r="D84" i="134" s="1"/>
  <c r="L88" i="134"/>
  <c r="D88" i="134" s="1"/>
  <c r="L92" i="134"/>
  <c r="D92" i="134" s="1"/>
  <c r="L96" i="134"/>
  <c r="D96" i="134" s="1"/>
  <c r="L100" i="134"/>
  <c r="D100" i="134" s="1"/>
  <c r="L104" i="134"/>
  <c r="D104" i="134" s="1"/>
  <c r="L108" i="134"/>
  <c r="D108" i="134" s="1"/>
  <c r="L112" i="134"/>
  <c r="D112" i="134" s="1"/>
  <c r="L116" i="134"/>
  <c r="D116" i="134" s="1"/>
  <c r="L120" i="134"/>
  <c r="D120" i="134" s="1"/>
  <c r="L124" i="134"/>
  <c r="D124" i="134" s="1"/>
  <c r="L128" i="134"/>
  <c r="D128" i="134" s="1"/>
  <c r="L132" i="134"/>
  <c r="D132" i="134" s="1"/>
  <c r="L136" i="134"/>
  <c r="D136" i="134" s="1"/>
  <c r="L140" i="134"/>
  <c r="D140" i="134" s="1"/>
  <c r="L144" i="134"/>
  <c r="D144" i="134" s="1"/>
  <c r="L8" i="134"/>
  <c r="D8" i="134" s="1"/>
  <c r="L19" i="134"/>
  <c r="D19" i="134" s="1"/>
  <c r="L29" i="134"/>
  <c r="D29" i="134" s="1"/>
  <c r="L40" i="134"/>
  <c r="D40" i="134" s="1"/>
  <c r="L51" i="134"/>
  <c r="D51" i="134" s="1"/>
  <c r="L61" i="134"/>
  <c r="D61" i="134" s="1"/>
  <c r="L70" i="134"/>
  <c r="D70" i="134" s="1"/>
  <c r="L78" i="134"/>
  <c r="D78" i="134" s="1"/>
  <c r="L86" i="134"/>
  <c r="D86" i="134" s="1"/>
  <c r="L94" i="134"/>
  <c r="D94" i="134" s="1"/>
  <c r="L102" i="134"/>
  <c r="D102" i="134" s="1"/>
  <c r="L110" i="134"/>
  <c r="D110" i="134" s="1"/>
  <c r="L118" i="134"/>
  <c r="D118" i="134" s="1"/>
  <c r="L126" i="134"/>
  <c r="D126" i="134" s="1"/>
  <c r="L134" i="134"/>
  <c r="D134" i="134" s="1"/>
  <c r="L142" i="134"/>
  <c r="D142" i="134" s="1"/>
  <c r="L149" i="134"/>
  <c r="D149" i="134" s="1"/>
  <c r="L154" i="134"/>
  <c r="D154" i="134" s="1"/>
  <c r="L160" i="134"/>
  <c r="D160" i="134" s="1"/>
  <c r="L165" i="134"/>
  <c r="D165" i="134" s="1"/>
  <c r="L170" i="134"/>
  <c r="D170" i="134" s="1"/>
  <c r="L176" i="134"/>
  <c r="D176" i="134" s="1"/>
  <c r="L181" i="134"/>
  <c r="D181" i="134" s="1"/>
  <c r="L186" i="134"/>
  <c r="D186" i="134" s="1"/>
  <c r="L192" i="134"/>
  <c r="D192" i="134" s="1"/>
  <c r="L197" i="134"/>
  <c r="D197" i="134" s="1"/>
  <c r="L202" i="134"/>
  <c r="D202" i="134" s="1"/>
  <c r="L208" i="134"/>
  <c r="D208" i="134" s="1"/>
  <c r="L213" i="134"/>
  <c r="D213" i="134" s="1"/>
  <c r="L218" i="134"/>
  <c r="D218" i="134" s="1"/>
  <c r="L224" i="134"/>
  <c r="D224" i="134" s="1"/>
  <c r="L229" i="134"/>
  <c r="D229" i="134" s="1"/>
  <c r="L234" i="134"/>
  <c r="D234" i="134" s="1"/>
  <c r="L240" i="134"/>
  <c r="D240" i="134" s="1"/>
  <c r="L245" i="134"/>
  <c r="D245" i="134" s="1"/>
  <c r="L250" i="134"/>
  <c r="D250" i="134" s="1"/>
  <c r="L256" i="134"/>
  <c r="D256" i="134" s="1"/>
  <c r="L261" i="134"/>
  <c r="D261" i="134" s="1"/>
  <c r="L266" i="134"/>
  <c r="D266" i="134" s="1"/>
  <c r="L272" i="134"/>
  <c r="D272" i="134" s="1"/>
  <c r="L277" i="134"/>
  <c r="D277" i="134" s="1"/>
  <c r="L282" i="134"/>
  <c r="D282" i="134" s="1"/>
  <c r="L288" i="134"/>
  <c r="D288" i="134" s="1"/>
  <c r="L293" i="134"/>
  <c r="D293" i="134" s="1"/>
  <c r="L298" i="134"/>
  <c r="D298" i="134" s="1"/>
  <c r="L304" i="134"/>
  <c r="D304" i="134" s="1"/>
  <c r="L309" i="134"/>
  <c r="D309" i="134" s="1"/>
  <c r="L314" i="134"/>
  <c r="D314" i="134" s="1"/>
  <c r="L320" i="134"/>
  <c r="D320" i="134" s="1"/>
  <c r="L325" i="134"/>
  <c r="D325" i="134" s="1"/>
  <c r="L330" i="134"/>
  <c r="D330" i="134" s="1"/>
  <c r="L336" i="134"/>
  <c r="D336" i="134" s="1"/>
  <c r="L341" i="134"/>
  <c r="D341" i="134" s="1"/>
  <c r="L346" i="134"/>
  <c r="D346" i="134" s="1"/>
  <c r="L352" i="134"/>
  <c r="D352" i="134" s="1"/>
  <c r="L357" i="134"/>
  <c r="D357" i="134" s="1"/>
  <c r="L362" i="134"/>
  <c r="D362" i="134" s="1"/>
  <c r="L368" i="134"/>
  <c r="D368" i="134" s="1"/>
  <c r="L373" i="134"/>
  <c r="D373" i="134" s="1"/>
  <c r="L378" i="134"/>
  <c r="D378" i="134" s="1"/>
  <c r="L384" i="134"/>
  <c r="D384" i="134" s="1"/>
  <c r="L389" i="134"/>
  <c r="D389" i="134" s="1"/>
  <c r="L394" i="134"/>
  <c r="D394" i="134" s="1"/>
  <c r="L400" i="134"/>
  <c r="D400" i="134" s="1"/>
  <c r="L405" i="134"/>
  <c r="D405" i="134" s="1"/>
  <c r="L410" i="134"/>
  <c r="D410" i="134" s="1"/>
  <c r="L416" i="134"/>
  <c r="D416" i="134" s="1"/>
  <c r="L421" i="134"/>
  <c r="D421" i="134" s="1"/>
  <c r="L426" i="134"/>
  <c r="D426" i="134" s="1"/>
  <c r="L432" i="134"/>
  <c r="D432" i="134" s="1"/>
  <c r="L437" i="134"/>
  <c r="D437" i="134" s="1"/>
  <c r="L442" i="134"/>
  <c r="D442" i="134" s="1"/>
  <c r="L447" i="134"/>
  <c r="D447" i="134" s="1"/>
  <c r="L451" i="134"/>
  <c r="D451" i="134" s="1"/>
  <c r="L455" i="134"/>
  <c r="D455" i="134" s="1"/>
  <c r="L459" i="134"/>
  <c r="D459" i="134" s="1"/>
  <c r="L463" i="134"/>
  <c r="D463" i="134" s="1"/>
  <c r="L467" i="134"/>
  <c r="D467" i="134" s="1"/>
  <c r="L471" i="134"/>
  <c r="D471" i="134" s="1"/>
  <c r="L475" i="134"/>
  <c r="D475" i="134" s="1"/>
  <c r="L479" i="134"/>
  <c r="D479" i="134" s="1"/>
  <c r="L483" i="134"/>
  <c r="D483" i="134" s="1"/>
  <c r="L487" i="134"/>
  <c r="D487" i="134" s="1"/>
  <c r="L491" i="134"/>
  <c r="D491" i="134" s="1"/>
  <c r="L495" i="134"/>
  <c r="D495" i="134" s="1"/>
  <c r="L499" i="134"/>
  <c r="D499" i="134" s="1"/>
  <c r="L503" i="134"/>
  <c r="D503" i="134" s="1"/>
  <c r="L507" i="134"/>
  <c r="D507" i="134" s="1"/>
  <c r="L511" i="134"/>
  <c r="D511" i="134" s="1"/>
  <c r="L515" i="134"/>
  <c r="D515" i="134" s="1"/>
  <c r="L519" i="134"/>
  <c r="D519" i="134" s="1"/>
  <c r="L523" i="134"/>
  <c r="D523" i="134" s="1"/>
  <c r="L13" i="134"/>
  <c r="D13" i="134" s="1"/>
  <c r="L35" i="134"/>
  <c r="D35" i="134" s="1"/>
  <c r="L45" i="134"/>
  <c r="D45" i="134" s="1"/>
  <c r="L66" i="134"/>
  <c r="D66" i="134" s="1"/>
  <c r="L82" i="134"/>
  <c r="D82" i="134" s="1"/>
  <c r="L98" i="134"/>
  <c r="D98" i="134" s="1"/>
  <c r="L114" i="134"/>
  <c r="D114" i="134" s="1"/>
  <c r="L130" i="134"/>
  <c r="D130" i="134" s="1"/>
  <c r="L146" i="134"/>
  <c r="D146" i="134" s="1"/>
  <c r="L157" i="134"/>
  <c r="D157" i="134" s="1"/>
  <c r="L168" i="134"/>
  <c r="D168" i="134" s="1"/>
  <c r="L178" i="134"/>
  <c r="D178" i="134" s="1"/>
  <c r="L189" i="134"/>
  <c r="D189" i="134" s="1"/>
  <c r="L200" i="134"/>
  <c r="D200" i="134" s="1"/>
  <c r="L210" i="134"/>
  <c r="D210" i="134" s="1"/>
  <c r="L221" i="134"/>
  <c r="D221" i="134" s="1"/>
  <c r="L232" i="134"/>
  <c r="D232" i="134" s="1"/>
  <c r="L242" i="134"/>
  <c r="D242" i="134" s="1"/>
  <c r="L253" i="134"/>
  <c r="D253" i="134" s="1"/>
  <c r="L264" i="134"/>
  <c r="D264" i="134" s="1"/>
  <c r="L280" i="134"/>
  <c r="D280" i="134" s="1"/>
  <c r="L290" i="134"/>
  <c r="D290" i="134" s="1"/>
  <c r="L301" i="134"/>
  <c r="D301" i="134" s="1"/>
  <c r="L312" i="134"/>
  <c r="D312" i="134" s="1"/>
  <c r="L322" i="134"/>
  <c r="D322" i="134" s="1"/>
  <c r="L333" i="134"/>
  <c r="D333" i="134" s="1"/>
  <c r="L349" i="134"/>
  <c r="D349" i="134" s="1"/>
  <c r="L360" i="134"/>
  <c r="D360" i="134" s="1"/>
  <c r="L370" i="134"/>
  <c r="D370" i="134" s="1"/>
  <c r="L381" i="134"/>
  <c r="D381" i="134" s="1"/>
  <c r="L392" i="134"/>
  <c r="D392" i="134" s="1"/>
  <c r="L402" i="134"/>
  <c r="D402" i="134" s="1"/>
  <c r="L413" i="134"/>
  <c r="D413" i="134" s="1"/>
  <c r="L424" i="134"/>
  <c r="D424" i="134" s="1"/>
  <c r="L434" i="134"/>
  <c r="D434" i="134" s="1"/>
  <c r="L445" i="134"/>
  <c r="D445" i="134" s="1"/>
  <c r="L453" i="134"/>
  <c r="D453" i="134" s="1"/>
  <c r="L12" i="134"/>
  <c r="D12" i="134" s="1"/>
  <c r="L23" i="134"/>
  <c r="D23" i="134" s="1"/>
  <c r="L33" i="134"/>
  <c r="D33" i="134" s="1"/>
  <c r="L44" i="134"/>
  <c r="D44" i="134" s="1"/>
  <c r="L55" i="134"/>
  <c r="D55" i="134" s="1"/>
  <c r="L65" i="134"/>
  <c r="D65" i="134" s="1"/>
  <c r="L73" i="134"/>
  <c r="D73" i="134" s="1"/>
  <c r="L81" i="134"/>
  <c r="D81" i="134" s="1"/>
  <c r="L89" i="134"/>
  <c r="D89" i="134" s="1"/>
  <c r="L97" i="134"/>
  <c r="D97" i="134" s="1"/>
  <c r="L105" i="134"/>
  <c r="D105" i="134" s="1"/>
  <c r="L113" i="134"/>
  <c r="D113" i="134" s="1"/>
  <c r="L121" i="134"/>
  <c r="D121" i="134" s="1"/>
  <c r="L129" i="134"/>
  <c r="D129" i="134" s="1"/>
  <c r="L137" i="134"/>
  <c r="D137" i="134" s="1"/>
  <c r="L145" i="134"/>
  <c r="D145" i="134" s="1"/>
  <c r="L150" i="134"/>
  <c r="D150" i="134" s="1"/>
  <c r="L156" i="134"/>
  <c r="D156" i="134" s="1"/>
  <c r="L161" i="134"/>
  <c r="D161" i="134" s="1"/>
  <c r="L166" i="134"/>
  <c r="D166" i="134" s="1"/>
  <c r="L172" i="134"/>
  <c r="D172" i="134" s="1"/>
  <c r="L177" i="134"/>
  <c r="D177" i="134" s="1"/>
  <c r="L182" i="134"/>
  <c r="D182" i="134" s="1"/>
  <c r="L188" i="134"/>
  <c r="D188" i="134" s="1"/>
  <c r="L193" i="134"/>
  <c r="D193" i="134" s="1"/>
  <c r="L198" i="134"/>
  <c r="D198" i="134" s="1"/>
  <c r="L204" i="134"/>
  <c r="D204" i="134" s="1"/>
  <c r="L209" i="134"/>
  <c r="D209" i="134" s="1"/>
  <c r="L214" i="134"/>
  <c r="D214" i="134" s="1"/>
  <c r="L220" i="134"/>
  <c r="D220" i="134" s="1"/>
  <c r="L225" i="134"/>
  <c r="D225" i="134" s="1"/>
  <c r="L230" i="134"/>
  <c r="D230" i="134" s="1"/>
  <c r="L236" i="134"/>
  <c r="D236" i="134" s="1"/>
  <c r="L241" i="134"/>
  <c r="D241" i="134" s="1"/>
  <c r="L246" i="134"/>
  <c r="D246" i="134" s="1"/>
  <c r="L252" i="134"/>
  <c r="D252" i="134" s="1"/>
  <c r="L257" i="134"/>
  <c r="D257" i="134" s="1"/>
  <c r="L262" i="134"/>
  <c r="D262" i="134" s="1"/>
  <c r="L268" i="134"/>
  <c r="D268" i="134" s="1"/>
  <c r="L273" i="134"/>
  <c r="D273" i="134" s="1"/>
  <c r="L278" i="134"/>
  <c r="D278" i="134" s="1"/>
  <c r="L284" i="134"/>
  <c r="D284" i="134" s="1"/>
  <c r="L289" i="134"/>
  <c r="D289" i="134" s="1"/>
  <c r="L294" i="134"/>
  <c r="D294" i="134" s="1"/>
  <c r="L300" i="134"/>
  <c r="D300" i="134" s="1"/>
  <c r="L305" i="134"/>
  <c r="D305" i="134" s="1"/>
  <c r="L310" i="134"/>
  <c r="D310" i="134" s="1"/>
  <c r="L316" i="134"/>
  <c r="D316" i="134" s="1"/>
  <c r="L321" i="134"/>
  <c r="D321" i="134" s="1"/>
  <c r="L326" i="134"/>
  <c r="D326" i="134" s="1"/>
  <c r="L332" i="134"/>
  <c r="D332" i="134" s="1"/>
  <c r="L337" i="134"/>
  <c r="D337" i="134" s="1"/>
  <c r="L342" i="134"/>
  <c r="D342" i="134" s="1"/>
  <c r="L348" i="134"/>
  <c r="D348" i="134" s="1"/>
  <c r="L353" i="134"/>
  <c r="D353" i="134" s="1"/>
  <c r="L358" i="134"/>
  <c r="D358" i="134" s="1"/>
  <c r="L364" i="134"/>
  <c r="D364" i="134" s="1"/>
  <c r="L369" i="134"/>
  <c r="D369" i="134" s="1"/>
  <c r="L374" i="134"/>
  <c r="D374" i="134" s="1"/>
  <c r="L380" i="134"/>
  <c r="D380" i="134" s="1"/>
  <c r="L385" i="134"/>
  <c r="D385" i="134" s="1"/>
  <c r="L390" i="134"/>
  <c r="D390" i="134" s="1"/>
  <c r="L396" i="134"/>
  <c r="D396" i="134" s="1"/>
  <c r="L401" i="134"/>
  <c r="D401" i="134" s="1"/>
  <c r="L406" i="134"/>
  <c r="D406" i="134" s="1"/>
  <c r="L412" i="134"/>
  <c r="D412" i="134" s="1"/>
  <c r="L417" i="134"/>
  <c r="D417" i="134" s="1"/>
  <c r="L422" i="134"/>
  <c r="D422" i="134" s="1"/>
  <c r="L428" i="134"/>
  <c r="D428" i="134" s="1"/>
  <c r="L433" i="134"/>
  <c r="D433" i="134" s="1"/>
  <c r="L438" i="134"/>
  <c r="D438" i="134" s="1"/>
  <c r="L444" i="134"/>
  <c r="D444" i="134" s="1"/>
  <c r="L448" i="134"/>
  <c r="D448" i="134" s="1"/>
  <c r="L452" i="134"/>
  <c r="D452" i="134" s="1"/>
  <c r="L456" i="134"/>
  <c r="D456" i="134" s="1"/>
  <c r="L460" i="134"/>
  <c r="D460" i="134" s="1"/>
  <c r="L464" i="134"/>
  <c r="D464" i="134" s="1"/>
  <c r="L468" i="134"/>
  <c r="D468" i="134" s="1"/>
  <c r="L472" i="134"/>
  <c r="D472" i="134" s="1"/>
  <c r="L476" i="134"/>
  <c r="D476" i="134" s="1"/>
  <c r="L480" i="134"/>
  <c r="D480" i="134" s="1"/>
  <c r="L484" i="134"/>
  <c r="D484" i="134" s="1"/>
  <c r="L488" i="134"/>
  <c r="D488" i="134" s="1"/>
  <c r="L492" i="134"/>
  <c r="D492" i="134" s="1"/>
  <c r="L496" i="134"/>
  <c r="D496" i="134" s="1"/>
  <c r="L500" i="134"/>
  <c r="D500" i="134" s="1"/>
  <c r="L504" i="134"/>
  <c r="D504" i="134" s="1"/>
  <c r="L508" i="134"/>
  <c r="D508" i="134" s="1"/>
  <c r="L512" i="134"/>
  <c r="D512" i="134" s="1"/>
  <c r="L516" i="134"/>
  <c r="D516" i="134" s="1"/>
  <c r="L520" i="134"/>
  <c r="D520" i="134" s="1"/>
  <c r="L524" i="134"/>
  <c r="D524" i="134" s="1"/>
  <c r="L24" i="134"/>
  <c r="D24" i="134" s="1"/>
  <c r="L56" i="134"/>
  <c r="D56" i="134" s="1"/>
  <c r="L74" i="134"/>
  <c r="D74" i="134" s="1"/>
  <c r="L90" i="134"/>
  <c r="D90" i="134" s="1"/>
  <c r="L106" i="134"/>
  <c r="D106" i="134" s="1"/>
  <c r="L122" i="134"/>
  <c r="D122" i="134" s="1"/>
  <c r="L138" i="134"/>
  <c r="D138" i="134" s="1"/>
  <c r="L152" i="134"/>
  <c r="D152" i="134" s="1"/>
  <c r="L162" i="134"/>
  <c r="D162" i="134" s="1"/>
  <c r="L173" i="134"/>
  <c r="D173" i="134" s="1"/>
  <c r="L184" i="134"/>
  <c r="D184" i="134" s="1"/>
  <c r="L194" i="134"/>
  <c r="D194" i="134" s="1"/>
  <c r="L205" i="134"/>
  <c r="D205" i="134" s="1"/>
  <c r="L216" i="134"/>
  <c r="D216" i="134" s="1"/>
  <c r="L226" i="134"/>
  <c r="D226" i="134" s="1"/>
  <c r="L237" i="134"/>
  <c r="D237" i="134" s="1"/>
  <c r="L248" i="134"/>
  <c r="D248" i="134" s="1"/>
  <c r="L258" i="134"/>
  <c r="D258" i="134" s="1"/>
  <c r="L269" i="134"/>
  <c r="D269" i="134" s="1"/>
  <c r="L274" i="134"/>
  <c r="D274" i="134" s="1"/>
  <c r="L285" i="134"/>
  <c r="D285" i="134" s="1"/>
  <c r="L296" i="134"/>
  <c r="D296" i="134" s="1"/>
  <c r="L306" i="134"/>
  <c r="D306" i="134" s="1"/>
  <c r="L317" i="134"/>
  <c r="D317" i="134" s="1"/>
  <c r="L328" i="134"/>
  <c r="D328" i="134" s="1"/>
  <c r="L338" i="134"/>
  <c r="D338" i="134" s="1"/>
  <c r="L344" i="134"/>
  <c r="D344" i="134" s="1"/>
  <c r="L354" i="134"/>
  <c r="D354" i="134" s="1"/>
  <c r="L365" i="134"/>
  <c r="D365" i="134" s="1"/>
  <c r="L376" i="134"/>
  <c r="D376" i="134" s="1"/>
  <c r="L386" i="134"/>
  <c r="D386" i="134" s="1"/>
  <c r="L397" i="134"/>
  <c r="D397" i="134" s="1"/>
  <c r="L408" i="134"/>
  <c r="D408" i="134" s="1"/>
  <c r="L418" i="134"/>
  <c r="D418" i="134" s="1"/>
  <c r="L429" i="134"/>
  <c r="D429" i="134" s="1"/>
  <c r="L440" i="134"/>
  <c r="D440" i="134" s="1"/>
  <c r="L449" i="134"/>
  <c r="D449" i="134" s="1"/>
  <c r="L457" i="134"/>
  <c r="D457" i="134" s="1"/>
  <c r="L465" i="134"/>
  <c r="D465" i="134" s="1"/>
  <c r="L17" i="134"/>
  <c r="D17" i="134" s="1"/>
  <c r="L60" i="134"/>
  <c r="D60" i="134" s="1"/>
  <c r="L93" i="134"/>
  <c r="D93" i="134" s="1"/>
  <c r="L125" i="134"/>
  <c r="D125" i="134" s="1"/>
  <c r="L153" i="134"/>
  <c r="D153" i="134" s="1"/>
  <c r="L174" i="134"/>
  <c r="D174" i="134" s="1"/>
  <c r="L196" i="134"/>
  <c r="D196" i="134" s="1"/>
  <c r="L217" i="134"/>
  <c r="D217" i="134" s="1"/>
  <c r="L238" i="134"/>
  <c r="D238" i="134" s="1"/>
  <c r="L260" i="134"/>
  <c r="D260" i="134" s="1"/>
  <c r="L281" i="134"/>
  <c r="D281" i="134" s="1"/>
  <c r="L302" i="134"/>
  <c r="D302" i="134" s="1"/>
  <c r="L324" i="134"/>
  <c r="D324" i="134" s="1"/>
  <c r="L345" i="134"/>
  <c r="D345" i="134" s="1"/>
  <c r="L366" i="134"/>
  <c r="D366" i="134" s="1"/>
  <c r="L388" i="134"/>
  <c r="D388" i="134" s="1"/>
  <c r="L409" i="134"/>
  <c r="D409" i="134" s="1"/>
  <c r="L430" i="134"/>
  <c r="D430" i="134" s="1"/>
  <c r="L450" i="134"/>
  <c r="D450" i="134" s="1"/>
  <c r="L462" i="134"/>
  <c r="D462" i="134" s="1"/>
  <c r="L473" i="134"/>
  <c r="D473" i="134" s="1"/>
  <c r="L481" i="134"/>
  <c r="D481" i="134" s="1"/>
  <c r="L489" i="134"/>
  <c r="D489" i="134" s="1"/>
  <c r="L497" i="134"/>
  <c r="D497" i="134" s="1"/>
  <c r="L505" i="134"/>
  <c r="D505" i="134" s="1"/>
  <c r="L513" i="134"/>
  <c r="D513" i="134" s="1"/>
  <c r="L521" i="134"/>
  <c r="D521" i="134" s="1"/>
  <c r="L28" i="134"/>
  <c r="D28" i="134" s="1"/>
  <c r="L69" i="134"/>
  <c r="D69" i="134" s="1"/>
  <c r="L101" i="134"/>
  <c r="D101" i="134" s="1"/>
  <c r="L133" i="134"/>
  <c r="D133" i="134" s="1"/>
  <c r="L158" i="134"/>
  <c r="D158" i="134" s="1"/>
  <c r="L180" i="134"/>
  <c r="D180" i="134" s="1"/>
  <c r="L201" i="134"/>
  <c r="D201" i="134" s="1"/>
  <c r="L222" i="134"/>
  <c r="D222" i="134" s="1"/>
  <c r="L244" i="134"/>
  <c r="D244" i="134" s="1"/>
  <c r="L265" i="134"/>
  <c r="D265" i="134" s="1"/>
  <c r="L286" i="134"/>
  <c r="D286" i="134" s="1"/>
  <c r="L308" i="134"/>
  <c r="D308" i="134" s="1"/>
  <c r="L329" i="134"/>
  <c r="D329" i="134" s="1"/>
  <c r="L350" i="134"/>
  <c r="D350" i="134" s="1"/>
  <c r="L372" i="134"/>
  <c r="D372" i="134" s="1"/>
  <c r="L393" i="134"/>
  <c r="D393" i="134" s="1"/>
  <c r="L414" i="134"/>
  <c r="D414" i="134" s="1"/>
  <c r="L436" i="134"/>
  <c r="D436" i="134" s="1"/>
  <c r="L454" i="134"/>
  <c r="D454" i="134" s="1"/>
  <c r="L466" i="134"/>
  <c r="D466" i="134" s="1"/>
  <c r="L474" i="134"/>
  <c r="D474" i="134" s="1"/>
  <c r="L482" i="134"/>
  <c r="D482" i="134" s="1"/>
  <c r="L490" i="134"/>
  <c r="D490" i="134" s="1"/>
  <c r="L498" i="134"/>
  <c r="D498" i="134" s="1"/>
  <c r="L506" i="134"/>
  <c r="D506" i="134" s="1"/>
  <c r="L514" i="134"/>
  <c r="D514" i="134" s="1"/>
  <c r="L522" i="134"/>
  <c r="D522" i="134" s="1"/>
  <c r="L39" i="134"/>
  <c r="D39" i="134" s="1"/>
  <c r="L77" i="134"/>
  <c r="D77" i="134" s="1"/>
  <c r="L109" i="134"/>
  <c r="D109" i="134" s="1"/>
  <c r="L141" i="134"/>
  <c r="D141" i="134" s="1"/>
  <c r="L164" i="134"/>
  <c r="D164" i="134" s="1"/>
  <c r="L185" i="134"/>
  <c r="D185" i="134" s="1"/>
  <c r="L206" i="134"/>
  <c r="D206" i="134" s="1"/>
  <c r="L228" i="134"/>
  <c r="D228" i="134" s="1"/>
  <c r="L249" i="134"/>
  <c r="D249" i="134" s="1"/>
  <c r="L270" i="134"/>
  <c r="D270" i="134" s="1"/>
  <c r="L292" i="134"/>
  <c r="D292" i="134" s="1"/>
  <c r="L313" i="134"/>
  <c r="D313" i="134" s="1"/>
  <c r="L334" i="134"/>
  <c r="D334" i="134" s="1"/>
  <c r="L356" i="134"/>
  <c r="D356" i="134" s="1"/>
  <c r="L377" i="134"/>
  <c r="D377" i="134" s="1"/>
  <c r="L398" i="134"/>
  <c r="D398" i="134" s="1"/>
  <c r="L420" i="134"/>
  <c r="D420" i="134" s="1"/>
  <c r="L441" i="134"/>
  <c r="D441" i="134" s="1"/>
  <c r="L458" i="134"/>
  <c r="D458" i="134" s="1"/>
  <c r="L469" i="134"/>
  <c r="D469" i="134" s="1"/>
  <c r="L477" i="134"/>
  <c r="D477" i="134" s="1"/>
  <c r="L485" i="134"/>
  <c r="D485" i="134" s="1"/>
  <c r="L493" i="134"/>
  <c r="D493" i="134" s="1"/>
  <c r="L501" i="134"/>
  <c r="D501" i="134" s="1"/>
  <c r="L509" i="134"/>
  <c r="D509" i="134" s="1"/>
  <c r="L517" i="134"/>
  <c r="D517" i="134" s="1"/>
  <c r="L525" i="134"/>
  <c r="D525" i="134" s="1"/>
  <c r="L7" i="134"/>
  <c r="D7" i="134" s="1"/>
  <c r="L49" i="134"/>
  <c r="D49" i="134" s="1"/>
  <c r="L85" i="134"/>
  <c r="D85" i="134" s="1"/>
  <c r="L117" i="134"/>
  <c r="D117" i="134" s="1"/>
  <c r="L148" i="134"/>
  <c r="D148" i="134" s="1"/>
  <c r="L169" i="134"/>
  <c r="D169" i="134" s="1"/>
  <c r="L212" i="134"/>
  <c r="D212" i="134" s="1"/>
  <c r="L233" i="134"/>
  <c r="D233" i="134" s="1"/>
  <c r="L254" i="134"/>
  <c r="D254" i="134" s="1"/>
  <c r="L297" i="134"/>
  <c r="D297" i="134" s="1"/>
  <c r="L318" i="134"/>
  <c r="D318" i="134" s="1"/>
  <c r="L361" i="134"/>
  <c r="D361" i="134" s="1"/>
  <c r="L382" i="134"/>
  <c r="D382" i="134" s="1"/>
  <c r="L425" i="134"/>
  <c r="D425" i="134" s="1"/>
  <c r="L461" i="134"/>
  <c r="D461" i="134" s="1"/>
  <c r="L478" i="134"/>
  <c r="D478" i="134" s="1"/>
  <c r="L494" i="134"/>
  <c r="D494" i="134" s="1"/>
  <c r="L510" i="134"/>
  <c r="D510" i="134" s="1"/>
  <c r="L4" i="134"/>
  <c r="D4" i="134" s="1"/>
  <c r="L190" i="134"/>
  <c r="D190" i="134" s="1"/>
  <c r="L276" i="134"/>
  <c r="D276" i="134" s="1"/>
  <c r="L340" i="134"/>
  <c r="D340" i="134" s="1"/>
  <c r="L404" i="134"/>
  <c r="D404" i="134" s="1"/>
  <c r="L446" i="134"/>
  <c r="D446" i="134" s="1"/>
  <c r="L470" i="134"/>
  <c r="D470" i="134" s="1"/>
  <c r="L486" i="134"/>
  <c r="D486" i="134" s="1"/>
  <c r="L502" i="134"/>
  <c r="D502" i="134" s="1"/>
  <c r="L518" i="134"/>
  <c r="D518" i="134" s="1"/>
  <c r="F2" i="13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<sst xmlns="http://schemas.openxmlformats.org/spreadsheetml/2006/main" count="546" uniqueCount="51">
  <si>
    <t>T</t>
  </si>
  <si>
    <t>Sr.</t>
  </si>
  <si>
    <t>Cal.1</t>
  </si>
  <si>
    <t>Cal.2</t>
  </si>
  <si>
    <t>Active</t>
  </si>
  <si>
    <t>Mouza</t>
  </si>
  <si>
    <t>Sr. No</t>
  </si>
  <si>
    <t>Name of
Owner</t>
  </si>
  <si>
    <t>Manually Input
Area</t>
  </si>
  <si>
    <t>Diff %</t>
  </si>
  <si>
    <t>Khasra
No</t>
  </si>
  <si>
    <t>Khasra
Area</t>
  </si>
  <si>
    <t>رشمینہ دختر غلام محمد</t>
  </si>
  <si>
    <t>نو ر محمد ولد محمد اشرف</t>
  </si>
  <si>
    <t>شیر بہادر ولد محمد اشرف</t>
  </si>
  <si>
    <t>محمد اختر ولد محمد اشرف</t>
  </si>
  <si>
    <t>نصیر احمدو لد نذیر احمد</t>
  </si>
  <si>
    <t>بشیر احمد ولد نذیر احمد</t>
  </si>
  <si>
    <t>Area</t>
  </si>
  <si>
    <t>Khasra No</t>
  </si>
  <si>
    <t>Khasra Area</t>
  </si>
  <si>
    <t>Area in Feet</t>
  </si>
  <si>
    <t>8-8-0</t>
  </si>
  <si>
    <t>6-12-0</t>
  </si>
  <si>
    <t>14-1-0</t>
  </si>
  <si>
    <t>51-12-0</t>
  </si>
  <si>
    <t>22-13-0</t>
  </si>
  <si>
    <t>3-1-0</t>
  </si>
  <si>
    <t>40-9-0</t>
  </si>
  <si>
    <t>Khewat Area</t>
  </si>
  <si>
    <t>Name of Owner's</t>
  </si>
  <si>
    <t>Share</t>
  </si>
  <si>
    <t>Diff</t>
  </si>
  <si>
    <t>Edition</t>
  </si>
  <si>
    <t>Khewat 1/1</t>
  </si>
  <si>
    <t>Hissa</t>
  </si>
  <si>
    <t>Khewat No</t>
  </si>
  <si>
    <t>Dheri NO</t>
  </si>
  <si>
    <t>Dhulian</t>
  </si>
  <si>
    <t/>
  </si>
  <si>
    <t>Round
Function</t>
  </si>
  <si>
    <t>Share Cal. By Khewat Area</t>
  </si>
  <si>
    <t xml:space="preserve">Share Cal. By Khewat Person </t>
  </si>
  <si>
    <t>Answer</t>
  </si>
  <si>
    <t>Above</t>
  </si>
  <si>
    <t>Divided by</t>
  </si>
  <si>
    <t>Total Hissa</t>
  </si>
  <si>
    <t>Hissa Cal.</t>
  </si>
  <si>
    <t xml:space="preserve">For Hissa 
</t>
  </si>
  <si>
    <t>Area
K-M-F</t>
  </si>
  <si>
    <t>Filter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</si>
</sst>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4"/>
      <color theme="1"/>
      <name val="Jameel Noori Nastaleeq"/>
      <family val="2"/>
    </font>
    <font>
      <sz val="14"/>
      <color rgb="FFFF0000"/>
      <name val="Jameel Noori Nastaleeq"/>
      <family val="2"/>
    </font>
    <font>
      <b/>
      <i/>
      <u/>
      <sz val="14"/>
      <color theme="1"/>
      <name val="Jameel Noori Nastaleeq"/>
    </font>
    <font>
      <b/>
      <sz val="14"/>
      <color theme="1"/>
      <name val="Jameel Noori Nastaleeq"/>
    </font>
    <font>
      <sz val="11"/>
      <color theme="1"/>
      <name val="Jameel Noori Nastaleeq"/>
      <family val="2"/>
    </font>
    <font>
      <sz val="12"/>
      <color theme="1"/>
      <name val="Jameel Noori Nastaleeq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gradientFill degree="90">
        <stop position="0">
          <color theme="0"/>
        </stop>
        <stop position="1">
          <color rgb="FFFF0000"/>
        </stop>
      </gradientFill>
    </fill>
    <fill>
      <gradientFill degree="90">
        <stop position="0">
          <color theme="8" tint="-0.25098422193060094"/>
        </stop>
        <stop position="1">
          <color theme="9" tint="0.40000610370189521"/>
        </stop>
      </gradientFill>
    </fill>
    <fill>
      <gradientFill degree="90">
        <stop position="0">
          <color rgb="FFFFFF00"/>
        </stop>
        <stop position="1">
          <color theme="9" tint="-0.25098422193060094"/>
        </stop>
      </gradientFill>
    </fill>
    <fill>
      <gradientFill degree="90">
        <stop position="0">
          <color theme="9" tint="0.40000610370189521"/>
        </stop>
        <stop position="1">
          <color theme="4" tint="-0.25098422193060094"/>
        </stop>
      </gradientFill>
    </fill>
    <fill>
      <gradientFill degree="90">
        <stop position="0">
          <color theme="0"/>
        </stop>
        <stop position="1">
          <color theme="1" tint="0.25098422193060094"/>
        </stop>
      </gradientFill>
    </fill>
    <fill>
      <gradientFill degree="90">
        <stop position="0">
          <color theme="7" tint="0.40000610370189521"/>
        </stop>
        <stop position="1">
          <color theme="9" tint="-0.25098422193060094"/>
        </stop>
      </gradientFill>
    </fill>
    <fill>
      <gradientFill degree="90">
        <stop position="0">
          <color theme="9" tint="0.40000610370189521"/>
        </stop>
        <stop position="1">
          <color theme="2" tint="-0.49803155613879818"/>
        </stop>
      </gradientFill>
    </fill>
    <fill>
      <gradientFill>
        <stop position="0">
          <color rgb="FFFF0000"/>
        </stop>
        <stop position="1">
          <color rgb="FFFFC000"/>
        </stop>
      </gradient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left"/>
    </xf>
    <xf numFmtId="49" fontId="0" fillId="0" borderId="0" xfId="0" applyNumberFormat="1"/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top"/>
    </xf>
    <xf numFmtId="0" fontId="0" fillId="0" borderId="0" xfId="0" applyBorder="1"/>
    <xf numFmtId="0" fontId="0" fillId="4" borderId="0" xfId="0" applyFill="1"/>
    <xf numFmtId="0" fontId="0" fillId="4" borderId="0" xfId="0" applyFill="1" applyAlignment="1"/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/>
    </xf>
    <xf numFmtId="0" fontId="0" fillId="7" borderId="0" xfId="0" applyFill="1" applyAlignment="1">
      <alignment horizontal="center" vertical="center"/>
    </xf>
    <xf numFmtId="0" fontId="0" fillId="8" borderId="0" xfId="0" applyFill="1"/>
    <xf numFmtId="0" fontId="3" fillId="0" borderId="0" xfId="0" applyFont="1" applyAlignment="1">
      <alignment horizontal="center" vertical="center"/>
    </xf>
    <xf numFmtId="49" fontId="0" fillId="4" borderId="0" xfId="0" applyNumberFormat="1" applyFill="1"/>
    <xf numFmtId="0" fontId="4" fillId="9" borderId="0" xfId="0" applyFont="1" applyFill="1" applyAlignment="1">
      <alignment horizontal="center" vertical="center" wrapText="1"/>
    </xf>
    <xf numFmtId="0" fontId="0" fillId="10" borderId="0" xfId="0" applyFill="1" applyAlignment="1">
      <alignment horizontal="center" vertical="center"/>
    </xf>
    <xf numFmtId="0" fontId="0" fillId="0" borderId="0" xfId="0" applyBorder="1" applyAlignment="1">
      <alignment vertical="top" wrapText="1"/>
    </xf>
    <xf numFmtId="0" fontId="0" fillId="0" borderId="0" xfId="0" applyBorder="1" applyAlignment="1">
      <alignment horizontal="center" vertical="top"/>
    </xf>
    <xf numFmtId="0" fontId="0" fillId="8" borderId="0" xfId="0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4" fillId="9" borderId="0" xfId="0" applyNumberFormat="1" applyFont="1" applyFill="1" applyAlignment="1">
      <alignment horizontal="center" vertical="center" wrapText="1"/>
    </xf>
    <xf numFmtId="0" fontId="0" fillId="0" borderId="0" xfId="0" applyNumberFormat="1"/>
    <xf numFmtId="0" fontId="0" fillId="0" borderId="0" xfId="0" applyNumberFormat="1" applyAlignment="1">
      <alignment horizontal="center"/>
    </xf>
    <xf numFmtId="0" fontId="0" fillId="4" borderId="0" xfId="0" applyNumberFormat="1" applyFill="1" applyAlignment="1">
      <alignment horizontal="center"/>
    </xf>
    <xf numFmtId="0" fontId="0" fillId="0" borderId="0" xfId="0" applyNumberFormat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5" fillId="8" borderId="0" xfId="0" applyFont="1" applyFill="1"/>
    <xf numFmtId="0" fontId="5" fillId="5" borderId="0" xfId="0" applyFont="1" applyFill="1" applyAlignment="1">
      <alignment horizontal="center" vertical="center"/>
    </xf>
    <xf numFmtId="0" fontId="5" fillId="5" borderId="0" xfId="0" applyNumberFormat="1" applyFont="1" applyFill="1" applyAlignment="1">
      <alignment horizontal="centerContinuous" vertical="center" wrapText="1"/>
    </xf>
    <xf numFmtId="0" fontId="5" fillId="0" borderId="0" xfId="0" applyFont="1" applyAlignment="1">
      <alignment horizontal="center" vertical="center"/>
    </xf>
    <xf numFmtId="0" fontId="5" fillId="5" borderId="0" xfId="0" applyNumberFormat="1" applyFont="1" applyFill="1" applyAlignment="1">
      <alignment horizontal="left" vertical="center" textRotation="90" wrapText="1"/>
    </xf>
    <xf numFmtId="0" fontId="5" fillId="11" borderId="0" xfId="0" applyFont="1" applyFill="1" applyAlignment="1">
      <alignment horizontal="center" vertical="center" wrapText="1"/>
    </xf>
    <xf numFmtId="0" fontId="0" fillId="11" borderId="0" xfId="0" applyFill="1" applyAlignment="1">
      <alignment vertical="center"/>
    </xf>
    <xf numFmtId="0" fontId="0" fillId="11" borderId="0" xfId="0" applyFill="1"/>
    <xf numFmtId="0" fontId="0" fillId="11" borderId="0" xfId="0" applyFill="1" applyAlignment="1">
      <alignment horizontal="center" vertical="center"/>
    </xf>
    <xf numFmtId="0" fontId="0" fillId="11" borderId="0" xfId="0" applyFill="1" applyAlignment="1">
      <alignment horizontal="center"/>
    </xf>
    <xf numFmtId="0" fontId="0" fillId="0" borderId="0" xfId="0" applyNumberFormat="1" applyBorder="1" applyAlignment="1">
      <alignment vertical="top"/>
    </xf>
    <xf numFmtId="0" fontId="0" fillId="0" borderId="0" xfId="0" applyNumberFormat="1" applyBorder="1" applyAlignment="1">
      <alignment horizontal="center" vertical="top"/>
    </xf>
    <xf numFmtId="2" fontId="0" fillId="0" borderId="0" xfId="0" applyNumberFormat="1" applyBorder="1" applyAlignment="1">
      <alignment horizontal="center" vertical="center"/>
    </xf>
    <xf numFmtId="0" fontId="0" fillId="2" borderId="2" xfId="0" applyNumberFormat="1" applyFill="1" applyBorder="1" applyAlignment="1">
      <alignment horizontal="center" vertical="center" wrapText="1"/>
    </xf>
    <xf numFmtId="0" fontId="0" fillId="0" borderId="0" xfId="0" applyBorder="1" applyAlignment="1">
      <alignment horizontal="centerContinuous" vertical="center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ill>
        <patternFill>
          <bgColor theme="9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dministrator\AppData\Roaming\Microsoft\AddIns\feetconvert.xlam" TargetMode="External"/><Relationship Id="rId1" Type="http://schemas.openxmlformats.org/officeDocument/2006/relationships/externalLinkPath" Target="/Users/Administrator/AppData/Roaming/Microsoft/AddIns/feetconvert.xla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dministrator\AppData\Roaming\Microsoft\AddIns\K-M-FtoFeet.xlam" TargetMode="External"/><Relationship Id="rId1" Type="http://schemas.openxmlformats.org/officeDocument/2006/relationships/externalLinkPath" Target="/Users/Administrator/AppData/Roaming/Microsoft/AddIns/K-M-FtoFeet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FeetConvert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CalculateHyphenString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0C508-3ED6-4B29-AE95-DFA18C5FA789}">
  <sheetPr codeName="Sheet1"/>
  <dimension ref="A1:L574"/>
  <sheetViews>
    <sheetView view="pageBreakPreview" zoomScaleNormal="100" zoomScaleSheetLayoutView="100" workbookViewId="0">
      <selection activeCell="M3" sqref="M3"/>
    </sheetView>
  </sheetViews>
  <sheetFormatPr defaultRowHeight="28.5" x14ac:dyDescent="0.7"/>
  <cols>
    <col min="3" max="3" width="17.21875" style="6" customWidth="1"/>
    <col min="4" max="4" width="21.88671875" style="1" bestFit="1" customWidth="1"/>
    <col min="6" max="6" width="10.21875" style="33" bestFit="1" customWidth="1"/>
    <col min="7" max="8" width="4.77734375" style="16" customWidth="1"/>
    <col min="9" max="9" width="10" bestFit="1" customWidth="1"/>
    <col min="13" max="13" width="15.44140625" customWidth="1"/>
  </cols>
  <sheetData>
    <row r="1" spans="1:12" s="7" customFormat="1" x14ac:dyDescent="0.7">
      <c r="C1" s="5" t="s">
        <v>36</v>
      </c>
      <c r="D1" s="7">
        <v>434</v>
      </c>
      <c r="E1" s="7" t="s">
        <v>5</v>
      </c>
      <c r="F1" s="36" t="s">
        <v>38</v>
      </c>
      <c r="G1" s="52" t="s">
        <v>37</v>
      </c>
      <c r="H1" s="52"/>
      <c r="I1" s="7">
        <v>4</v>
      </c>
    </row>
    <row r="2" spans="1:12" x14ac:dyDescent="0.7">
      <c r="B2" s="24" t="s">
        <v>50</v>
      </c>
      <c r="E2">
        <f>SUM(E4:E100)</f>
        <v>798592</v>
      </c>
      <c r="F2" s="33" t="str" cm="1">
        <f t="array" ref="F2">[1]!FeetConvert(E2)</f>
        <v>146-16-0</v>
      </c>
      <c r="G2"/>
      <c r="H2"/>
      <c r="I2" t="s">
        <v>29</v>
      </c>
      <c r="J2" s="7" t="str" cm="1">
        <f t="array" ref="J2">[1]!FeetConvert(K2)</f>
        <v>146-16-0</v>
      </c>
      <c r="K2" s="7">
        <f>SUM(K4:K100)</f>
        <v>798592</v>
      </c>
    </row>
    <row r="3" spans="1:12" s="2" customFormat="1" ht="57" x14ac:dyDescent="0.7">
      <c r="A3" s="4" t="s">
        <v>0</v>
      </c>
      <c r="B3" s="11" t="s">
        <v>6</v>
      </c>
      <c r="C3" s="12" t="s">
        <v>7</v>
      </c>
      <c r="D3" s="11" t="s">
        <v>35</v>
      </c>
      <c r="E3" s="12" t="s">
        <v>21</v>
      </c>
      <c r="F3" s="51" t="s">
        <v>49</v>
      </c>
      <c r="G3" s="14"/>
      <c r="H3" s="14" t="s">
        <v>1</v>
      </c>
      <c r="I3" s="13" t="s">
        <v>10</v>
      </c>
      <c r="J3" s="12" t="s">
        <v>11</v>
      </c>
      <c r="K3" s="12" t="s">
        <v>11</v>
      </c>
      <c r="L3" s="5" t="s">
        <v>48</v>
      </c>
    </row>
    <row r="4" spans="1:12" x14ac:dyDescent="0.7">
      <c r="A4" s="3">
        <v>1</v>
      </c>
      <c r="B4" s="15">
        <f t="shared" ref="B4:B67" si="0">IFERROR(VLOOKUP($A4,TT,1,FALSE),"")</f>
        <v>1</v>
      </c>
      <c r="C4" s="28" t="str">
        <f t="shared" ref="C4:C67" si="1">IFERROR(VLOOKUP($A4,TT,2,FALSE),"")</f>
        <v>رشمینہ دختر غلام محمد</v>
      </c>
      <c r="D4" s="49" t="str">
        <f>_xlfn.TEXTJOIN("/",TRUE,E4,L4)</f>
        <v>331576/798592</v>
      </c>
      <c r="E4" s="14">
        <f>IFERROR(VLOOKUP($A4,TT,10,FALSE),"")</f>
        <v>331576</v>
      </c>
      <c r="F4" s="48" t="str" cm="1">
        <f t="array" ref="F4">IFERROR([1]!FeetConvert(E4),"")</f>
        <v>60-19-8</v>
      </c>
      <c r="G4" s="15"/>
      <c r="H4" s="29">
        <f>IFERROR(VLOOKUP(A4,T,1,FALSE),"")</f>
        <v>1</v>
      </c>
      <c r="I4" s="29">
        <f>IFERROR(VLOOKUP(A4,T,2,FALSE),"")</f>
        <v>1486</v>
      </c>
      <c r="J4" s="29" t="str">
        <f>IFERROR(VLOOKUP(A4,T,3,FALSE),"")</f>
        <v>8-8-0</v>
      </c>
      <c r="K4" s="29" cm="1">
        <f t="array" ref="K4">IFERROR([2]!CalculateHyphenString(J4),"")</f>
        <v>45696</v>
      </c>
      <c r="L4">
        <f>$E$2</f>
        <v>798592</v>
      </c>
    </row>
    <row r="5" spans="1:12" x14ac:dyDescent="0.7">
      <c r="A5" s="3">
        <v>2</v>
      </c>
      <c r="B5" s="15">
        <f t="shared" si="0"/>
        <v>2</v>
      </c>
      <c r="C5" s="28" t="str">
        <f t="shared" si="1"/>
        <v>نو ر محمد ولد محمد اشرف</v>
      </c>
      <c r="D5" s="49" t="str">
        <f>_xlfn.TEXTJOIN("/",TRUE,E5,L5)</f>
        <v>163232/798592</v>
      </c>
      <c r="E5" s="14">
        <f>IFERROR(VLOOKUP($A5,TT,10,FALSE),"")</f>
        <v>163232</v>
      </c>
      <c r="F5" s="48" t="str" cm="1">
        <f t="array" ref="F5">IFERROR([1]!FeetConvert(E5),"")</f>
        <v>30-0-32</v>
      </c>
      <c r="G5" s="15"/>
      <c r="H5" s="29">
        <f>IFERROR(VLOOKUP(A5,T,1,FALSE),"")</f>
        <v>2</v>
      </c>
      <c r="I5" s="29">
        <f>IFERROR(VLOOKUP(A5,T,2,FALSE),"")</f>
        <v>1494</v>
      </c>
      <c r="J5" s="29" t="str">
        <f>IFERROR(VLOOKUP(A5,T,3,FALSE),"")</f>
        <v>6-12-0</v>
      </c>
      <c r="K5" s="29" cm="1">
        <f t="array" ref="K5">IFERROR([2]!CalculateHyphenString(J5),"")</f>
        <v>35904</v>
      </c>
      <c r="L5">
        <f t="shared" ref="L5:L68" si="2">$E$2</f>
        <v>798592</v>
      </c>
    </row>
    <row r="6" spans="1:12" x14ac:dyDescent="0.7">
      <c r="A6" s="3">
        <v>3</v>
      </c>
      <c r="B6" s="15">
        <f t="shared" si="0"/>
        <v>3</v>
      </c>
      <c r="C6" s="28" t="str">
        <f t="shared" si="1"/>
        <v>شیر بہادر ولد محمد اشرف</v>
      </c>
      <c r="D6" s="49" t="str">
        <f>_xlfn.TEXTJOIN("/",TRUE,E6,L6)</f>
        <v>144066/798592</v>
      </c>
      <c r="E6" s="14">
        <f>IFERROR(VLOOKUP($A6,TT,10,FALSE),"")</f>
        <v>144066</v>
      </c>
      <c r="F6" s="48" t="str" cm="1">
        <f t="array" ref="F6">IFERROR([1]!FeetConvert(E6),"")</f>
        <v>26-9-178</v>
      </c>
      <c r="G6" s="15"/>
      <c r="H6" s="29">
        <f>IFERROR(VLOOKUP(A6,T,1,FALSE),"")</f>
        <v>3</v>
      </c>
      <c r="I6" s="29">
        <f>IFERROR(VLOOKUP(A6,T,2,FALSE),"")</f>
        <v>1495</v>
      </c>
      <c r="J6" s="29" t="str">
        <f>IFERROR(VLOOKUP(A6,T,3,FALSE),"")</f>
        <v>14-1-0</v>
      </c>
      <c r="K6" s="29" cm="1">
        <f t="array" ref="K6">IFERROR([2]!CalculateHyphenString(J6),"")</f>
        <v>76432</v>
      </c>
      <c r="L6">
        <f t="shared" si="2"/>
        <v>798592</v>
      </c>
    </row>
    <row r="7" spans="1:12" x14ac:dyDescent="0.7">
      <c r="A7" s="3">
        <v>4</v>
      </c>
      <c r="B7" s="15">
        <f t="shared" si="0"/>
        <v>4</v>
      </c>
      <c r="C7" s="28" t="str">
        <f t="shared" si="1"/>
        <v>محمد اختر ولد محمد اشرف</v>
      </c>
      <c r="D7" s="49" t="str">
        <f>_xlfn.TEXTJOIN("/",TRUE,E7,L7)</f>
        <v>67082/798592</v>
      </c>
      <c r="E7" s="14">
        <f>IFERROR(VLOOKUP($A7,TT,10,FALSE),"")</f>
        <v>67082</v>
      </c>
      <c r="F7" s="48" t="str" cm="1">
        <f t="array" ref="F7">IFERROR([1]!FeetConvert(E7),"")</f>
        <v>12-6-170</v>
      </c>
      <c r="G7" s="15"/>
      <c r="H7" s="29">
        <f>IFERROR(VLOOKUP(A7,T,1,FALSE),"")</f>
        <v>4</v>
      </c>
      <c r="I7" s="29">
        <f>IFERROR(VLOOKUP(A7,T,2,FALSE),"")</f>
        <v>1496</v>
      </c>
      <c r="J7" s="29" t="str">
        <f>IFERROR(VLOOKUP(A7,T,3,FALSE),"")</f>
        <v>51-12-0</v>
      </c>
      <c r="K7" s="29" cm="1">
        <f t="array" ref="K7">IFERROR([2]!CalculateHyphenString(J7),"")</f>
        <v>280704</v>
      </c>
      <c r="L7">
        <f t="shared" si="2"/>
        <v>798592</v>
      </c>
    </row>
    <row r="8" spans="1:12" x14ac:dyDescent="0.7">
      <c r="A8" s="3">
        <v>5</v>
      </c>
      <c r="B8" s="15">
        <f t="shared" si="0"/>
        <v>5</v>
      </c>
      <c r="C8" s="28" t="str">
        <f t="shared" si="1"/>
        <v>نصیر احمدو لد نذیر احمد</v>
      </c>
      <c r="D8" s="49" t="str">
        <f>_xlfn.TEXTJOIN("/",TRUE,E8,L8)</f>
        <v>19166/798592</v>
      </c>
      <c r="E8" s="14">
        <f>IFERROR(VLOOKUP($A8,TT,10,FALSE),"")</f>
        <v>19166</v>
      </c>
      <c r="F8" s="48" t="str" cm="1">
        <f t="array" ref="F8">IFERROR([1]!FeetConvert(E8),"")</f>
        <v>3-10-126</v>
      </c>
      <c r="G8" s="15"/>
      <c r="H8" s="29">
        <f>IFERROR(VLOOKUP(A8,T,1,FALSE),"")</f>
        <v>5</v>
      </c>
      <c r="I8" s="29">
        <f>IFERROR(VLOOKUP(A8,T,2,FALSE),"")</f>
        <v>1497</v>
      </c>
      <c r="J8" s="29" t="str">
        <f>IFERROR(VLOOKUP(A8,T,3,FALSE),"")</f>
        <v>22-13-0</v>
      </c>
      <c r="K8" s="29" cm="1">
        <f t="array" ref="K8">IFERROR([2]!CalculateHyphenString(J8),"")</f>
        <v>123216</v>
      </c>
      <c r="L8">
        <f t="shared" si="2"/>
        <v>798592</v>
      </c>
    </row>
    <row r="9" spans="1:12" x14ac:dyDescent="0.7">
      <c r="A9" s="3">
        <v>6</v>
      </c>
      <c r="B9" s="15">
        <f t="shared" si="0"/>
        <v>6</v>
      </c>
      <c r="C9" s="28" t="str">
        <f t="shared" si="1"/>
        <v>بشیر احمد ولد نذیر احمد</v>
      </c>
      <c r="D9" s="49" t="str">
        <f>_xlfn.TEXTJOIN("/",TRUE,E9,L9)</f>
        <v>73470/798592</v>
      </c>
      <c r="E9" s="14">
        <f>IFERROR(VLOOKUP($A9,TT,10,FALSE),"")</f>
        <v>73470</v>
      </c>
      <c r="F9" s="48" t="str" cm="1">
        <f t="array" ref="F9">IFERROR([1]!FeetConvert(E9),"")</f>
        <v>13-10-30</v>
      </c>
      <c r="G9" s="15"/>
      <c r="H9" s="29">
        <f>IFERROR(VLOOKUP(A9,T,1,FALSE),"")</f>
        <v>6</v>
      </c>
      <c r="I9" s="29">
        <f>IFERROR(VLOOKUP(A9,T,2,FALSE),"")</f>
        <v>1500</v>
      </c>
      <c r="J9" s="29" t="str">
        <f>IFERROR(VLOOKUP(A9,T,3,FALSE),"")</f>
        <v>3-1-0</v>
      </c>
      <c r="K9" s="29" cm="1">
        <f t="array" ref="K9">IFERROR([2]!CalculateHyphenString(J9),"")</f>
        <v>16592</v>
      </c>
      <c r="L9">
        <f t="shared" si="2"/>
        <v>798592</v>
      </c>
    </row>
    <row r="10" spans="1:12" x14ac:dyDescent="0.7">
      <c r="A10" s="3">
        <v>7</v>
      </c>
      <c r="B10" s="15" t="str">
        <f t="shared" si="0"/>
        <v/>
      </c>
      <c r="C10" s="28" t="str">
        <f t="shared" si="1"/>
        <v/>
      </c>
      <c r="D10" s="49" t="str">
        <f>_xlfn.TEXTJOIN("/",TRUE,E10,L10)</f>
        <v>798592</v>
      </c>
      <c r="E10" s="50" t="str">
        <f>IFERROR(VLOOKUP($A10,TT,10,FALSE),"")</f>
        <v/>
      </c>
      <c r="F10" s="48" t="str" cm="1">
        <f t="array" ref="F10">IFERROR([1]!FeetConvert(E10),"")</f>
        <v/>
      </c>
      <c r="G10" s="15"/>
      <c r="H10" s="29">
        <f>IFERROR(VLOOKUP(A10,T,1,FALSE),"")</f>
        <v>7</v>
      </c>
      <c r="I10" s="29">
        <f>IFERROR(VLOOKUP(A10,T,2,FALSE),"")</f>
        <v>1481</v>
      </c>
      <c r="J10" s="29" t="str">
        <f>IFERROR(VLOOKUP(A10,T,3,FALSE),"")</f>
        <v>40-9-0</v>
      </c>
      <c r="K10" s="29" cm="1">
        <f t="array" ref="K10">IFERROR([2]!CalculateHyphenString(J10),"")</f>
        <v>220048</v>
      </c>
      <c r="L10">
        <f t="shared" si="2"/>
        <v>798592</v>
      </c>
    </row>
    <row r="11" spans="1:12" x14ac:dyDescent="0.7">
      <c r="A11" s="3">
        <v>8</v>
      </c>
      <c r="B11" s="15" t="str">
        <f t="shared" si="0"/>
        <v/>
      </c>
      <c r="C11" s="28" t="str">
        <f t="shared" si="1"/>
        <v/>
      </c>
      <c r="D11" s="49" t="str">
        <f>_xlfn.TEXTJOIN("/",TRUE,E11,L11)</f>
        <v>798592</v>
      </c>
      <c r="E11" s="14" t="str">
        <f>IFERROR(VLOOKUP($A11,TT,10,FALSE),"")</f>
        <v/>
      </c>
      <c r="F11" s="48" t="str" cm="1">
        <f t="array" ref="F11">IFERROR([1]!FeetConvert(E11),"")</f>
        <v/>
      </c>
      <c r="G11" s="15"/>
      <c r="H11" s="29" t="str">
        <f>IFERROR(VLOOKUP(A11,T,1,FALSE),"")</f>
        <v/>
      </c>
      <c r="I11" s="29" t="str">
        <f>IFERROR(VLOOKUP(A11,T,2,FALSE),"")</f>
        <v/>
      </c>
      <c r="J11" s="29" t="str">
        <f>IFERROR(VLOOKUP(A11,T,3,FALSE),"")</f>
        <v/>
      </c>
      <c r="K11" s="29" t="str" cm="1">
        <f t="array" ref="K11">IFERROR([2]!CalculateHyphenString(J11),"")</f>
        <v/>
      </c>
      <c r="L11">
        <f t="shared" si="2"/>
        <v>798592</v>
      </c>
    </row>
    <row r="12" spans="1:12" x14ac:dyDescent="0.7">
      <c r="A12" s="3">
        <v>9</v>
      </c>
      <c r="B12" s="15" t="str">
        <f t="shared" si="0"/>
        <v/>
      </c>
      <c r="C12" s="28" t="str">
        <f t="shared" si="1"/>
        <v/>
      </c>
      <c r="D12" s="49" t="str">
        <f>_xlfn.TEXTJOIN("/",TRUE,E12,L12)</f>
        <v>798592</v>
      </c>
      <c r="E12" s="14" t="str">
        <f>IFERROR(VLOOKUP($A12,TT,10,FALSE),"")</f>
        <v/>
      </c>
      <c r="F12" s="48" t="str" cm="1">
        <f t="array" ref="F12">IFERROR([1]!FeetConvert(E12),"")</f>
        <v/>
      </c>
      <c r="G12" s="15"/>
      <c r="H12" s="29" t="str">
        <f>IFERROR(VLOOKUP(A12,T,1,FALSE),"")</f>
        <v/>
      </c>
      <c r="I12" s="29" t="str">
        <f>IFERROR(VLOOKUP(A12,T,2,FALSE),"")</f>
        <v/>
      </c>
      <c r="J12" s="29" t="str">
        <f>IFERROR(VLOOKUP(A12,T,3,FALSE),"")</f>
        <v/>
      </c>
      <c r="K12" s="29" t="str" cm="1">
        <f t="array" ref="K12">IFERROR([2]!CalculateHyphenString(J12),"")</f>
        <v/>
      </c>
      <c r="L12">
        <f t="shared" si="2"/>
        <v>798592</v>
      </c>
    </row>
    <row r="13" spans="1:12" x14ac:dyDescent="0.7">
      <c r="A13" s="3">
        <v>10</v>
      </c>
      <c r="B13" s="15" t="str">
        <f t="shared" si="0"/>
        <v/>
      </c>
      <c r="C13" s="28" t="str">
        <f t="shared" si="1"/>
        <v/>
      </c>
      <c r="D13" s="49" t="str">
        <f>_xlfn.TEXTJOIN("/",TRUE,E13,L13)</f>
        <v>798592</v>
      </c>
      <c r="E13" s="14" t="str">
        <f>IFERROR(VLOOKUP($A13,TT,10,FALSE),"")</f>
        <v/>
      </c>
      <c r="F13" s="48" t="str" cm="1">
        <f t="array" ref="F13">IFERROR([1]!FeetConvert(E13),"")</f>
        <v/>
      </c>
      <c r="G13" s="15"/>
      <c r="H13" s="29" t="str">
        <f>IFERROR(VLOOKUP(A13,T,1,FALSE),"")</f>
        <v/>
      </c>
      <c r="I13" s="29" t="str">
        <f>IFERROR(VLOOKUP(A13,T,2,FALSE),"")</f>
        <v/>
      </c>
      <c r="J13" s="29" t="str">
        <f>IFERROR(VLOOKUP(A13,T,3,FALSE),"")</f>
        <v/>
      </c>
      <c r="K13" s="29" t="str" cm="1">
        <f t="array" ref="K13">IFERROR([2]!CalculateHyphenString(J13),"")</f>
        <v/>
      </c>
      <c r="L13">
        <f t="shared" si="2"/>
        <v>798592</v>
      </c>
    </row>
    <row r="14" spans="1:12" x14ac:dyDescent="0.7">
      <c r="A14" s="3">
        <v>11</v>
      </c>
      <c r="B14" s="15" t="str">
        <f t="shared" si="0"/>
        <v/>
      </c>
      <c r="C14" s="28" t="str">
        <f t="shared" si="1"/>
        <v/>
      </c>
      <c r="D14" s="49" t="str">
        <f>_xlfn.TEXTJOIN("/",TRUE,E14,L14)</f>
        <v>798592</v>
      </c>
      <c r="E14" s="14" t="str">
        <f>IFERROR(VLOOKUP($A14,TT,10,FALSE),"")</f>
        <v/>
      </c>
      <c r="F14" s="48" t="str" cm="1">
        <f t="array" ref="F14">IFERROR([1]!FeetConvert(E14),"")</f>
        <v/>
      </c>
      <c r="G14" s="15"/>
      <c r="H14" s="29" t="str">
        <f>IFERROR(VLOOKUP(A14,T,1,FALSE),"")</f>
        <v/>
      </c>
      <c r="I14" s="29" t="str">
        <f>IFERROR(VLOOKUP(A14,T,2,FALSE),"")</f>
        <v/>
      </c>
      <c r="J14" s="29" t="str">
        <f>IFERROR(VLOOKUP(A14,T,3,FALSE),"")</f>
        <v/>
      </c>
      <c r="K14" s="29" t="str" cm="1">
        <f t="array" ref="K14">IFERROR([2]!CalculateHyphenString(J14),"")</f>
        <v/>
      </c>
      <c r="L14">
        <f t="shared" si="2"/>
        <v>798592</v>
      </c>
    </row>
    <row r="15" spans="1:12" x14ac:dyDescent="0.7">
      <c r="A15" s="3">
        <v>12</v>
      </c>
      <c r="B15" s="15" t="str">
        <f t="shared" si="0"/>
        <v/>
      </c>
      <c r="C15" s="28" t="str">
        <f t="shared" si="1"/>
        <v/>
      </c>
      <c r="D15" s="49" t="str">
        <f>_xlfn.TEXTJOIN("/",TRUE,E15,L15)</f>
        <v>798592</v>
      </c>
      <c r="E15" s="14" t="str">
        <f>IFERROR(VLOOKUP($A15,TT,10,FALSE),"")</f>
        <v/>
      </c>
      <c r="F15" s="48" t="str" cm="1">
        <f t="array" ref="F15">IFERROR([1]!FeetConvert(E15),"")</f>
        <v/>
      </c>
      <c r="G15" s="15"/>
      <c r="H15" s="29" t="str">
        <f>IFERROR(VLOOKUP(A15,T,1,FALSE),"")</f>
        <v/>
      </c>
      <c r="I15" s="29" t="str">
        <f>IFERROR(VLOOKUP(A15,T,2,FALSE),"")</f>
        <v/>
      </c>
      <c r="J15" s="29" t="str">
        <f>IFERROR(VLOOKUP(A15,T,3,FALSE),"")</f>
        <v/>
      </c>
      <c r="K15" s="29" t="str" cm="1">
        <f t="array" ref="K15">IFERROR([2]!CalculateHyphenString(J15),"")</f>
        <v/>
      </c>
      <c r="L15">
        <f t="shared" si="2"/>
        <v>798592</v>
      </c>
    </row>
    <row r="16" spans="1:12" x14ac:dyDescent="0.7">
      <c r="A16" s="3">
        <v>13</v>
      </c>
      <c r="B16" s="15" t="str">
        <f t="shared" si="0"/>
        <v/>
      </c>
      <c r="C16" s="28" t="str">
        <f t="shared" si="1"/>
        <v/>
      </c>
      <c r="D16" s="49" t="str">
        <f>_xlfn.TEXTJOIN("/",TRUE,E16,L16)</f>
        <v>798592</v>
      </c>
      <c r="E16" s="14" t="str">
        <f>IFERROR(VLOOKUP($A16,TT,10,FALSE),"")</f>
        <v/>
      </c>
      <c r="F16" s="48" t="str" cm="1">
        <f t="array" ref="F16">IFERROR([1]!FeetConvert(E16),"")</f>
        <v/>
      </c>
      <c r="G16" s="15"/>
      <c r="H16" s="29" t="str">
        <f>IFERROR(VLOOKUP(A16,T,1,FALSE),"")</f>
        <v/>
      </c>
      <c r="I16" s="29" t="str">
        <f>IFERROR(VLOOKUP(A16,T,2,FALSE),"")</f>
        <v/>
      </c>
      <c r="J16" s="29" t="str">
        <f>IFERROR(VLOOKUP(A16,T,3,FALSE),"")</f>
        <v/>
      </c>
      <c r="K16" s="29" t="str" cm="1">
        <f t="array" ref="K16">IFERROR([2]!CalculateHyphenString(J16),"")</f>
        <v/>
      </c>
      <c r="L16">
        <f t="shared" si="2"/>
        <v>798592</v>
      </c>
    </row>
    <row r="17" spans="1:12" x14ac:dyDescent="0.7">
      <c r="A17" s="3">
        <v>14</v>
      </c>
      <c r="B17" s="15" t="str">
        <f t="shared" si="0"/>
        <v/>
      </c>
      <c r="C17" s="28" t="str">
        <f t="shared" si="1"/>
        <v/>
      </c>
      <c r="D17" s="49" t="str">
        <f>_xlfn.TEXTJOIN("/",TRUE,E17,L17)</f>
        <v>798592</v>
      </c>
      <c r="E17" s="14" t="str">
        <f>IFERROR(VLOOKUP($A17,TT,10,FALSE),"")</f>
        <v/>
      </c>
      <c r="F17" s="48" t="str" cm="1">
        <f t="array" ref="F17">IFERROR([1]!FeetConvert(E17),"")</f>
        <v/>
      </c>
      <c r="G17" s="15"/>
      <c r="H17" s="29" t="str">
        <f>IFERROR(VLOOKUP(A17,T,1,FALSE),"")</f>
        <v/>
      </c>
      <c r="I17" s="29" t="str">
        <f>IFERROR(VLOOKUP(A17,T,2,FALSE),"")</f>
        <v/>
      </c>
      <c r="J17" s="29" t="str">
        <f>IFERROR(VLOOKUP(A17,T,3,FALSE),"")</f>
        <v/>
      </c>
      <c r="K17" s="29" t="str" cm="1">
        <f t="array" ref="K17">IFERROR([2]!CalculateHyphenString(J17),"")</f>
        <v/>
      </c>
      <c r="L17">
        <f t="shared" si="2"/>
        <v>798592</v>
      </c>
    </row>
    <row r="18" spans="1:12" x14ac:dyDescent="0.7">
      <c r="A18" s="3">
        <v>15</v>
      </c>
      <c r="B18" s="15" t="str">
        <f t="shared" si="0"/>
        <v/>
      </c>
      <c r="C18" s="28" t="str">
        <f t="shared" si="1"/>
        <v/>
      </c>
      <c r="D18" s="49" t="str">
        <f>_xlfn.TEXTJOIN("/",TRUE,E18,L18)</f>
        <v>798592</v>
      </c>
      <c r="E18" s="14" t="str">
        <f>IFERROR(VLOOKUP($A18,TT,10,FALSE),"")</f>
        <v/>
      </c>
      <c r="F18" s="48" t="str" cm="1">
        <f t="array" ref="F18">IFERROR([1]!FeetConvert(E18),"")</f>
        <v/>
      </c>
      <c r="G18" s="15"/>
      <c r="H18" s="29" t="str">
        <f>IFERROR(VLOOKUP(A18,T,1,FALSE),"")</f>
        <v/>
      </c>
      <c r="I18" s="29" t="str">
        <f>IFERROR(VLOOKUP(A18,T,2,FALSE),"")</f>
        <v/>
      </c>
      <c r="J18" s="29" t="str">
        <f>IFERROR(VLOOKUP(A18,T,3,FALSE),"")</f>
        <v/>
      </c>
      <c r="K18" s="29" t="str" cm="1">
        <f t="array" ref="K18">IFERROR([2]!CalculateHyphenString(J18),"")</f>
        <v/>
      </c>
      <c r="L18">
        <f t="shared" si="2"/>
        <v>798592</v>
      </c>
    </row>
    <row r="19" spans="1:12" x14ac:dyDescent="0.7">
      <c r="A19" s="3">
        <v>16</v>
      </c>
      <c r="B19" s="15" t="str">
        <f t="shared" si="0"/>
        <v/>
      </c>
      <c r="C19" s="28" t="str">
        <f t="shared" si="1"/>
        <v/>
      </c>
      <c r="D19" s="49" t="str">
        <f>_xlfn.TEXTJOIN("/",TRUE,E19,L19)</f>
        <v>798592</v>
      </c>
      <c r="E19" s="14" t="str">
        <f>IFERROR(VLOOKUP($A19,TT,10,FALSE),"")</f>
        <v/>
      </c>
      <c r="F19" s="48" t="str" cm="1">
        <f t="array" ref="F19">IFERROR([1]!FeetConvert(E19),"")</f>
        <v/>
      </c>
      <c r="G19" s="15"/>
      <c r="H19" s="29" t="str">
        <f>IFERROR(VLOOKUP(A19,T,1,FALSE),"")</f>
        <v/>
      </c>
      <c r="I19" s="29" t="str">
        <f>IFERROR(VLOOKUP(A19,T,2,FALSE),"")</f>
        <v/>
      </c>
      <c r="J19" s="29" t="str">
        <f>IFERROR(VLOOKUP(A19,T,3,FALSE),"")</f>
        <v/>
      </c>
      <c r="K19" s="29" t="str" cm="1">
        <f t="array" ref="K19">IFERROR([2]!CalculateHyphenString(J19),"")</f>
        <v/>
      </c>
      <c r="L19">
        <f t="shared" si="2"/>
        <v>798592</v>
      </c>
    </row>
    <row r="20" spans="1:12" x14ac:dyDescent="0.7">
      <c r="A20" s="3">
        <v>17</v>
      </c>
      <c r="B20" s="15" t="str">
        <f t="shared" si="0"/>
        <v/>
      </c>
      <c r="C20" s="28" t="str">
        <f t="shared" si="1"/>
        <v/>
      </c>
      <c r="D20" s="49" t="str">
        <f>_xlfn.TEXTJOIN("/",TRUE,E20,L20)</f>
        <v>798592</v>
      </c>
      <c r="E20" s="14" t="str">
        <f>IFERROR(VLOOKUP($A20,TT,10,FALSE),"")</f>
        <v/>
      </c>
      <c r="F20" s="48" t="str" cm="1">
        <f t="array" ref="F20">IFERROR([1]!FeetConvert(E20),"")</f>
        <v/>
      </c>
      <c r="G20" s="15"/>
      <c r="H20" s="29" t="str">
        <f>IFERROR(VLOOKUP(A20,T,1,FALSE),"")</f>
        <v/>
      </c>
      <c r="I20" s="29" t="str">
        <f>IFERROR(VLOOKUP(A20,T,2,FALSE),"")</f>
        <v/>
      </c>
      <c r="J20" s="29" t="str">
        <f>IFERROR(VLOOKUP(A20,T,3,FALSE),"")</f>
        <v/>
      </c>
      <c r="K20" s="29" t="str" cm="1">
        <f t="array" ref="K20">IFERROR([2]!CalculateHyphenString(J20),"")</f>
        <v/>
      </c>
      <c r="L20">
        <f t="shared" si="2"/>
        <v>798592</v>
      </c>
    </row>
    <row r="21" spans="1:12" x14ac:dyDescent="0.7">
      <c r="A21" s="3">
        <v>18</v>
      </c>
      <c r="B21" s="15" t="str">
        <f t="shared" si="0"/>
        <v/>
      </c>
      <c r="C21" s="28" t="str">
        <f t="shared" si="1"/>
        <v/>
      </c>
      <c r="D21" s="49" t="str">
        <f>_xlfn.TEXTJOIN("/",TRUE,E21,L21)</f>
        <v>798592</v>
      </c>
      <c r="E21" s="14" t="str">
        <f>IFERROR(VLOOKUP($A21,TT,10,FALSE),"")</f>
        <v/>
      </c>
      <c r="F21" s="48" t="str" cm="1">
        <f t="array" ref="F21">IFERROR([1]!FeetConvert(E21),"")</f>
        <v/>
      </c>
      <c r="G21" s="15"/>
      <c r="H21" s="29" t="str">
        <f>IFERROR(VLOOKUP(A21,T,1,FALSE),"")</f>
        <v/>
      </c>
      <c r="I21" s="29" t="str">
        <f>IFERROR(VLOOKUP(A21,T,2,FALSE),"")</f>
        <v/>
      </c>
      <c r="J21" s="29" t="str">
        <f>IFERROR(VLOOKUP(A21,T,3,FALSE),"")</f>
        <v/>
      </c>
      <c r="K21" s="29" t="str" cm="1">
        <f t="array" ref="K21">IFERROR([2]!CalculateHyphenString(J21),"")</f>
        <v/>
      </c>
      <c r="L21">
        <f t="shared" si="2"/>
        <v>798592</v>
      </c>
    </row>
    <row r="22" spans="1:12" x14ac:dyDescent="0.7">
      <c r="A22" s="3">
        <v>19</v>
      </c>
      <c r="B22" s="15" t="str">
        <f t="shared" si="0"/>
        <v/>
      </c>
      <c r="C22" s="28" t="str">
        <f t="shared" si="1"/>
        <v/>
      </c>
      <c r="D22" s="49" t="str">
        <f>_xlfn.TEXTJOIN("/",TRUE,E22,L22)</f>
        <v>798592</v>
      </c>
      <c r="E22" s="14" t="str">
        <f>IFERROR(VLOOKUP($A22,TT,10,FALSE),"")</f>
        <v/>
      </c>
      <c r="F22" s="48" t="str" cm="1">
        <f t="array" ref="F22">IFERROR([1]!FeetConvert(E22),"")</f>
        <v/>
      </c>
      <c r="G22" s="15"/>
      <c r="H22" s="29" t="str">
        <f>IFERROR(VLOOKUP(A22,T,1,FALSE),"")</f>
        <v/>
      </c>
      <c r="I22" s="29" t="str">
        <f>IFERROR(VLOOKUP(A22,T,2,FALSE),"")</f>
        <v/>
      </c>
      <c r="J22" s="29" t="str">
        <f>IFERROR(VLOOKUP(A22,T,3,FALSE),"")</f>
        <v/>
      </c>
      <c r="K22" s="29" t="str" cm="1">
        <f t="array" ref="K22">IFERROR([2]!CalculateHyphenString(J22),"")</f>
        <v/>
      </c>
      <c r="L22">
        <f t="shared" si="2"/>
        <v>798592</v>
      </c>
    </row>
    <row r="23" spans="1:12" x14ac:dyDescent="0.7">
      <c r="A23" s="3">
        <v>20</v>
      </c>
      <c r="B23" s="15" t="str">
        <f t="shared" si="0"/>
        <v/>
      </c>
      <c r="C23" s="28" t="str">
        <f t="shared" si="1"/>
        <v/>
      </c>
      <c r="D23" s="49" t="str">
        <f>_xlfn.TEXTJOIN("/",TRUE,E23,L23)</f>
        <v>798592</v>
      </c>
      <c r="E23" s="14" t="str">
        <f>IFERROR(VLOOKUP($A23,TT,10,FALSE),"")</f>
        <v/>
      </c>
      <c r="F23" s="48" t="str" cm="1">
        <f t="array" ref="F23">IFERROR([1]!FeetConvert(E23),"")</f>
        <v/>
      </c>
      <c r="G23" s="15"/>
      <c r="H23" s="29" t="str">
        <f>IFERROR(VLOOKUP(A23,T,1,FALSE),"")</f>
        <v/>
      </c>
      <c r="I23" s="29" t="str">
        <f>IFERROR(VLOOKUP(A23,T,2,FALSE),"")</f>
        <v/>
      </c>
      <c r="J23" s="29" t="str">
        <f>IFERROR(VLOOKUP(A23,T,3,FALSE),"")</f>
        <v/>
      </c>
      <c r="K23" s="29" t="str" cm="1">
        <f t="array" ref="K23">IFERROR([2]!CalculateHyphenString(J23),"")</f>
        <v/>
      </c>
      <c r="L23">
        <f t="shared" si="2"/>
        <v>798592</v>
      </c>
    </row>
    <row r="24" spans="1:12" x14ac:dyDescent="0.7">
      <c r="A24" s="3">
        <v>21</v>
      </c>
      <c r="B24" s="15" t="str">
        <f t="shared" si="0"/>
        <v/>
      </c>
      <c r="C24" s="28" t="str">
        <f t="shared" si="1"/>
        <v/>
      </c>
      <c r="D24" s="49" t="str">
        <f>_xlfn.TEXTJOIN("/",TRUE,E24,L24)</f>
        <v>798592</v>
      </c>
      <c r="E24" s="14" t="str">
        <f>IFERROR(VLOOKUP($A24,TT,10,FALSE),"")</f>
        <v/>
      </c>
      <c r="F24" s="48" t="str" cm="1">
        <f t="array" ref="F24">IFERROR([1]!FeetConvert(E24),"")</f>
        <v/>
      </c>
      <c r="G24" s="15"/>
      <c r="H24" s="29" t="str">
        <f>IFERROR(VLOOKUP(A24,T,1,FALSE),"")</f>
        <v/>
      </c>
      <c r="I24" s="29" t="str">
        <f>IFERROR(VLOOKUP(A24,T,2,FALSE),"")</f>
        <v/>
      </c>
      <c r="J24" s="29" t="str">
        <f>IFERROR(VLOOKUP(A24,T,3,FALSE),"")</f>
        <v/>
      </c>
      <c r="K24" s="29" t="str" cm="1">
        <f t="array" ref="K24">IFERROR([2]!CalculateHyphenString(J24),"")</f>
        <v/>
      </c>
      <c r="L24">
        <f t="shared" si="2"/>
        <v>798592</v>
      </c>
    </row>
    <row r="25" spans="1:12" x14ac:dyDescent="0.7">
      <c r="A25" s="3">
        <v>22</v>
      </c>
      <c r="B25" s="15" t="str">
        <f t="shared" si="0"/>
        <v/>
      </c>
      <c r="C25" s="28" t="str">
        <f t="shared" si="1"/>
        <v/>
      </c>
      <c r="D25" s="49" t="str">
        <f>_xlfn.TEXTJOIN("/",TRUE,E25,L25)</f>
        <v>798592</v>
      </c>
      <c r="E25" s="14" t="str">
        <f>IFERROR(VLOOKUP($A25,TT,10,FALSE),"")</f>
        <v/>
      </c>
      <c r="F25" s="48" t="str" cm="1">
        <f t="array" ref="F25">IFERROR([1]!FeetConvert(E25),"")</f>
        <v/>
      </c>
      <c r="G25" s="15"/>
      <c r="H25" s="29" t="str">
        <f>IFERROR(VLOOKUP(A25,T,1,FALSE),"")</f>
        <v/>
      </c>
      <c r="I25" s="29" t="str">
        <f>IFERROR(VLOOKUP(A25,T,2,FALSE),"")</f>
        <v/>
      </c>
      <c r="J25" s="29" t="str">
        <f>IFERROR(VLOOKUP(A25,T,3,FALSE),"")</f>
        <v/>
      </c>
      <c r="K25" s="29" t="str" cm="1">
        <f t="array" ref="K25">IFERROR([2]!CalculateHyphenString(J25),"")</f>
        <v/>
      </c>
      <c r="L25">
        <f t="shared" si="2"/>
        <v>798592</v>
      </c>
    </row>
    <row r="26" spans="1:12" x14ac:dyDescent="0.7">
      <c r="A26" s="3">
        <v>23</v>
      </c>
      <c r="B26" s="15" t="str">
        <f t="shared" si="0"/>
        <v/>
      </c>
      <c r="C26" s="28" t="str">
        <f t="shared" si="1"/>
        <v/>
      </c>
      <c r="D26" s="49" t="str">
        <f>_xlfn.TEXTJOIN("/",TRUE,E26,L26)</f>
        <v>798592</v>
      </c>
      <c r="E26" s="14" t="str">
        <f>IFERROR(VLOOKUP($A26,TT,10,FALSE),"")</f>
        <v/>
      </c>
      <c r="F26" s="48" t="str" cm="1">
        <f t="array" ref="F26">IFERROR([1]!FeetConvert(E26),"")</f>
        <v/>
      </c>
      <c r="G26" s="15"/>
      <c r="H26" s="29" t="str">
        <f>IFERROR(VLOOKUP(A26,T,1,FALSE),"")</f>
        <v/>
      </c>
      <c r="I26" s="29" t="str">
        <f>IFERROR(VLOOKUP(A26,T,2,FALSE),"")</f>
        <v/>
      </c>
      <c r="J26" s="29" t="str">
        <f>IFERROR(VLOOKUP(A26,T,3,FALSE),"")</f>
        <v/>
      </c>
      <c r="K26" s="29" t="str" cm="1">
        <f t="array" ref="K26">IFERROR([2]!CalculateHyphenString(J26),"")</f>
        <v/>
      </c>
      <c r="L26">
        <f t="shared" si="2"/>
        <v>798592</v>
      </c>
    </row>
    <row r="27" spans="1:12" x14ac:dyDescent="0.7">
      <c r="A27" s="3">
        <v>24</v>
      </c>
      <c r="B27" s="15" t="str">
        <f t="shared" si="0"/>
        <v/>
      </c>
      <c r="C27" s="28" t="str">
        <f t="shared" si="1"/>
        <v/>
      </c>
      <c r="D27" s="49" t="str">
        <f>_xlfn.TEXTJOIN("/",TRUE,E27,L27)</f>
        <v>798592</v>
      </c>
      <c r="E27" s="14" t="str">
        <f>IFERROR(VLOOKUP($A27,TT,10,FALSE),"")</f>
        <v/>
      </c>
      <c r="F27" s="48" t="str" cm="1">
        <f t="array" ref="F27">IFERROR([1]!FeetConvert(E27),"")</f>
        <v/>
      </c>
      <c r="G27" s="15"/>
      <c r="H27" s="29" t="str">
        <f>IFERROR(VLOOKUP(A27,T,1,FALSE),"")</f>
        <v/>
      </c>
      <c r="I27" s="29" t="str">
        <f>IFERROR(VLOOKUP(A27,T,2,FALSE),"")</f>
        <v/>
      </c>
      <c r="J27" s="29" t="str">
        <f>IFERROR(VLOOKUP(A27,T,3,FALSE),"")</f>
        <v/>
      </c>
      <c r="K27" s="29" t="str" cm="1">
        <f t="array" ref="K27">IFERROR([2]!CalculateHyphenString(J27),"")</f>
        <v/>
      </c>
      <c r="L27">
        <f t="shared" si="2"/>
        <v>798592</v>
      </c>
    </row>
    <row r="28" spans="1:12" x14ac:dyDescent="0.7">
      <c r="A28" s="3">
        <v>25</v>
      </c>
      <c r="B28" s="15" t="str">
        <f t="shared" si="0"/>
        <v/>
      </c>
      <c r="C28" s="28" t="str">
        <f t="shared" si="1"/>
        <v/>
      </c>
      <c r="D28" s="49" t="str">
        <f>_xlfn.TEXTJOIN("/",TRUE,E28,L28)</f>
        <v>798592</v>
      </c>
      <c r="E28" s="14" t="str">
        <f>IFERROR(VLOOKUP($A28,TT,10,FALSE),"")</f>
        <v/>
      </c>
      <c r="F28" s="48" t="str" cm="1">
        <f t="array" ref="F28">IFERROR([1]!FeetConvert(E28),"")</f>
        <v/>
      </c>
      <c r="G28" s="15"/>
      <c r="H28" s="29" t="str">
        <f>IFERROR(VLOOKUP(A28,T,1,FALSE),"")</f>
        <v/>
      </c>
      <c r="I28" s="29" t="str">
        <f>IFERROR(VLOOKUP(A28,T,2,FALSE),"")</f>
        <v/>
      </c>
      <c r="J28" s="29" t="str">
        <f>IFERROR(VLOOKUP(A28,T,3,FALSE),"")</f>
        <v/>
      </c>
      <c r="K28" s="29" t="str" cm="1">
        <f t="array" ref="K28">IFERROR([2]!CalculateHyphenString(J28),"")</f>
        <v/>
      </c>
      <c r="L28">
        <f t="shared" si="2"/>
        <v>798592</v>
      </c>
    </row>
    <row r="29" spans="1:12" x14ac:dyDescent="0.7">
      <c r="A29" s="3">
        <v>26</v>
      </c>
      <c r="B29" s="15" t="str">
        <f t="shared" si="0"/>
        <v/>
      </c>
      <c r="C29" s="28" t="str">
        <f t="shared" si="1"/>
        <v/>
      </c>
      <c r="D29" s="49" t="str">
        <f>_xlfn.TEXTJOIN("/",TRUE,E29,L29)</f>
        <v>798592</v>
      </c>
      <c r="E29" s="14" t="str">
        <f>IFERROR(VLOOKUP($A29,TT,10,FALSE),"")</f>
        <v/>
      </c>
      <c r="F29" s="48" t="str" cm="1">
        <f t="array" ref="F29">IFERROR([1]!FeetConvert(E29),"")</f>
        <v/>
      </c>
      <c r="G29" s="15"/>
      <c r="H29" s="29" t="str">
        <f>IFERROR(VLOOKUP(A29,T,1,FALSE),"")</f>
        <v/>
      </c>
      <c r="I29" s="29" t="str">
        <f>IFERROR(VLOOKUP(A29,T,2,FALSE),"")</f>
        <v/>
      </c>
      <c r="J29" s="29" t="str">
        <f>IFERROR(VLOOKUP(A29,T,3,FALSE),"")</f>
        <v/>
      </c>
      <c r="K29" s="29" t="str" cm="1">
        <f t="array" ref="K29">IFERROR([2]!CalculateHyphenString(J29),"")</f>
        <v/>
      </c>
      <c r="L29">
        <f t="shared" si="2"/>
        <v>798592</v>
      </c>
    </row>
    <row r="30" spans="1:12" x14ac:dyDescent="0.7">
      <c r="A30" s="3">
        <v>27</v>
      </c>
      <c r="B30" s="15" t="str">
        <f t="shared" si="0"/>
        <v/>
      </c>
      <c r="C30" s="28" t="str">
        <f t="shared" si="1"/>
        <v/>
      </c>
      <c r="D30" s="49" t="str">
        <f>_xlfn.TEXTJOIN("/",TRUE,E30,L30)</f>
        <v>798592</v>
      </c>
      <c r="E30" s="14" t="str">
        <f>IFERROR(VLOOKUP($A30,TT,10,FALSE),"")</f>
        <v/>
      </c>
      <c r="F30" s="48" t="str" cm="1">
        <f t="array" ref="F30">IFERROR([1]!FeetConvert(E30),"")</f>
        <v/>
      </c>
      <c r="G30" s="15"/>
      <c r="H30" s="29" t="str">
        <f>IFERROR(VLOOKUP(A30,T,1,FALSE),"")</f>
        <v/>
      </c>
      <c r="I30" s="29" t="str">
        <f>IFERROR(VLOOKUP(A30,T,2,FALSE),"")</f>
        <v/>
      </c>
      <c r="J30" s="29" t="str">
        <f>IFERROR(VLOOKUP(A30,T,3,FALSE),"")</f>
        <v/>
      </c>
      <c r="K30" s="29" t="str" cm="1">
        <f t="array" ref="K30">IFERROR([2]!CalculateHyphenString(J30),"")</f>
        <v/>
      </c>
      <c r="L30">
        <f t="shared" si="2"/>
        <v>798592</v>
      </c>
    </row>
    <row r="31" spans="1:12" x14ac:dyDescent="0.7">
      <c r="A31" s="3">
        <v>28</v>
      </c>
      <c r="B31" s="15" t="str">
        <f t="shared" si="0"/>
        <v/>
      </c>
      <c r="C31" s="28" t="str">
        <f t="shared" si="1"/>
        <v/>
      </c>
      <c r="D31" s="49" t="str">
        <f>_xlfn.TEXTJOIN("/",TRUE,E31,L31)</f>
        <v>798592</v>
      </c>
      <c r="E31" s="14" t="str">
        <f>IFERROR(VLOOKUP($A31,TT,10,FALSE),"")</f>
        <v/>
      </c>
      <c r="F31" s="48" t="str" cm="1">
        <f t="array" ref="F31">IFERROR([1]!FeetConvert(E31),"")</f>
        <v/>
      </c>
      <c r="G31" s="15"/>
      <c r="H31" s="29" t="str">
        <f>IFERROR(VLOOKUP(A31,T,1,FALSE),"")</f>
        <v/>
      </c>
      <c r="I31" s="29" t="str">
        <f>IFERROR(VLOOKUP(A31,T,2,FALSE),"")</f>
        <v/>
      </c>
      <c r="J31" s="29" t="str">
        <f>IFERROR(VLOOKUP(A31,T,3,FALSE),"")</f>
        <v/>
      </c>
      <c r="K31" s="29" t="str" cm="1">
        <f t="array" ref="K31">IFERROR([2]!CalculateHyphenString(J31),"")</f>
        <v/>
      </c>
      <c r="L31">
        <f t="shared" si="2"/>
        <v>798592</v>
      </c>
    </row>
    <row r="32" spans="1:12" x14ac:dyDescent="0.7">
      <c r="A32" s="3">
        <v>29</v>
      </c>
      <c r="B32" s="15" t="str">
        <f t="shared" si="0"/>
        <v/>
      </c>
      <c r="C32" s="28" t="str">
        <f t="shared" si="1"/>
        <v/>
      </c>
      <c r="D32" s="49" t="str">
        <f>_xlfn.TEXTJOIN("/",TRUE,E32,L32)</f>
        <v>798592</v>
      </c>
      <c r="E32" s="14" t="str">
        <f>IFERROR(VLOOKUP($A32,TT,10,FALSE),"")</f>
        <v/>
      </c>
      <c r="F32" s="48" t="str" cm="1">
        <f t="array" ref="F32">IFERROR([1]!FeetConvert(E32),"")</f>
        <v/>
      </c>
      <c r="G32" s="15"/>
      <c r="H32" s="29" t="str">
        <f>IFERROR(VLOOKUP(A32,T,1,FALSE),"")</f>
        <v/>
      </c>
      <c r="I32" s="29" t="str">
        <f>IFERROR(VLOOKUP(A32,T,2,FALSE),"")</f>
        <v/>
      </c>
      <c r="J32" s="29" t="str">
        <f>IFERROR(VLOOKUP(A32,T,3,FALSE),"")</f>
        <v/>
      </c>
      <c r="K32" s="29" t="str" cm="1">
        <f t="array" ref="K32">IFERROR([2]!CalculateHyphenString(J32),"")</f>
        <v/>
      </c>
      <c r="L32">
        <f t="shared" si="2"/>
        <v>798592</v>
      </c>
    </row>
    <row r="33" spans="1:12" x14ac:dyDescent="0.7">
      <c r="A33" s="3">
        <v>30</v>
      </c>
      <c r="B33" s="15" t="str">
        <f t="shared" si="0"/>
        <v/>
      </c>
      <c r="C33" s="28" t="str">
        <f t="shared" si="1"/>
        <v/>
      </c>
      <c r="D33" s="49" t="str">
        <f>_xlfn.TEXTJOIN("/",TRUE,E33,L33)</f>
        <v>798592</v>
      </c>
      <c r="E33" s="14" t="str">
        <f>IFERROR(VLOOKUP($A33,TT,10,FALSE),"")</f>
        <v/>
      </c>
      <c r="F33" s="48" t="str" cm="1">
        <f t="array" ref="F33">IFERROR([1]!FeetConvert(E33),"")</f>
        <v/>
      </c>
      <c r="G33" s="15"/>
      <c r="H33" s="29" t="str">
        <f>IFERROR(VLOOKUP(A33,T,1,FALSE),"")</f>
        <v/>
      </c>
      <c r="I33" s="29" t="str">
        <f>IFERROR(VLOOKUP(A33,T,2,FALSE),"")</f>
        <v/>
      </c>
      <c r="J33" s="29" t="str">
        <f>IFERROR(VLOOKUP(A33,T,3,FALSE),"")</f>
        <v/>
      </c>
      <c r="K33" s="29" t="str" cm="1">
        <f t="array" ref="K33">IFERROR([2]!CalculateHyphenString(J33),"")</f>
        <v/>
      </c>
      <c r="L33">
        <f t="shared" si="2"/>
        <v>798592</v>
      </c>
    </row>
    <row r="34" spans="1:12" x14ac:dyDescent="0.7">
      <c r="A34" s="3">
        <v>31</v>
      </c>
      <c r="B34" s="15" t="str">
        <f t="shared" si="0"/>
        <v/>
      </c>
      <c r="C34" s="28" t="str">
        <f t="shared" si="1"/>
        <v/>
      </c>
      <c r="D34" s="49" t="str">
        <f>_xlfn.TEXTJOIN("/",TRUE,E34,L34)</f>
        <v>798592</v>
      </c>
      <c r="E34" s="14" t="str">
        <f>IFERROR(VLOOKUP($A34,TT,10,FALSE),"")</f>
        <v/>
      </c>
      <c r="F34" s="48" t="str" cm="1">
        <f t="array" ref="F34">IFERROR([1]!FeetConvert(E34),"")</f>
        <v/>
      </c>
      <c r="G34" s="15"/>
      <c r="H34" s="29" t="str">
        <f>IFERROR(VLOOKUP(A34,T,1,FALSE),"")</f>
        <v/>
      </c>
      <c r="I34" s="29" t="str">
        <f>IFERROR(VLOOKUP(A34,T,2,FALSE),"")</f>
        <v/>
      </c>
      <c r="J34" s="29" t="str">
        <f>IFERROR(VLOOKUP(A34,T,3,FALSE),"")</f>
        <v/>
      </c>
      <c r="K34" s="29" t="str" cm="1">
        <f t="array" ref="K34">IFERROR([2]!CalculateHyphenString(J34),"")</f>
        <v/>
      </c>
      <c r="L34">
        <f t="shared" si="2"/>
        <v>798592</v>
      </c>
    </row>
    <row r="35" spans="1:12" x14ac:dyDescent="0.7">
      <c r="A35" s="3">
        <v>32</v>
      </c>
      <c r="B35" s="15" t="str">
        <f t="shared" si="0"/>
        <v/>
      </c>
      <c r="C35" s="28" t="str">
        <f t="shared" si="1"/>
        <v/>
      </c>
      <c r="D35" s="49" t="str">
        <f>_xlfn.TEXTJOIN("/",TRUE,E35,L35)</f>
        <v>798592</v>
      </c>
      <c r="E35" s="14" t="str">
        <f>IFERROR(VLOOKUP($A35,TT,10,FALSE),"")</f>
        <v/>
      </c>
      <c r="F35" s="48" t="str" cm="1">
        <f t="array" ref="F35">IFERROR([1]!FeetConvert(E35),"")</f>
        <v/>
      </c>
      <c r="G35" s="15"/>
      <c r="H35" s="29" t="str">
        <f>IFERROR(VLOOKUP(A35,T,1,FALSE),"")</f>
        <v/>
      </c>
      <c r="I35" s="29" t="str">
        <f>IFERROR(VLOOKUP(A35,T,2,FALSE),"")</f>
        <v/>
      </c>
      <c r="J35" s="29" t="str">
        <f>IFERROR(VLOOKUP(A35,T,3,FALSE),"")</f>
        <v/>
      </c>
      <c r="K35" s="29" t="str" cm="1">
        <f t="array" ref="K35">IFERROR([2]!CalculateHyphenString(J35),"")</f>
        <v/>
      </c>
      <c r="L35">
        <f t="shared" si="2"/>
        <v>798592</v>
      </c>
    </row>
    <row r="36" spans="1:12" x14ac:dyDescent="0.7">
      <c r="A36" s="3">
        <v>33</v>
      </c>
      <c r="B36" s="15" t="str">
        <f t="shared" si="0"/>
        <v/>
      </c>
      <c r="C36" s="28" t="str">
        <f t="shared" si="1"/>
        <v/>
      </c>
      <c r="D36" s="49" t="str">
        <f>_xlfn.TEXTJOIN("/",TRUE,E36,L36)</f>
        <v>798592</v>
      </c>
      <c r="E36" s="14" t="str">
        <f>IFERROR(VLOOKUP($A36,TT,10,FALSE),"")</f>
        <v/>
      </c>
      <c r="F36" s="48" t="str" cm="1">
        <f t="array" ref="F36">IFERROR([1]!FeetConvert(E36),"")</f>
        <v/>
      </c>
      <c r="G36" s="15"/>
      <c r="H36" s="29" t="str">
        <f>IFERROR(VLOOKUP(A36,T,1,FALSE),"")</f>
        <v/>
      </c>
      <c r="I36" s="29" t="str">
        <f>IFERROR(VLOOKUP(A36,T,2,FALSE),"")</f>
        <v/>
      </c>
      <c r="J36" s="29" t="str">
        <f>IFERROR(VLOOKUP(A36,T,3,FALSE),"")</f>
        <v/>
      </c>
      <c r="K36" s="29" t="str" cm="1">
        <f t="array" ref="K36">IFERROR([2]!CalculateHyphenString(J36),"")</f>
        <v/>
      </c>
      <c r="L36">
        <f t="shared" si="2"/>
        <v>798592</v>
      </c>
    </row>
    <row r="37" spans="1:12" x14ac:dyDescent="0.7">
      <c r="A37" s="3">
        <v>34</v>
      </c>
      <c r="B37" s="15" t="str">
        <f t="shared" si="0"/>
        <v/>
      </c>
      <c r="C37" s="28" t="str">
        <f t="shared" si="1"/>
        <v/>
      </c>
      <c r="D37" s="49" t="str">
        <f>_xlfn.TEXTJOIN("/",TRUE,E37,L37)</f>
        <v>798592</v>
      </c>
      <c r="E37" s="14" t="str">
        <f>IFERROR(VLOOKUP($A37,TT,10,FALSE),"")</f>
        <v/>
      </c>
      <c r="F37" s="48" t="str" cm="1">
        <f t="array" ref="F37">IFERROR([1]!FeetConvert(E37),"")</f>
        <v/>
      </c>
      <c r="G37" s="15"/>
      <c r="H37" s="29" t="str">
        <f>IFERROR(VLOOKUP(A37,T,1,FALSE),"")</f>
        <v/>
      </c>
      <c r="I37" s="29" t="str">
        <f>IFERROR(VLOOKUP(A37,T,2,FALSE),"")</f>
        <v/>
      </c>
      <c r="J37" s="29" t="str">
        <f>IFERROR(VLOOKUP(A37,T,3,FALSE),"")</f>
        <v/>
      </c>
      <c r="K37" s="29" t="str" cm="1">
        <f t="array" ref="K37">IFERROR([2]!CalculateHyphenString(J37),"")</f>
        <v/>
      </c>
      <c r="L37">
        <f t="shared" si="2"/>
        <v>798592</v>
      </c>
    </row>
    <row r="38" spans="1:12" x14ac:dyDescent="0.7">
      <c r="A38" s="3">
        <v>35</v>
      </c>
      <c r="B38" s="15" t="str">
        <f t="shared" si="0"/>
        <v/>
      </c>
      <c r="C38" s="28" t="str">
        <f t="shared" si="1"/>
        <v/>
      </c>
      <c r="D38" s="49" t="str">
        <f>_xlfn.TEXTJOIN("/",TRUE,E38,L38)</f>
        <v>798592</v>
      </c>
      <c r="E38" s="14" t="str">
        <f>IFERROR(VLOOKUP($A38,TT,10,FALSE),"")</f>
        <v/>
      </c>
      <c r="F38" s="48" t="str" cm="1">
        <f t="array" ref="F38">IFERROR([1]!FeetConvert(E38),"")</f>
        <v/>
      </c>
      <c r="G38" s="15"/>
      <c r="H38" s="29" t="str">
        <f>IFERROR(VLOOKUP(A38,T,1,FALSE),"")</f>
        <v/>
      </c>
      <c r="I38" s="29" t="str">
        <f>IFERROR(VLOOKUP(A38,T,2,FALSE),"")</f>
        <v/>
      </c>
      <c r="J38" s="29" t="str">
        <f>IFERROR(VLOOKUP(A38,T,3,FALSE),"")</f>
        <v/>
      </c>
      <c r="K38" s="29" t="str" cm="1">
        <f t="array" ref="K38">IFERROR([2]!CalculateHyphenString(J38),"")</f>
        <v/>
      </c>
      <c r="L38">
        <f t="shared" si="2"/>
        <v>798592</v>
      </c>
    </row>
    <row r="39" spans="1:12" x14ac:dyDescent="0.7">
      <c r="A39" s="3">
        <v>36</v>
      </c>
      <c r="B39" s="15" t="str">
        <f t="shared" si="0"/>
        <v/>
      </c>
      <c r="C39" s="28" t="str">
        <f t="shared" si="1"/>
        <v/>
      </c>
      <c r="D39" s="49" t="str">
        <f>_xlfn.TEXTJOIN("/",TRUE,E39,L39)</f>
        <v>798592</v>
      </c>
      <c r="E39" s="14" t="str">
        <f>IFERROR(VLOOKUP($A39,TT,10,FALSE),"")</f>
        <v/>
      </c>
      <c r="F39" s="48" t="str" cm="1">
        <f t="array" ref="F39">IFERROR([1]!FeetConvert(E39),"")</f>
        <v/>
      </c>
      <c r="G39" s="15"/>
      <c r="H39" s="29" t="str">
        <f>IFERROR(VLOOKUP(A39,T,1,FALSE),"")</f>
        <v/>
      </c>
      <c r="I39" s="29" t="str">
        <f>IFERROR(VLOOKUP(A39,T,2,FALSE),"")</f>
        <v/>
      </c>
      <c r="J39" s="29" t="str">
        <f>IFERROR(VLOOKUP(A39,T,3,FALSE),"")</f>
        <v/>
      </c>
      <c r="K39" s="29" t="str" cm="1">
        <f t="array" ref="K39">IFERROR([2]!CalculateHyphenString(J39),"")</f>
        <v/>
      </c>
      <c r="L39">
        <f t="shared" si="2"/>
        <v>798592</v>
      </c>
    </row>
    <row r="40" spans="1:12" x14ac:dyDescent="0.7">
      <c r="A40" s="3">
        <v>37</v>
      </c>
      <c r="B40" s="15" t="str">
        <f t="shared" si="0"/>
        <v/>
      </c>
      <c r="C40" s="28" t="str">
        <f t="shared" si="1"/>
        <v/>
      </c>
      <c r="D40" s="49" t="str">
        <f>_xlfn.TEXTJOIN("/",TRUE,E40,L40)</f>
        <v>798592</v>
      </c>
      <c r="E40" s="14" t="str">
        <f>IFERROR(VLOOKUP($A40,TT,10,FALSE),"")</f>
        <v/>
      </c>
      <c r="F40" s="48" t="str" cm="1">
        <f t="array" ref="F40">IFERROR([1]!FeetConvert(E40),"")</f>
        <v/>
      </c>
      <c r="G40" s="15"/>
      <c r="H40" s="29" t="str">
        <f>IFERROR(VLOOKUP(A40,T,1,FALSE),"")</f>
        <v/>
      </c>
      <c r="I40" s="29" t="str">
        <f>IFERROR(VLOOKUP(A40,T,2,FALSE),"")</f>
        <v/>
      </c>
      <c r="J40" s="29" t="str">
        <f>IFERROR(VLOOKUP(A40,T,3,FALSE),"")</f>
        <v/>
      </c>
      <c r="K40" s="29" t="str" cm="1">
        <f t="array" ref="K40">IFERROR([2]!CalculateHyphenString(J40),"")</f>
        <v/>
      </c>
      <c r="L40">
        <f t="shared" si="2"/>
        <v>798592</v>
      </c>
    </row>
    <row r="41" spans="1:12" x14ac:dyDescent="0.7">
      <c r="A41" s="3">
        <v>38</v>
      </c>
      <c r="B41" s="15" t="str">
        <f t="shared" si="0"/>
        <v/>
      </c>
      <c r="C41" s="28" t="str">
        <f t="shared" si="1"/>
        <v/>
      </c>
      <c r="D41" s="49" t="str">
        <f>_xlfn.TEXTJOIN("/",TRUE,E41,L41)</f>
        <v>798592</v>
      </c>
      <c r="E41" s="14" t="str">
        <f>IFERROR(VLOOKUP($A41,TT,10,FALSE),"")</f>
        <v/>
      </c>
      <c r="F41" s="48" t="str" cm="1">
        <f t="array" ref="F41">IFERROR([1]!FeetConvert(E41),"")</f>
        <v/>
      </c>
      <c r="G41" s="15"/>
      <c r="H41" s="29" t="str">
        <f>IFERROR(VLOOKUP(A41,T,1,FALSE),"")</f>
        <v/>
      </c>
      <c r="I41" s="29" t="str">
        <f>IFERROR(VLOOKUP(A41,T,2,FALSE),"")</f>
        <v/>
      </c>
      <c r="J41" s="29" t="str">
        <f>IFERROR(VLOOKUP(A41,T,3,FALSE),"")</f>
        <v/>
      </c>
      <c r="K41" s="29" t="str" cm="1">
        <f t="array" ref="K41">IFERROR([2]!CalculateHyphenString(J41),"")</f>
        <v/>
      </c>
      <c r="L41">
        <f t="shared" si="2"/>
        <v>798592</v>
      </c>
    </row>
    <row r="42" spans="1:12" x14ac:dyDescent="0.7">
      <c r="A42" s="3">
        <v>39</v>
      </c>
      <c r="B42" s="15" t="str">
        <f t="shared" si="0"/>
        <v/>
      </c>
      <c r="C42" s="28" t="str">
        <f t="shared" si="1"/>
        <v/>
      </c>
      <c r="D42" s="49" t="str">
        <f>_xlfn.TEXTJOIN("/",TRUE,E42,L42)</f>
        <v>798592</v>
      </c>
      <c r="E42" s="14" t="str">
        <f>IFERROR(VLOOKUP($A42,TT,10,FALSE),"")</f>
        <v/>
      </c>
      <c r="F42" s="48" t="str" cm="1">
        <f t="array" ref="F42">IFERROR([1]!FeetConvert(E42),"")</f>
        <v/>
      </c>
      <c r="G42" s="15"/>
      <c r="H42" s="29" t="str">
        <f>IFERROR(VLOOKUP(A42,T,1,FALSE),"")</f>
        <v/>
      </c>
      <c r="I42" s="29" t="str">
        <f>IFERROR(VLOOKUP(A42,T,2,FALSE),"")</f>
        <v/>
      </c>
      <c r="J42" s="29" t="str">
        <f>IFERROR(VLOOKUP(A42,T,3,FALSE),"")</f>
        <v/>
      </c>
      <c r="K42" s="29" t="str" cm="1">
        <f t="array" ref="K42">IFERROR([2]!CalculateHyphenString(J42),"")</f>
        <v/>
      </c>
      <c r="L42">
        <f t="shared" si="2"/>
        <v>798592</v>
      </c>
    </row>
    <row r="43" spans="1:12" x14ac:dyDescent="0.7">
      <c r="A43" s="3">
        <v>40</v>
      </c>
      <c r="B43" s="15" t="str">
        <f t="shared" si="0"/>
        <v/>
      </c>
      <c r="C43" s="28" t="str">
        <f t="shared" si="1"/>
        <v/>
      </c>
      <c r="D43" s="49" t="str">
        <f>_xlfn.TEXTJOIN("/",TRUE,E43,L43)</f>
        <v>798592</v>
      </c>
      <c r="E43" s="14" t="str">
        <f>IFERROR(VLOOKUP($A43,TT,10,FALSE),"")</f>
        <v/>
      </c>
      <c r="F43" s="48" t="str" cm="1">
        <f t="array" ref="F43">IFERROR([1]!FeetConvert(E43),"")</f>
        <v/>
      </c>
      <c r="G43" s="15"/>
      <c r="H43" s="29" t="str">
        <f>IFERROR(VLOOKUP(A43,T,1,FALSE),"")</f>
        <v/>
      </c>
      <c r="I43" s="29" t="str">
        <f>IFERROR(VLOOKUP(A43,T,2,FALSE),"")</f>
        <v/>
      </c>
      <c r="J43" s="29" t="str">
        <f>IFERROR(VLOOKUP(A43,T,3,FALSE),"")</f>
        <v/>
      </c>
      <c r="K43" s="29" t="str" cm="1">
        <f t="array" ref="K43">IFERROR([2]!CalculateHyphenString(J43),"")</f>
        <v/>
      </c>
      <c r="L43">
        <f t="shared" si="2"/>
        <v>798592</v>
      </c>
    </row>
    <row r="44" spans="1:12" x14ac:dyDescent="0.7">
      <c r="A44" s="3">
        <v>41</v>
      </c>
      <c r="B44" s="15" t="str">
        <f t="shared" si="0"/>
        <v/>
      </c>
      <c r="C44" s="28" t="str">
        <f t="shared" si="1"/>
        <v/>
      </c>
      <c r="D44" s="49" t="str">
        <f>_xlfn.TEXTJOIN("/",TRUE,E44,L44)</f>
        <v>798592</v>
      </c>
      <c r="E44" s="14" t="str">
        <f>IFERROR(VLOOKUP($A44,TT,10,FALSE),"")</f>
        <v/>
      </c>
      <c r="F44" s="48" t="str" cm="1">
        <f t="array" ref="F44">IFERROR([1]!FeetConvert(E44),"")</f>
        <v/>
      </c>
      <c r="G44" s="15"/>
      <c r="H44" s="29" t="str">
        <f>IFERROR(VLOOKUP(A44,T,1,FALSE),"")</f>
        <v/>
      </c>
      <c r="I44" s="29" t="str">
        <f>IFERROR(VLOOKUP(A44,T,2,FALSE),"")</f>
        <v/>
      </c>
      <c r="J44" s="29" t="str">
        <f>IFERROR(VLOOKUP(A44,T,3,FALSE),"")</f>
        <v/>
      </c>
      <c r="K44" s="29" t="str" cm="1">
        <f t="array" ref="K44">IFERROR([2]!CalculateHyphenString(J44),"")</f>
        <v/>
      </c>
      <c r="L44">
        <f t="shared" si="2"/>
        <v>798592</v>
      </c>
    </row>
    <row r="45" spans="1:12" x14ac:dyDescent="0.7">
      <c r="A45" s="3">
        <v>42</v>
      </c>
      <c r="B45" s="15" t="str">
        <f t="shared" si="0"/>
        <v/>
      </c>
      <c r="C45" s="28" t="str">
        <f t="shared" si="1"/>
        <v/>
      </c>
      <c r="D45" s="49" t="str">
        <f>_xlfn.TEXTJOIN("/",TRUE,E45,L45)</f>
        <v>798592</v>
      </c>
      <c r="E45" s="14" t="str">
        <f>IFERROR(VLOOKUP($A45,TT,10,FALSE),"")</f>
        <v/>
      </c>
      <c r="F45" s="48" t="str" cm="1">
        <f t="array" ref="F45">IFERROR([1]!FeetConvert(E45),"")</f>
        <v/>
      </c>
      <c r="G45" s="15"/>
      <c r="H45" s="29" t="str">
        <f>IFERROR(VLOOKUP(A45,T,1,FALSE),"")</f>
        <v/>
      </c>
      <c r="I45" s="29" t="str">
        <f>IFERROR(VLOOKUP(A45,T,2,FALSE),"")</f>
        <v/>
      </c>
      <c r="J45" s="29" t="str">
        <f>IFERROR(VLOOKUP(A45,T,3,FALSE),"")</f>
        <v/>
      </c>
      <c r="K45" s="29" t="str" cm="1">
        <f t="array" ref="K45">IFERROR([2]!CalculateHyphenString(J45),"")</f>
        <v/>
      </c>
      <c r="L45">
        <f t="shared" si="2"/>
        <v>798592</v>
      </c>
    </row>
    <row r="46" spans="1:12" x14ac:dyDescent="0.7">
      <c r="A46" s="3">
        <v>43</v>
      </c>
      <c r="B46" s="15" t="str">
        <f t="shared" si="0"/>
        <v/>
      </c>
      <c r="C46" s="28" t="str">
        <f t="shared" si="1"/>
        <v/>
      </c>
      <c r="D46" s="49" t="str">
        <f>_xlfn.TEXTJOIN("/",TRUE,E46,L46)</f>
        <v>798592</v>
      </c>
      <c r="E46" s="14" t="str">
        <f>IFERROR(VLOOKUP($A46,TT,10,FALSE),"")</f>
        <v/>
      </c>
      <c r="F46" s="48" t="str" cm="1">
        <f t="array" ref="F46">IFERROR([1]!FeetConvert(E46),"")</f>
        <v/>
      </c>
      <c r="G46" s="15"/>
      <c r="H46" s="29" t="str">
        <f>IFERROR(VLOOKUP(A46,T,1,FALSE),"")</f>
        <v/>
      </c>
      <c r="I46" s="29" t="str">
        <f>IFERROR(VLOOKUP(A46,T,2,FALSE),"")</f>
        <v/>
      </c>
      <c r="J46" s="29" t="str">
        <f>IFERROR(VLOOKUP(A46,T,3,FALSE),"")</f>
        <v/>
      </c>
      <c r="K46" s="29" t="str" cm="1">
        <f t="array" ref="K46">IFERROR([2]!CalculateHyphenString(J46),"")</f>
        <v/>
      </c>
      <c r="L46">
        <f t="shared" si="2"/>
        <v>798592</v>
      </c>
    </row>
    <row r="47" spans="1:12" x14ac:dyDescent="0.7">
      <c r="A47" s="3">
        <v>44</v>
      </c>
      <c r="B47" s="15" t="str">
        <f t="shared" si="0"/>
        <v/>
      </c>
      <c r="C47" s="28" t="str">
        <f t="shared" si="1"/>
        <v/>
      </c>
      <c r="D47" s="49" t="str">
        <f>_xlfn.TEXTJOIN("/",TRUE,E47,L47)</f>
        <v>798592</v>
      </c>
      <c r="E47" s="14" t="str">
        <f>IFERROR(VLOOKUP($A47,TT,10,FALSE),"")</f>
        <v/>
      </c>
      <c r="F47" s="48" t="str" cm="1">
        <f t="array" ref="F47">IFERROR([1]!FeetConvert(E47),"")</f>
        <v/>
      </c>
      <c r="G47" s="15"/>
      <c r="H47" s="29" t="str">
        <f>IFERROR(VLOOKUP(A47,T,1,FALSE),"")</f>
        <v/>
      </c>
      <c r="I47" s="29" t="str">
        <f>IFERROR(VLOOKUP(A47,T,2,FALSE),"")</f>
        <v/>
      </c>
      <c r="J47" s="29" t="str">
        <f>IFERROR(VLOOKUP(A47,T,3,FALSE),"")</f>
        <v/>
      </c>
      <c r="K47" s="29" t="str" cm="1">
        <f t="array" ref="K47">IFERROR([2]!CalculateHyphenString(J47),"")</f>
        <v/>
      </c>
      <c r="L47">
        <f t="shared" si="2"/>
        <v>798592</v>
      </c>
    </row>
    <row r="48" spans="1:12" x14ac:dyDescent="0.7">
      <c r="A48" s="3">
        <v>45</v>
      </c>
      <c r="B48" s="15" t="str">
        <f t="shared" si="0"/>
        <v/>
      </c>
      <c r="C48" s="28" t="str">
        <f t="shared" si="1"/>
        <v/>
      </c>
      <c r="D48" s="49" t="str">
        <f>_xlfn.TEXTJOIN("/",TRUE,E48,L48)</f>
        <v>798592</v>
      </c>
      <c r="E48" s="14" t="str">
        <f>IFERROR(VLOOKUP($A48,TT,10,FALSE),"")</f>
        <v/>
      </c>
      <c r="F48" s="48" t="str" cm="1">
        <f t="array" ref="F48">IFERROR([1]!FeetConvert(E48),"")</f>
        <v/>
      </c>
      <c r="G48" s="15"/>
      <c r="H48" s="29" t="str">
        <f>IFERROR(VLOOKUP(A48,T,1,FALSE),"")</f>
        <v/>
      </c>
      <c r="I48" s="29" t="str">
        <f>IFERROR(VLOOKUP(A48,T,2,FALSE),"")</f>
        <v/>
      </c>
      <c r="J48" s="29" t="str">
        <f>IFERROR(VLOOKUP(A48,T,3,FALSE),"")</f>
        <v/>
      </c>
      <c r="K48" s="29" t="str" cm="1">
        <f t="array" ref="K48">IFERROR([2]!CalculateHyphenString(J48),"")</f>
        <v/>
      </c>
      <c r="L48">
        <f t="shared" si="2"/>
        <v>798592</v>
      </c>
    </row>
    <row r="49" spans="1:12" x14ac:dyDescent="0.7">
      <c r="A49" s="3">
        <v>46</v>
      </c>
      <c r="B49" s="15" t="str">
        <f t="shared" si="0"/>
        <v/>
      </c>
      <c r="C49" s="28" t="str">
        <f t="shared" si="1"/>
        <v/>
      </c>
      <c r="D49" s="49" t="str">
        <f>_xlfn.TEXTJOIN("/",TRUE,E49,L49)</f>
        <v>798592</v>
      </c>
      <c r="E49" s="14" t="str">
        <f>IFERROR(VLOOKUP($A49,TT,10,FALSE),"")</f>
        <v/>
      </c>
      <c r="F49" s="48" t="str" cm="1">
        <f t="array" ref="F49">IFERROR([1]!FeetConvert(E49),"")</f>
        <v/>
      </c>
      <c r="G49" s="15"/>
      <c r="H49" s="29" t="str">
        <f>IFERROR(VLOOKUP(A49,T,1,FALSE),"")</f>
        <v/>
      </c>
      <c r="I49" s="29" t="str">
        <f>IFERROR(VLOOKUP(A49,T,2,FALSE),"")</f>
        <v/>
      </c>
      <c r="J49" s="29" t="str">
        <f>IFERROR(VLOOKUP(A49,T,3,FALSE),"")</f>
        <v/>
      </c>
      <c r="K49" s="29" t="str" cm="1">
        <f t="array" ref="K49">IFERROR([2]!CalculateHyphenString(J49),"")</f>
        <v/>
      </c>
      <c r="L49">
        <f t="shared" si="2"/>
        <v>798592</v>
      </c>
    </row>
    <row r="50" spans="1:12" x14ac:dyDescent="0.7">
      <c r="A50" s="3">
        <v>47</v>
      </c>
      <c r="B50" s="15" t="str">
        <f t="shared" si="0"/>
        <v/>
      </c>
      <c r="C50" s="28" t="str">
        <f t="shared" si="1"/>
        <v/>
      </c>
      <c r="D50" s="49" t="str">
        <f>_xlfn.TEXTJOIN("/",TRUE,E50,L50)</f>
        <v>798592</v>
      </c>
      <c r="E50" s="14" t="str">
        <f>IFERROR(VLOOKUP($A50,TT,10,FALSE),"")</f>
        <v/>
      </c>
      <c r="F50" s="48" t="str" cm="1">
        <f t="array" ref="F50">IFERROR([1]!FeetConvert(E50),"")</f>
        <v/>
      </c>
      <c r="G50" s="15"/>
      <c r="H50" s="29" t="str">
        <f>IFERROR(VLOOKUP(A50,T,1,FALSE),"")</f>
        <v/>
      </c>
      <c r="I50" s="29" t="str">
        <f>IFERROR(VLOOKUP(A50,T,2,FALSE),"")</f>
        <v/>
      </c>
      <c r="J50" s="29" t="str">
        <f>IFERROR(VLOOKUP(A50,T,3,FALSE),"")</f>
        <v/>
      </c>
      <c r="K50" s="29" t="str" cm="1">
        <f t="array" ref="K50">IFERROR([2]!CalculateHyphenString(J50),"")</f>
        <v/>
      </c>
      <c r="L50">
        <f t="shared" si="2"/>
        <v>798592</v>
      </c>
    </row>
    <row r="51" spans="1:12" x14ac:dyDescent="0.7">
      <c r="A51" s="3">
        <v>48</v>
      </c>
      <c r="B51" s="15" t="str">
        <f t="shared" si="0"/>
        <v/>
      </c>
      <c r="C51" s="28" t="str">
        <f t="shared" si="1"/>
        <v/>
      </c>
      <c r="D51" s="49" t="str">
        <f>_xlfn.TEXTJOIN("/",TRUE,E51,L51)</f>
        <v>798592</v>
      </c>
      <c r="E51" s="14" t="str">
        <f>IFERROR(VLOOKUP($A51,TT,10,FALSE),"")</f>
        <v/>
      </c>
      <c r="F51" s="48" t="str" cm="1">
        <f t="array" ref="F51">IFERROR([1]!FeetConvert(E51),"")</f>
        <v/>
      </c>
      <c r="G51" s="15"/>
      <c r="H51" s="29" t="str">
        <f>IFERROR(VLOOKUP(A51,T,1,FALSE),"")</f>
        <v/>
      </c>
      <c r="I51" s="29" t="str">
        <f>IFERROR(VLOOKUP(A51,T,2,FALSE),"")</f>
        <v/>
      </c>
      <c r="J51" s="29" t="str">
        <f>IFERROR(VLOOKUP(A51,T,3,FALSE),"")</f>
        <v/>
      </c>
      <c r="K51" s="29" t="str" cm="1">
        <f t="array" ref="K51">IFERROR([2]!CalculateHyphenString(J51),"")</f>
        <v/>
      </c>
      <c r="L51">
        <f t="shared" si="2"/>
        <v>798592</v>
      </c>
    </row>
    <row r="52" spans="1:12" x14ac:dyDescent="0.7">
      <c r="A52" s="3">
        <v>49</v>
      </c>
      <c r="B52" s="15" t="str">
        <f t="shared" si="0"/>
        <v/>
      </c>
      <c r="C52" s="28" t="str">
        <f t="shared" si="1"/>
        <v/>
      </c>
      <c r="D52" s="49" t="str">
        <f>_xlfn.TEXTJOIN("/",TRUE,E52,L52)</f>
        <v>798592</v>
      </c>
      <c r="E52" s="14" t="str">
        <f>IFERROR(VLOOKUP($A52,TT,10,FALSE),"")</f>
        <v/>
      </c>
      <c r="F52" s="48" t="str" cm="1">
        <f t="array" ref="F52">IFERROR([1]!FeetConvert(E52),"")</f>
        <v/>
      </c>
      <c r="G52" s="15"/>
      <c r="H52" s="29" t="str">
        <f>IFERROR(VLOOKUP(A52,T,1,FALSE),"")</f>
        <v/>
      </c>
      <c r="I52" s="29" t="str">
        <f>IFERROR(VLOOKUP(A52,T,2,FALSE),"")</f>
        <v/>
      </c>
      <c r="J52" s="29" t="str">
        <f>IFERROR(VLOOKUP(A52,T,3,FALSE),"")</f>
        <v/>
      </c>
      <c r="K52" s="29" t="str" cm="1">
        <f t="array" ref="K52">IFERROR([2]!CalculateHyphenString(J52),"")</f>
        <v/>
      </c>
      <c r="L52">
        <f t="shared" si="2"/>
        <v>798592</v>
      </c>
    </row>
    <row r="53" spans="1:12" x14ac:dyDescent="0.7">
      <c r="A53" s="3">
        <v>50</v>
      </c>
      <c r="B53" s="15" t="str">
        <f t="shared" si="0"/>
        <v/>
      </c>
      <c r="C53" s="28" t="str">
        <f t="shared" si="1"/>
        <v/>
      </c>
      <c r="D53" s="49" t="str">
        <f>_xlfn.TEXTJOIN("/",TRUE,E53,L53)</f>
        <v>798592</v>
      </c>
      <c r="E53" s="14" t="str">
        <f>IFERROR(VLOOKUP($A53,TT,10,FALSE),"")</f>
        <v/>
      </c>
      <c r="F53" s="48" t="str" cm="1">
        <f t="array" ref="F53">IFERROR([1]!FeetConvert(E53),"")</f>
        <v/>
      </c>
      <c r="G53" s="15"/>
      <c r="H53" s="29" t="str">
        <f>IFERROR(VLOOKUP(A53,T,1,FALSE),"")</f>
        <v/>
      </c>
      <c r="I53" s="29" t="str">
        <f>IFERROR(VLOOKUP(A53,T,2,FALSE),"")</f>
        <v/>
      </c>
      <c r="J53" s="29" t="str">
        <f>IFERROR(VLOOKUP(A53,T,3,FALSE),"")</f>
        <v/>
      </c>
      <c r="K53" s="29" t="str" cm="1">
        <f t="array" ref="K53">IFERROR([2]!CalculateHyphenString(J53),"")</f>
        <v/>
      </c>
      <c r="L53">
        <f t="shared" si="2"/>
        <v>798592</v>
      </c>
    </row>
    <row r="54" spans="1:12" x14ac:dyDescent="0.7">
      <c r="A54" s="3">
        <v>51</v>
      </c>
      <c r="B54" s="15" t="str">
        <f t="shared" si="0"/>
        <v/>
      </c>
      <c r="C54" s="28" t="str">
        <f t="shared" si="1"/>
        <v/>
      </c>
      <c r="D54" s="49" t="str">
        <f>_xlfn.TEXTJOIN("/",TRUE,E54,L54)</f>
        <v>798592</v>
      </c>
      <c r="E54" s="14" t="str">
        <f>IFERROR(VLOOKUP($A54,TT,10,FALSE),"")</f>
        <v/>
      </c>
      <c r="F54" s="48" t="str" cm="1">
        <f t="array" ref="F54">IFERROR([1]!FeetConvert(E54),"")</f>
        <v/>
      </c>
      <c r="G54" s="15"/>
      <c r="H54" s="29" t="str">
        <f>IFERROR(VLOOKUP(A54,T,1,FALSE),"")</f>
        <v/>
      </c>
      <c r="I54" s="29" t="str">
        <f>IFERROR(VLOOKUP(A54,T,2,FALSE),"")</f>
        <v/>
      </c>
      <c r="J54" s="29" t="str">
        <f>IFERROR(VLOOKUP(A54,T,3,FALSE),"")</f>
        <v/>
      </c>
      <c r="K54" s="29" t="str" cm="1">
        <f t="array" ref="K54">IFERROR([2]!CalculateHyphenString(J54),"")</f>
        <v/>
      </c>
      <c r="L54">
        <f t="shared" si="2"/>
        <v>798592</v>
      </c>
    </row>
    <row r="55" spans="1:12" x14ac:dyDescent="0.7">
      <c r="A55" s="3">
        <v>52</v>
      </c>
      <c r="B55" s="15" t="str">
        <f t="shared" si="0"/>
        <v/>
      </c>
      <c r="C55" s="28" t="str">
        <f t="shared" si="1"/>
        <v/>
      </c>
      <c r="D55" s="49" t="str">
        <f>_xlfn.TEXTJOIN("/",TRUE,E55,L55)</f>
        <v>798592</v>
      </c>
      <c r="E55" s="14" t="str">
        <f>IFERROR(VLOOKUP($A55,TT,10,FALSE),"")</f>
        <v/>
      </c>
      <c r="F55" s="48" t="str" cm="1">
        <f t="array" ref="F55">IFERROR([1]!FeetConvert(E55),"")</f>
        <v/>
      </c>
      <c r="G55" s="15"/>
      <c r="H55" s="29" t="str">
        <f>IFERROR(VLOOKUP(A55,T,1,FALSE),"")</f>
        <v/>
      </c>
      <c r="I55" s="29" t="str">
        <f>IFERROR(VLOOKUP(A55,T,2,FALSE),"")</f>
        <v/>
      </c>
      <c r="J55" s="29" t="str">
        <f>IFERROR(VLOOKUP(A55,T,3,FALSE),"")</f>
        <v/>
      </c>
      <c r="K55" s="29" t="str" cm="1">
        <f t="array" ref="K55">IFERROR([2]!CalculateHyphenString(J55),"")</f>
        <v/>
      </c>
      <c r="L55">
        <f t="shared" si="2"/>
        <v>798592</v>
      </c>
    </row>
    <row r="56" spans="1:12" x14ac:dyDescent="0.7">
      <c r="A56" s="3">
        <v>53</v>
      </c>
      <c r="B56" s="15" t="str">
        <f t="shared" si="0"/>
        <v/>
      </c>
      <c r="C56" s="28" t="str">
        <f t="shared" si="1"/>
        <v/>
      </c>
      <c r="D56" s="49" t="str">
        <f>_xlfn.TEXTJOIN("/",TRUE,E56,L56)</f>
        <v>798592</v>
      </c>
      <c r="E56" s="14" t="str">
        <f>IFERROR(VLOOKUP($A56,TT,10,FALSE),"")</f>
        <v/>
      </c>
      <c r="F56" s="48" t="str" cm="1">
        <f t="array" ref="F56">IFERROR([1]!FeetConvert(E56),"")</f>
        <v/>
      </c>
      <c r="G56" s="15"/>
      <c r="H56" s="29" t="str">
        <f>IFERROR(VLOOKUP(A56,T,1,FALSE),"")</f>
        <v/>
      </c>
      <c r="I56" s="29" t="str">
        <f>IFERROR(VLOOKUP(A56,T,2,FALSE),"")</f>
        <v/>
      </c>
      <c r="J56" s="29" t="str">
        <f>IFERROR(VLOOKUP(A56,T,3,FALSE),"")</f>
        <v/>
      </c>
      <c r="K56" s="29" t="str" cm="1">
        <f t="array" ref="K56">IFERROR([2]!CalculateHyphenString(J56),"")</f>
        <v/>
      </c>
      <c r="L56">
        <f t="shared" si="2"/>
        <v>798592</v>
      </c>
    </row>
    <row r="57" spans="1:12" x14ac:dyDescent="0.7">
      <c r="A57" s="3">
        <v>54</v>
      </c>
      <c r="B57" s="15" t="str">
        <f t="shared" si="0"/>
        <v/>
      </c>
      <c r="C57" s="28" t="str">
        <f t="shared" si="1"/>
        <v/>
      </c>
      <c r="D57" s="49" t="str">
        <f>_xlfn.TEXTJOIN("/",TRUE,E57,L57)</f>
        <v>798592</v>
      </c>
      <c r="E57" s="14" t="str">
        <f>IFERROR(VLOOKUP($A57,TT,10,FALSE),"")</f>
        <v/>
      </c>
      <c r="F57" s="48" t="str" cm="1">
        <f t="array" ref="F57">IFERROR([1]!FeetConvert(E57),"")</f>
        <v/>
      </c>
      <c r="G57" s="15"/>
      <c r="H57" s="29" t="str">
        <f>IFERROR(VLOOKUP(A57,T,1,FALSE),"")</f>
        <v/>
      </c>
      <c r="I57" s="29" t="str">
        <f>IFERROR(VLOOKUP(A57,T,2,FALSE),"")</f>
        <v/>
      </c>
      <c r="J57" s="29" t="str">
        <f>IFERROR(VLOOKUP(A57,T,3,FALSE),"")</f>
        <v/>
      </c>
      <c r="K57" s="29" t="str" cm="1">
        <f t="array" ref="K57">IFERROR([2]!CalculateHyphenString(J57),"")</f>
        <v/>
      </c>
      <c r="L57">
        <f t="shared" si="2"/>
        <v>798592</v>
      </c>
    </row>
    <row r="58" spans="1:12" x14ac:dyDescent="0.7">
      <c r="A58" s="3">
        <v>55</v>
      </c>
      <c r="B58" s="15" t="str">
        <f t="shared" si="0"/>
        <v/>
      </c>
      <c r="C58" s="28" t="str">
        <f t="shared" si="1"/>
        <v/>
      </c>
      <c r="D58" s="49" t="str">
        <f>_xlfn.TEXTJOIN("/",TRUE,E58,L58)</f>
        <v>798592</v>
      </c>
      <c r="E58" s="14" t="str">
        <f>IFERROR(VLOOKUP($A58,TT,10,FALSE),"")</f>
        <v/>
      </c>
      <c r="F58" s="48" t="str" cm="1">
        <f t="array" ref="F58">IFERROR([1]!FeetConvert(E58),"")</f>
        <v/>
      </c>
      <c r="G58" s="15"/>
      <c r="H58" s="29" t="str">
        <f>IFERROR(VLOOKUP(A58,T,1,FALSE),"")</f>
        <v/>
      </c>
      <c r="I58" s="29" t="str">
        <f>IFERROR(VLOOKUP(A58,T,2,FALSE),"")</f>
        <v/>
      </c>
      <c r="J58" s="29" t="str">
        <f>IFERROR(VLOOKUP(A58,T,3,FALSE),"")</f>
        <v/>
      </c>
      <c r="K58" s="29" t="str" cm="1">
        <f t="array" ref="K58">IFERROR([2]!CalculateHyphenString(J58),"")</f>
        <v/>
      </c>
      <c r="L58">
        <f t="shared" si="2"/>
        <v>798592</v>
      </c>
    </row>
    <row r="59" spans="1:12" x14ac:dyDescent="0.7">
      <c r="A59" s="3">
        <v>56</v>
      </c>
      <c r="B59" s="15" t="str">
        <f t="shared" si="0"/>
        <v/>
      </c>
      <c r="C59" s="28" t="str">
        <f t="shared" si="1"/>
        <v/>
      </c>
      <c r="D59" s="49" t="str">
        <f>_xlfn.TEXTJOIN("/",TRUE,E59,L59)</f>
        <v>798592</v>
      </c>
      <c r="E59" s="14" t="str">
        <f>IFERROR(VLOOKUP($A59,TT,10,FALSE),"")</f>
        <v/>
      </c>
      <c r="F59" s="48" t="str" cm="1">
        <f t="array" ref="F59">IFERROR([1]!FeetConvert(E59),"")</f>
        <v/>
      </c>
      <c r="G59" s="15"/>
      <c r="H59" s="29" t="str">
        <f>IFERROR(VLOOKUP(A59,T,1,FALSE),"")</f>
        <v/>
      </c>
      <c r="I59" s="29" t="str">
        <f>IFERROR(VLOOKUP(A59,T,2,FALSE),"")</f>
        <v/>
      </c>
      <c r="J59" s="29" t="str">
        <f>IFERROR(VLOOKUP(A59,T,3,FALSE),"")</f>
        <v/>
      </c>
      <c r="K59" s="29" t="str" cm="1">
        <f t="array" ref="K59">IFERROR([2]!CalculateHyphenString(J59),"")</f>
        <v/>
      </c>
      <c r="L59">
        <f t="shared" si="2"/>
        <v>798592</v>
      </c>
    </row>
    <row r="60" spans="1:12" x14ac:dyDescent="0.7">
      <c r="A60" s="3">
        <v>57</v>
      </c>
      <c r="B60" s="15" t="str">
        <f t="shared" si="0"/>
        <v/>
      </c>
      <c r="C60" s="28" t="str">
        <f t="shared" si="1"/>
        <v/>
      </c>
      <c r="D60" s="49" t="str">
        <f>_xlfn.TEXTJOIN("/",TRUE,E60,L60)</f>
        <v>798592</v>
      </c>
      <c r="E60" s="14" t="str">
        <f>IFERROR(VLOOKUP($A60,TT,10,FALSE),"")</f>
        <v/>
      </c>
      <c r="F60" s="48" t="str" cm="1">
        <f t="array" ref="F60">IFERROR([1]!FeetConvert(E60),"")</f>
        <v/>
      </c>
      <c r="G60" s="15"/>
      <c r="H60" s="29" t="str">
        <f>IFERROR(VLOOKUP(A60,T,1,FALSE),"")</f>
        <v/>
      </c>
      <c r="I60" s="29" t="str">
        <f>IFERROR(VLOOKUP(A60,T,2,FALSE),"")</f>
        <v/>
      </c>
      <c r="J60" s="29" t="str">
        <f>IFERROR(VLOOKUP(A60,T,3,FALSE),"")</f>
        <v/>
      </c>
      <c r="K60" s="29" t="str" cm="1">
        <f t="array" ref="K60">IFERROR([2]!CalculateHyphenString(J60),"")</f>
        <v/>
      </c>
      <c r="L60">
        <f t="shared" si="2"/>
        <v>798592</v>
      </c>
    </row>
    <row r="61" spans="1:12" x14ac:dyDescent="0.7">
      <c r="A61" s="3">
        <v>58</v>
      </c>
      <c r="B61" s="15" t="str">
        <f t="shared" si="0"/>
        <v/>
      </c>
      <c r="C61" s="28" t="str">
        <f t="shared" si="1"/>
        <v/>
      </c>
      <c r="D61" s="49" t="str">
        <f>_xlfn.TEXTJOIN("/",TRUE,E61,L61)</f>
        <v>798592</v>
      </c>
      <c r="E61" s="14" t="str">
        <f>IFERROR(VLOOKUP($A61,TT,10,FALSE),"")</f>
        <v/>
      </c>
      <c r="F61" s="48" t="str" cm="1">
        <f t="array" ref="F61">IFERROR([1]!FeetConvert(E61),"")</f>
        <v/>
      </c>
      <c r="G61" s="15"/>
      <c r="H61" s="29" t="str">
        <f>IFERROR(VLOOKUP(A61,T,1,FALSE),"")</f>
        <v/>
      </c>
      <c r="I61" s="29" t="str">
        <f>IFERROR(VLOOKUP(A61,T,2,FALSE),"")</f>
        <v/>
      </c>
      <c r="J61" s="29" t="str">
        <f>IFERROR(VLOOKUP(A61,T,3,FALSE),"")</f>
        <v/>
      </c>
      <c r="K61" s="29" t="str" cm="1">
        <f t="array" ref="K61">IFERROR([2]!CalculateHyphenString(J61),"")</f>
        <v/>
      </c>
      <c r="L61">
        <f t="shared" si="2"/>
        <v>798592</v>
      </c>
    </row>
    <row r="62" spans="1:12" x14ac:dyDescent="0.7">
      <c r="A62" s="3">
        <v>59</v>
      </c>
      <c r="B62" s="15" t="str">
        <f t="shared" si="0"/>
        <v/>
      </c>
      <c r="C62" s="28" t="str">
        <f t="shared" si="1"/>
        <v/>
      </c>
      <c r="D62" s="49" t="str">
        <f>_xlfn.TEXTJOIN("/",TRUE,E62,L62)</f>
        <v>798592</v>
      </c>
      <c r="E62" s="14" t="str">
        <f>IFERROR(VLOOKUP($A62,TT,10,FALSE),"")</f>
        <v/>
      </c>
      <c r="F62" s="48" t="str" cm="1">
        <f t="array" ref="F62">IFERROR([1]!FeetConvert(E62),"")</f>
        <v/>
      </c>
      <c r="G62" s="15"/>
      <c r="H62" s="29" t="str">
        <f>IFERROR(VLOOKUP(A62,T,1,FALSE),"")</f>
        <v/>
      </c>
      <c r="I62" s="29" t="str">
        <f>IFERROR(VLOOKUP(A62,T,2,FALSE),"")</f>
        <v/>
      </c>
      <c r="J62" s="29" t="str">
        <f>IFERROR(VLOOKUP(A62,T,3,FALSE),"")</f>
        <v/>
      </c>
      <c r="K62" s="29" t="str" cm="1">
        <f t="array" ref="K62">IFERROR([2]!CalculateHyphenString(J62),"")</f>
        <v/>
      </c>
      <c r="L62">
        <f t="shared" si="2"/>
        <v>798592</v>
      </c>
    </row>
    <row r="63" spans="1:12" x14ac:dyDescent="0.7">
      <c r="A63" s="3">
        <v>60</v>
      </c>
      <c r="B63" s="15" t="str">
        <f t="shared" si="0"/>
        <v/>
      </c>
      <c r="C63" s="28" t="str">
        <f t="shared" si="1"/>
        <v/>
      </c>
      <c r="D63" s="49" t="str">
        <f>_xlfn.TEXTJOIN("/",TRUE,E63,L63)</f>
        <v>798592</v>
      </c>
      <c r="E63" s="14" t="str">
        <f>IFERROR(VLOOKUP($A63,TT,10,FALSE),"")</f>
        <v/>
      </c>
      <c r="F63" s="48" t="str" cm="1">
        <f t="array" ref="F63">IFERROR([1]!FeetConvert(E63),"")</f>
        <v/>
      </c>
      <c r="G63" s="15"/>
      <c r="H63" s="29" t="str">
        <f>IFERROR(VLOOKUP(A63,T,1,FALSE),"")</f>
        <v/>
      </c>
      <c r="I63" s="29" t="str">
        <f>IFERROR(VLOOKUP(A63,T,2,FALSE),"")</f>
        <v/>
      </c>
      <c r="J63" s="29" t="str">
        <f>IFERROR(VLOOKUP(A63,T,3,FALSE),"")</f>
        <v/>
      </c>
      <c r="K63" s="29" t="str" cm="1">
        <f t="array" ref="K63">IFERROR([2]!CalculateHyphenString(J63),"")</f>
        <v/>
      </c>
      <c r="L63">
        <f t="shared" si="2"/>
        <v>798592</v>
      </c>
    </row>
    <row r="64" spans="1:12" x14ac:dyDescent="0.7">
      <c r="A64" s="3">
        <v>61</v>
      </c>
      <c r="B64" s="15" t="str">
        <f t="shared" si="0"/>
        <v/>
      </c>
      <c r="C64" s="28" t="str">
        <f t="shared" si="1"/>
        <v/>
      </c>
      <c r="D64" s="49" t="str">
        <f>_xlfn.TEXTJOIN("/",TRUE,E64,L64)</f>
        <v>798592</v>
      </c>
      <c r="E64" s="14" t="str">
        <f>IFERROR(VLOOKUP($A64,TT,10,FALSE),"")</f>
        <v/>
      </c>
      <c r="F64" s="48" t="str" cm="1">
        <f t="array" ref="F64">IFERROR([1]!FeetConvert(E64),"")</f>
        <v/>
      </c>
      <c r="G64" s="15"/>
      <c r="H64" s="29" t="str">
        <f>IFERROR(VLOOKUP(A64,T,1,FALSE),"")</f>
        <v/>
      </c>
      <c r="I64" s="29" t="str">
        <f>IFERROR(VLOOKUP(A64,T,2,FALSE),"")</f>
        <v/>
      </c>
      <c r="J64" s="29" t="str">
        <f>IFERROR(VLOOKUP(A64,T,3,FALSE),"")</f>
        <v/>
      </c>
      <c r="K64" s="29" t="str" cm="1">
        <f t="array" ref="K64">IFERROR([2]!CalculateHyphenString(J64),"")</f>
        <v/>
      </c>
      <c r="L64">
        <f t="shared" si="2"/>
        <v>798592</v>
      </c>
    </row>
    <row r="65" spans="1:12" x14ac:dyDescent="0.7">
      <c r="A65" s="3">
        <v>62</v>
      </c>
      <c r="B65" s="15" t="str">
        <f t="shared" si="0"/>
        <v/>
      </c>
      <c r="C65" s="28" t="str">
        <f t="shared" si="1"/>
        <v/>
      </c>
      <c r="D65" s="49" t="str">
        <f>_xlfn.TEXTJOIN("/",TRUE,E65,L65)</f>
        <v>798592</v>
      </c>
      <c r="E65" s="14" t="str">
        <f>IFERROR(VLOOKUP($A65,TT,10,FALSE),"")</f>
        <v/>
      </c>
      <c r="F65" s="48" t="str" cm="1">
        <f t="array" ref="F65">IFERROR([1]!FeetConvert(E65),"")</f>
        <v/>
      </c>
      <c r="G65" s="15"/>
      <c r="H65" s="29" t="str">
        <f>IFERROR(VLOOKUP(A65,T,1,FALSE),"")</f>
        <v/>
      </c>
      <c r="I65" s="29" t="str">
        <f>IFERROR(VLOOKUP(A65,T,2,FALSE),"")</f>
        <v/>
      </c>
      <c r="J65" s="29" t="str">
        <f>IFERROR(VLOOKUP(A65,T,3,FALSE),"")</f>
        <v/>
      </c>
      <c r="K65" s="29" t="str" cm="1">
        <f t="array" ref="K65">IFERROR([2]!CalculateHyphenString(J65),"")</f>
        <v/>
      </c>
      <c r="L65">
        <f t="shared" si="2"/>
        <v>798592</v>
      </c>
    </row>
    <row r="66" spans="1:12" x14ac:dyDescent="0.7">
      <c r="A66" s="3">
        <v>63</v>
      </c>
      <c r="B66" s="15" t="str">
        <f t="shared" si="0"/>
        <v/>
      </c>
      <c r="C66" s="28" t="str">
        <f t="shared" si="1"/>
        <v/>
      </c>
      <c r="D66" s="49" t="str">
        <f>_xlfn.TEXTJOIN("/",TRUE,E66,L66)</f>
        <v>798592</v>
      </c>
      <c r="E66" s="14" t="str">
        <f>IFERROR(VLOOKUP($A66,TT,10,FALSE),"")</f>
        <v/>
      </c>
      <c r="F66" s="48" t="str" cm="1">
        <f t="array" ref="F66">IFERROR([1]!FeetConvert(E66),"")</f>
        <v/>
      </c>
      <c r="G66" s="15"/>
      <c r="H66" s="29" t="str">
        <f>IFERROR(VLOOKUP(A66,T,1,FALSE),"")</f>
        <v/>
      </c>
      <c r="I66" s="29" t="str">
        <f>IFERROR(VLOOKUP(A66,T,2,FALSE),"")</f>
        <v/>
      </c>
      <c r="J66" s="29" t="str">
        <f>IFERROR(VLOOKUP(A66,T,3,FALSE),"")</f>
        <v/>
      </c>
      <c r="K66" s="29" t="str" cm="1">
        <f t="array" ref="K66">IFERROR([2]!CalculateHyphenString(J66),"")</f>
        <v/>
      </c>
      <c r="L66">
        <f t="shared" si="2"/>
        <v>798592</v>
      </c>
    </row>
    <row r="67" spans="1:12" x14ac:dyDescent="0.7">
      <c r="A67" s="3">
        <v>64</v>
      </c>
      <c r="B67" s="15" t="str">
        <f t="shared" si="0"/>
        <v/>
      </c>
      <c r="C67" s="28" t="str">
        <f t="shared" si="1"/>
        <v/>
      </c>
      <c r="D67" s="49" t="str">
        <f>_xlfn.TEXTJOIN("/",TRUE,E67,L67)</f>
        <v>798592</v>
      </c>
      <c r="E67" s="14" t="str">
        <f>IFERROR(VLOOKUP($A67,TT,10,FALSE),"")</f>
        <v/>
      </c>
      <c r="F67" s="48" t="str" cm="1">
        <f t="array" ref="F67">IFERROR([1]!FeetConvert(E67),"")</f>
        <v/>
      </c>
      <c r="G67" s="15"/>
      <c r="H67" s="29" t="str">
        <f>IFERROR(VLOOKUP(A67,T,1,FALSE),"")</f>
        <v/>
      </c>
      <c r="I67" s="29" t="str">
        <f>IFERROR(VLOOKUP(A67,T,2,FALSE),"")</f>
        <v/>
      </c>
      <c r="J67" s="29" t="str">
        <f>IFERROR(VLOOKUP(A67,T,3,FALSE),"")</f>
        <v/>
      </c>
      <c r="K67" s="29" t="str" cm="1">
        <f t="array" ref="K67">IFERROR([2]!CalculateHyphenString(J67),"")</f>
        <v/>
      </c>
      <c r="L67">
        <f t="shared" si="2"/>
        <v>798592</v>
      </c>
    </row>
    <row r="68" spans="1:12" x14ac:dyDescent="0.7">
      <c r="A68" s="3">
        <v>65</v>
      </c>
      <c r="B68" s="15" t="str">
        <f t="shared" ref="B68:B100" si="3">IFERROR(VLOOKUP($A68,TT,1,FALSE),"")</f>
        <v/>
      </c>
      <c r="C68" s="28" t="str">
        <f t="shared" ref="C68:C100" si="4">IFERROR(VLOOKUP($A68,TT,2,FALSE),"")</f>
        <v/>
      </c>
      <c r="D68" s="49" t="str">
        <f>_xlfn.TEXTJOIN("/",TRUE,E68,L68)</f>
        <v>798592</v>
      </c>
      <c r="E68" s="14" t="str">
        <f>IFERROR(VLOOKUP($A68,TT,10,FALSE),"")</f>
        <v/>
      </c>
      <c r="F68" s="48" t="str" cm="1">
        <f t="array" ref="F68">IFERROR([1]!FeetConvert(E68),"")</f>
        <v/>
      </c>
      <c r="G68" s="15"/>
      <c r="H68" s="29" t="str">
        <f>IFERROR(VLOOKUP(A68,T,1,FALSE),"")</f>
        <v/>
      </c>
      <c r="I68" s="29" t="str">
        <f t="shared" ref="I68:I131" si="5">IFERROR(VLOOKUP(A68,T,2,FALSE),"")</f>
        <v/>
      </c>
      <c r="J68" s="29" t="str">
        <f t="shared" ref="J68:J131" si="6">IFERROR(VLOOKUP(A68,T,3,FALSE),"")</f>
        <v/>
      </c>
      <c r="K68" s="29" t="str" cm="1">
        <f t="array" ref="K68">IFERROR([2]!CalculateHyphenString(J68),"")</f>
        <v/>
      </c>
      <c r="L68">
        <f t="shared" si="2"/>
        <v>798592</v>
      </c>
    </row>
    <row r="69" spans="1:12" x14ac:dyDescent="0.7">
      <c r="A69" s="3">
        <v>66</v>
      </c>
      <c r="B69" s="15" t="str">
        <f t="shared" si="3"/>
        <v/>
      </c>
      <c r="C69" s="28" t="str">
        <f t="shared" si="4"/>
        <v/>
      </c>
      <c r="D69" s="49" t="str">
        <f t="shared" ref="D69:D132" si="7">_xlfn.TEXTJOIN("/",TRUE,E69,L69)</f>
        <v>798592</v>
      </c>
      <c r="E69" s="14" t="str">
        <f>IFERROR(VLOOKUP($A69,TT,10,FALSE),"")</f>
        <v/>
      </c>
      <c r="F69" s="48" t="str" cm="1">
        <f t="array" ref="F69">IFERROR([1]!FeetConvert(E69),"")</f>
        <v/>
      </c>
      <c r="G69" s="15"/>
      <c r="H69" s="29" t="str">
        <f>IFERROR(VLOOKUP(A69,T,1,FALSE),"")</f>
        <v/>
      </c>
      <c r="I69" s="29" t="str">
        <f t="shared" si="5"/>
        <v/>
      </c>
      <c r="J69" s="29" t="str">
        <f t="shared" si="6"/>
        <v/>
      </c>
      <c r="K69" s="29" t="str" cm="1">
        <f t="array" ref="K69">IFERROR([2]!CalculateHyphenString(J69),"")</f>
        <v/>
      </c>
      <c r="L69">
        <f t="shared" ref="L69:L132" si="8">$E$2</f>
        <v>798592</v>
      </c>
    </row>
    <row r="70" spans="1:12" x14ac:dyDescent="0.7">
      <c r="A70" s="3">
        <v>67</v>
      </c>
      <c r="B70" s="15" t="str">
        <f t="shared" si="3"/>
        <v/>
      </c>
      <c r="C70" s="28" t="str">
        <f t="shared" si="4"/>
        <v/>
      </c>
      <c r="D70" s="49" t="str">
        <f t="shared" si="7"/>
        <v>798592</v>
      </c>
      <c r="E70" s="14" t="str">
        <f>IFERROR(VLOOKUP($A70,TT,10,FALSE),"")</f>
        <v/>
      </c>
      <c r="F70" s="48" t="str" cm="1">
        <f t="array" ref="F70">IFERROR([1]!FeetConvert(E70),"")</f>
        <v/>
      </c>
      <c r="G70" s="15"/>
      <c r="H70" s="29" t="str">
        <f>IFERROR(VLOOKUP(A70,T,1,FALSE),"")</f>
        <v/>
      </c>
      <c r="I70" s="29" t="str">
        <f t="shared" si="5"/>
        <v/>
      </c>
      <c r="J70" s="29" t="str">
        <f t="shared" si="6"/>
        <v/>
      </c>
      <c r="K70" s="29" t="str" cm="1">
        <f t="array" ref="K70">IFERROR([2]!CalculateHyphenString(J70),"")</f>
        <v/>
      </c>
      <c r="L70">
        <f t="shared" si="8"/>
        <v>798592</v>
      </c>
    </row>
    <row r="71" spans="1:12" x14ac:dyDescent="0.7">
      <c r="A71" s="3">
        <v>68</v>
      </c>
      <c r="B71" s="15" t="str">
        <f t="shared" si="3"/>
        <v/>
      </c>
      <c r="C71" s="28" t="str">
        <f t="shared" si="4"/>
        <v/>
      </c>
      <c r="D71" s="49" t="str">
        <f t="shared" si="7"/>
        <v>798592</v>
      </c>
      <c r="E71" s="14" t="str">
        <f>IFERROR(VLOOKUP($A71,TT,10,FALSE),"")</f>
        <v/>
      </c>
      <c r="F71" s="48" t="str" cm="1">
        <f t="array" ref="F71">IFERROR([1]!FeetConvert(E71),"")</f>
        <v/>
      </c>
      <c r="G71" s="15"/>
      <c r="H71" s="29" t="str">
        <f>IFERROR(VLOOKUP(A71,T,1,FALSE),"")</f>
        <v/>
      </c>
      <c r="I71" s="29" t="str">
        <f t="shared" si="5"/>
        <v/>
      </c>
      <c r="J71" s="29" t="str">
        <f t="shared" si="6"/>
        <v/>
      </c>
      <c r="K71" s="29" t="str" cm="1">
        <f t="array" ref="K71">IFERROR([2]!CalculateHyphenString(J71),"")</f>
        <v/>
      </c>
      <c r="L71">
        <f t="shared" si="8"/>
        <v>798592</v>
      </c>
    </row>
    <row r="72" spans="1:12" x14ac:dyDescent="0.7">
      <c r="A72" s="3">
        <v>69</v>
      </c>
      <c r="B72" s="15" t="str">
        <f t="shared" si="3"/>
        <v/>
      </c>
      <c r="C72" s="28" t="str">
        <f t="shared" si="4"/>
        <v/>
      </c>
      <c r="D72" s="49" t="str">
        <f t="shared" si="7"/>
        <v>798592</v>
      </c>
      <c r="E72" s="14" t="str">
        <f>IFERROR(VLOOKUP($A72,TT,10,FALSE),"")</f>
        <v/>
      </c>
      <c r="F72" s="48" t="str" cm="1">
        <f t="array" ref="F72">IFERROR([1]!FeetConvert(E72),"")</f>
        <v/>
      </c>
      <c r="G72" s="15"/>
      <c r="H72" s="29" t="str">
        <f>IFERROR(VLOOKUP(A72,T,1,FALSE),"")</f>
        <v/>
      </c>
      <c r="I72" s="29" t="str">
        <f t="shared" si="5"/>
        <v/>
      </c>
      <c r="J72" s="29" t="str">
        <f t="shared" si="6"/>
        <v/>
      </c>
      <c r="K72" s="29" t="str" cm="1">
        <f t="array" ref="K72">IFERROR([2]!CalculateHyphenString(J72),"")</f>
        <v/>
      </c>
      <c r="L72">
        <f t="shared" si="8"/>
        <v>798592</v>
      </c>
    </row>
    <row r="73" spans="1:12" x14ac:dyDescent="0.7">
      <c r="A73" s="3">
        <v>70</v>
      </c>
      <c r="B73" s="15" t="str">
        <f t="shared" si="3"/>
        <v/>
      </c>
      <c r="C73" s="28" t="str">
        <f t="shared" si="4"/>
        <v/>
      </c>
      <c r="D73" s="49" t="str">
        <f t="shared" si="7"/>
        <v>798592</v>
      </c>
      <c r="E73" s="14" t="str">
        <f>IFERROR(VLOOKUP($A73,TT,10,FALSE),"")</f>
        <v/>
      </c>
      <c r="F73" s="48" t="str" cm="1">
        <f t="array" ref="F73">IFERROR([1]!FeetConvert(E73),"")</f>
        <v/>
      </c>
      <c r="G73" s="15"/>
      <c r="H73" s="29" t="str">
        <f>IFERROR(VLOOKUP(A73,T,1,FALSE),"")</f>
        <v/>
      </c>
      <c r="I73" s="29" t="str">
        <f t="shared" si="5"/>
        <v/>
      </c>
      <c r="J73" s="29" t="str">
        <f t="shared" si="6"/>
        <v/>
      </c>
      <c r="K73" s="29" t="str" cm="1">
        <f t="array" ref="K73">IFERROR([2]!CalculateHyphenString(J73),"")</f>
        <v/>
      </c>
      <c r="L73">
        <f t="shared" si="8"/>
        <v>798592</v>
      </c>
    </row>
    <row r="74" spans="1:12" x14ac:dyDescent="0.7">
      <c r="A74" s="3">
        <v>71</v>
      </c>
      <c r="B74" s="15" t="str">
        <f t="shared" si="3"/>
        <v/>
      </c>
      <c r="C74" s="28" t="str">
        <f t="shared" si="4"/>
        <v/>
      </c>
      <c r="D74" s="49" t="str">
        <f t="shared" si="7"/>
        <v>798592</v>
      </c>
      <c r="E74" s="14" t="str">
        <f>IFERROR(VLOOKUP($A74,TT,10,FALSE),"")</f>
        <v/>
      </c>
      <c r="F74" s="48" t="str" cm="1">
        <f t="array" ref="F74">IFERROR([1]!FeetConvert(E74),"")</f>
        <v/>
      </c>
      <c r="G74" s="15"/>
      <c r="H74" s="29" t="str">
        <f>IFERROR(VLOOKUP(A74,T,1,FALSE),"")</f>
        <v/>
      </c>
      <c r="I74" s="29" t="str">
        <f t="shared" si="5"/>
        <v/>
      </c>
      <c r="J74" s="29" t="str">
        <f t="shared" si="6"/>
        <v/>
      </c>
      <c r="K74" s="29" t="str" cm="1">
        <f t="array" ref="K74">IFERROR([2]!CalculateHyphenString(J74),"")</f>
        <v/>
      </c>
      <c r="L74">
        <f t="shared" si="8"/>
        <v>798592</v>
      </c>
    </row>
    <row r="75" spans="1:12" x14ac:dyDescent="0.7">
      <c r="A75" s="3">
        <v>72</v>
      </c>
      <c r="B75" s="15" t="str">
        <f t="shared" si="3"/>
        <v/>
      </c>
      <c r="C75" s="28" t="str">
        <f t="shared" si="4"/>
        <v/>
      </c>
      <c r="D75" s="49" t="str">
        <f t="shared" si="7"/>
        <v>798592</v>
      </c>
      <c r="E75" s="14" t="str">
        <f>IFERROR(VLOOKUP($A75,TT,10,FALSE),"")</f>
        <v/>
      </c>
      <c r="F75" s="48" t="str" cm="1">
        <f t="array" ref="F75">IFERROR([1]!FeetConvert(E75),"")</f>
        <v/>
      </c>
      <c r="G75" s="15"/>
      <c r="H75" s="29" t="str">
        <f>IFERROR(VLOOKUP(A75,T,1,FALSE),"")</f>
        <v/>
      </c>
      <c r="I75" s="29" t="str">
        <f t="shared" si="5"/>
        <v/>
      </c>
      <c r="J75" s="29" t="str">
        <f t="shared" si="6"/>
        <v/>
      </c>
      <c r="K75" s="29" t="str" cm="1">
        <f t="array" ref="K75">IFERROR([2]!CalculateHyphenString(J75),"")</f>
        <v/>
      </c>
      <c r="L75">
        <f t="shared" si="8"/>
        <v>798592</v>
      </c>
    </row>
    <row r="76" spans="1:12" x14ac:dyDescent="0.7">
      <c r="A76" s="3">
        <v>73</v>
      </c>
      <c r="B76" s="15" t="str">
        <f t="shared" si="3"/>
        <v/>
      </c>
      <c r="C76" s="28" t="str">
        <f t="shared" si="4"/>
        <v/>
      </c>
      <c r="D76" s="49" t="str">
        <f t="shared" si="7"/>
        <v>798592</v>
      </c>
      <c r="E76" s="14" t="str">
        <f>IFERROR(VLOOKUP($A76,TT,10,FALSE),"")</f>
        <v/>
      </c>
      <c r="F76" s="48" t="str" cm="1">
        <f t="array" ref="F76">IFERROR([1]!FeetConvert(E76),"")</f>
        <v/>
      </c>
      <c r="G76" s="15"/>
      <c r="H76" s="29" t="str">
        <f>IFERROR(VLOOKUP(A76,T,1,FALSE),"")</f>
        <v/>
      </c>
      <c r="I76" s="29" t="str">
        <f t="shared" si="5"/>
        <v/>
      </c>
      <c r="J76" s="29" t="str">
        <f t="shared" si="6"/>
        <v/>
      </c>
      <c r="K76" s="29" t="str" cm="1">
        <f t="array" ref="K76">IFERROR([2]!CalculateHyphenString(J76),"")</f>
        <v/>
      </c>
      <c r="L76">
        <f t="shared" si="8"/>
        <v>798592</v>
      </c>
    </row>
    <row r="77" spans="1:12" x14ac:dyDescent="0.7">
      <c r="A77" s="3">
        <v>74</v>
      </c>
      <c r="B77" s="15" t="str">
        <f t="shared" si="3"/>
        <v/>
      </c>
      <c r="C77" s="28" t="str">
        <f t="shared" si="4"/>
        <v/>
      </c>
      <c r="D77" s="49" t="str">
        <f t="shared" si="7"/>
        <v>798592</v>
      </c>
      <c r="E77" s="14" t="str">
        <f>IFERROR(VLOOKUP($A77,TT,10,FALSE),"")</f>
        <v/>
      </c>
      <c r="F77" s="48" t="str" cm="1">
        <f t="array" ref="F77">IFERROR([1]!FeetConvert(E77),"")</f>
        <v/>
      </c>
      <c r="G77" s="15"/>
      <c r="H77" s="29" t="str">
        <f>IFERROR(VLOOKUP(A77,T,1,FALSE),"")</f>
        <v/>
      </c>
      <c r="I77" s="29" t="str">
        <f t="shared" si="5"/>
        <v/>
      </c>
      <c r="J77" s="29" t="str">
        <f t="shared" si="6"/>
        <v/>
      </c>
      <c r="K77" s="29" t="str" cm="1">
        <f t="array" ref="K77">IFERROR([2]!CalculateHyphenString(J77),"")</f>
        <v/>
      </c>
      <c r="L77">
        <f t="shared" si="8"/>
        <v>798592</v>
      </c>
    </row>
    <row r="78" spans="1:12" x14ac:dyDescent="0.7">
      <c r="A78" s="3">
        <v>75</v>
      </c>
      <c r="B78" s="15" t="str">
        <f t="shared" si="3"/>
        <v/>
      </c>
      <c r="C78" s="28" t="str">
        <f t="shared" si="4"/>
        <v/>
      </c>
      <c r="D78" s="49" t="str">
        <f t="shared" si="7"/>
        <v>798592</v>
      </c>
      <c r="E78" s="14" t="str">
        <f>IFERROR(VLOOKUP($A78,TT,10,FALSE),"")</f>
        <v/>
      </c>
      <c r="F78" s="48" t="str" cm="1">
        <f t="array" ref="F78">IFERROR([1]!FeetConvert(E78),"")</f>
        <v/>
      </c>
      <c r="G78" s="15"/>
      <c r="H78" s="29" t="str">
        <f>IFERROR(VLOOKUP(A78,T,1,FALSE),"")</f>
        <v/>
      </c>
      <c r="I78" s="29" t="str">
        <f t="shared" si="5"/>
        <v/>
      </c>
      <c r="J78" s="29" t="str">
        <f t="shared" si="6"/>
        <v/>
      </c>
      <c r="K78" s="29" t="str" cm="1">
        <f t="array" ref="K78">IFERROR([2]!CalculateHyphenString(J78),"")</f>
        <v/>
      </c>
      <c r="L78">
        <f t="shared" si="8"/>
        <v>798592</v>
      </c>
    </row>
    <row r="79" spans="1:12" x14ac:dyDescent="0.7">
      <c r="A79" s="3">
        <v>76</v>
      </c>
      <c r="B79" s="15" t="str">
        <f t="shared" si="3"/>
        <v/>
      </c>
      <c r="C79" s="28" t="str">
        <f t="shared" si="4"/>
        <v/>
      </c>
      <c r="D79" s="49" t="str">
        <f t="shared" si="7"/>
        <v>798592</v>
      </c>
      <c r="E79" s="14" t="str">
        <f>IFERROR(VLOOKUP($A79,TT,10,FALSE),"")</f>
        <v/>
      </c>
      <c r="F79" s="48" t="str" cm="1">
        <f t="array" ref="F79">IFERROR([1]!FeetConvert(E79),"")</f>
        <v/>
      </c>
      <c r="G79" s="15"/>
      <c r="H79" s="29" t="str">
        <f>IFERROR(VLOOKUP(A79,T,1,FALSE),"")</f>
        <v/>
      </c>
      <c r="I79" s="29" t="str">
        <f t="shared" si="5"/>
        <v/>
      </c>
      <c r="J79" s="29" t="str">
        <f t="shared" si="6"/>
        <v/>
      </c>
      <c r="K79" s="29" t="str" cm="1">
        <f t="array" ref="K79">IFERROR([2]!CalculateHyphenString(J79),"")</f>
        <v/>
      </c>
      <c r="L79">
        <f t="shared" si="8"/>
        <v>798592</v>
      </c>
    </row>
    <row r="80" spans="1:12" x14ac:dyDescent="0.7">
      <c r="A80" s="3">
        <v>77</v>
      </c>
      <c r="B80" s="15" t="str">
        <f t="shared" si="3"/>
        <v/>
      </c>
      <c r="C80" s="28" t="str">
        <f t="shared" si="4"/>
        <v/>
      </c>
      <c r="D80" s="49" t="str">
        <f t="shared" si="7"/>
        <v>798592</v>
      </c>
      <c r="E80" s="14" t="str">
        <f>IFERROR(VLOOKUP($A80,TT,10,FALSE),"")</f>
        <v/>
      </c>
      <c r="F80" s="48" t="str" cm="1">
        <f t="array" ref="F80">IFERROR([1]!FeetConvert(E80),"")</f>
        <v/>
      </c>
      <c r="G80" s="15"/>
      <c r="H80" s="29" t="str">
        <f>IFERROR(VLOOKUP(A80,T,1,FALSE),"")</f>
        <v/>
      </c>
      <c r="I80" s="29" t="str">
        <f t="shared" si="5"/>
        <v/>
      </c>
      <c r="J80" s="29" t="str">
        <f t="shared" si="6"/>
        <v/>
      </c>
      <c r="K80" s="29" t="str" cm="1">
        <f t="array" ref="K80">IFERROR([2]!CalculateHyphenString(J80),"")</f>
        <v/>
      </c>
      <c r="L80">
        <f t="shared" si="8"/>
        <v>798592</v>
      </c>
    </row>
    <row r="81" spans="1:12" x14ac:dyDescent="0.7">
      <c r="A81" s="3">
        <v>78</v>
      </c>
      <c r="B81" s="15" t="str">
        <f t="shared" si="3"/>
        <v/>
      </c>
      <c r="C81" s="28" t="str">
        <f t="shared" si="4"/>
        <v/>
      </c>
      <c r="D81" s="49" t="str">
        <f t="shared" si="7"/>
        <v>798592</v>
      </c>
      <c r="E81" s="14" t="str">
        <f>IFERROR(VLOOKUP($A81,TT,10,FALSE),"")</f>
        <v/>
      </c>
      <c r="F81" s="48" t="str" cm="1">
        <f t="array" ref="F81">IFERROR([1]!FeetConvert(E81),"")</f>
        <v/>
      </c>
      <c r="G81" s="15"/>
      <c r="H81" s="29" t="str">
        <f>IFERROR(VLOOKUP(A81,T,1,FALSE),"")</f>
        <v/>
      </c>
      <c r="I81" s="29" t="str">
        <f t="shared" si="5"/>
        <v/>
      </c>
      <c r="J81" s="29" t="str">
        <f t="shared" si="6"/>
        <v/>
      </c>
      <c r="K81" s="29" t="str" cm="1">
        <f t="array" ref="K81">IFERROR([2]!CalculateHyphenString(J81),"")</f>
        <v/>
      </c>
      <c r="L81">
        <f t="shared" si="8"/>
        <v>798592</v>
      </c>
    </row>
    <row r="82" spans="1:12" x14ac:dyDescent="0.7">
      <c r="A82" s="3">
        <v>79</v>
      </c>
      <c r="B82" s="15" t="str">
        <f t="shared" si="3"/>
        <v/>
      </c>
      <c r="C82" s="28" t="str">
        <f t="shared" si="4"/>
        <v/>
      </c>
      <c r="D82" s="49" t="str">
        <f t="shared" si="7"/>
        <v>798592</v>
      </c>
      <c r="E82" s="14" t="str">
        <f>IFERROR(VLOOKUP($A82,TT,10,FALSE),"")</f>
        <v/>
      </c>
      <c r="F82" s="48" t="str" cm="1">
        <f t="array" ref="F82">IFERROR([1]!FeetConvert(E82),"")</f>
        <v/>
      </c>
      <c r="G82" s="15"/>
      <c r="H82" s="29" t="str">
        <f>IFERROR(VLOOKUP(A82,T,1,FALSE),"")</f>
        <v/>
      </c>
      <c r="I82" s="29" t="str">
        <f t="shared" si="5"/>
        <v/>
      </c>
      <c r="J82" s="29" t="str">
        <f t="shared" si="6"/>
        <v/>
      </c>
      <c r="K82" s="29" t="str" cm="1">
        <f t="array" ref="K82">IFERROR([2]!CalculateHyphenString(J82),"")</f>
        <v/>
      </c>
      <c r="L82">
        <f t="shared" si="8"/>
        <v>798592</v>
      </c>
    </row>
    <row r="83" spans="1:12" x14ac:dyDescent="0.7">
      <c r="A83" s="3">
        <v>80</v>
      </c>
      <c r="B83" s="15" t="str">
        <f t="shared" si="3"/>
        <v/>
      </c>
      <c r="C83" s="28" t="str">
        <f t="shared" si="4"/>
        <v/>
      </c>
      <c r="D83" s="49" t="str">
        <f t="shared" si="7"/>
        <v>798592</v>
      </c>
      <c r="E83" s="14" t="str">
        <f>IFERROR(VLOOKUP($A83,TT,10,FALSE),"")</f>
        <v/>
      </c>
      <c r="F83" s="48" t="str" cm="1">
        <f t="array" ref="F83">IFERROR([1]!FeetConvert(E83),"")</f>
        <v/>
      </c>
      <c r="G83" s="15"/>
      <c r="H83" s="29" t="str">
        <f>IFERROR(VLOOKUP(A83,T,1,FALSE),"")</f>
        <v/>
      </c>
      <c r="I83" s="29" t="str">
        <f t="shared" si="5"/>
        <v/>
      </c>
      <c r="J83" s="29" t="str">
        <f t="shared" si="6"/>
        <v/>
      </c>
      <c r="K83" s="29" t="str" cm="1">
        <f t="array" ref="K83">IFERROR([2]!CalculateHyphenString(J83),"")</f>
        <v/>
      </c>
      <c r="L83">
        <f t="shared" si="8"/>
        <v>798592</v>
      </c>
    </row>
    <row r="84" spans="1:12" x14ac:dyDescent="0.7">
      <c r="A84" s="3">
        <v>81</v>
      </c>
      <c r="B84" s="15" t="str">
        <f t="shared" si="3"/>
        <v/>
      </c>
      <c r="C84" s="28" t="str">
        <f t="shared" si="4"/>
        <v/>
      </c>
      <c r="D84" s="49" t="str">
        <f t="shared" si="7"/>
        <v>798592</v>
      </c>
      <c r="E84" s="14" t="str">
        <f>IFERROR(VLOOKUP($A84,TT,10,FALSE),"")</f>
        <v/>
      </c>
      <c r="F84" s="48" t="str" cm="1">
        <f t="array" ref="F84">IFERROR([1]!FeetConvert(E84),"")</f>
        <v/>
      </c>
      <c r="G84" s="15"/>
      <c r="H84" s="29" t="str">
        <f>IFERROR(VLOOKUP(A84,T,1,FALSE),"")</f>
        <v/>
      </c>
      <c r="I84" s="29" t="str">
        <f t="shared" si="5"/>
        <v/>
      </c>
      <c r="J84" s="29" t="str">
        <f t="shared" si="6"/>
        <v/>
      </c>
      <c r="K84" s="29" t="str" cm="1">
        <f t="array" ref="K84">IFERROR([2]!CalculateHyphenString(J84),"")</f>
        <v/>
      </c>
      <c r="L84">
        <f t="shared" si="8"/>
        <v>798592</v>
      </c>
    </row>
    <row r="85" spans="1:12" x14ac:dyDescent="0.7">
      <c r="A85" s="3">
        <v>82</v>
      </c>
      <c r="B85" s="15" t="str">
        <f t="shared" si="3"/>
        <v/>
      </c>
      <c r="C85" s="28" t="str">
        <f t="shared" si="4"/>
        <v/>
      </c>
      <c r="D85" s="49" t="str">
        <f t="shared" si="7"/>
        <v>798592</v>
      </c>
      <c r="E85" s="14" t="str">
        <f>IFERROR(VLOOKUP($A85,TT,10,FALSE),"")</f>
        <v/>
      </c>
      <c r="F85" s="48" t="str" cm="1">
        <f t="array" ref="F85">IFERROR([1]!FeetConvert(E85),"")</f>
        <v/>
      </c>
      <c r="G85" s="15"/>
      <c r="H85" s="29" t="str">
        <f>IFERROR(VLOOKUP(A85,T,1,FALSE),"")</f>
        <v/>
      </c>
      <c r="I85" s="29" t="str">
        <f t="shared" si="5"/>
        <v/>
      </c>
      <c r="J85" s="29" t="str">
        <f t="shared" si="6"/>
        <v/>
      </c>
      <c r="K85" s="29" t="str" cm="1">
        <f t="array" ref="K85">IFERROR([2]!CalculateHyphenString(J85),"")</f>
        <v/>
      </c>
      <c r="L85">
        <f t="shared" si="8"/>
        <v>798592</v>
      </c>
    </row>
    <row r="86" spans="1:12" x14ac:dyDescent="0.7">
      <c r="A86" s="3">
        <v>83</v>
      </c>
      <c r="B86" s="15" t="str">
        <f t="shared" si="3"/>
        <v/>
      </c>
      <c r="C86" s="28" t="str">
        <f t="shared" si="4"/>
        <v/>
      </c>
      <c r="D86" s="49" t="str">
        <f t="shared" si="7"/>
        <v>798592</v>
      </c>
      <c r="E86" s="14" t="str">
        <f>IFERROR(VLOOKUP($A86,TT,10,FALSE),"")</f>
        <v/>
      </c>
      <c r="F86" s="48" t="str" cm="1">
        <f t="array" ref="F86">IFERROR([1]!FeetConvert(E86),"")</f>
        <v/>
      </c>
      <c r="G86" s="15"/>
      <c r="H86" s="29" t="str">
        <f>IFERROR(VLOOKUP(A86,T,1,FALSE),"")</f>
        <v/>
      </c>
      <c r="I86" s="29" t="str">
        <f t="shared" si="5"/>
        <v/>
      </c>
      <c r="J86" s="29" t="str">
        <f t="shared" si="6"/>
        <v/>
      </c>
      <c r="K86" s="29" t="str" cm="1">
        <f t="array" ref="K86">IFERROR([2]!CalculateHyphenString(J86),"")</f>
        <v/>
      </c>
      <c r="L86">
        <f t="shared" si="8"/>
        <v>798592</v>
      </c>
    </row>
    <row r="87" spans="1:12" x14ac:dyDescent="0.7">
      <c r="A87" s="3">
        <v>84</v>
      </c>
      <c r="B87" s="15" t="str">
        <f t="shared" si="3"/>
        <v/>
      </c>
      <c r="C87" s="28" t="str">
        <f t="shared" si="4"/>
        <v/>
      </c>
      <c r="D87" s="49" t="str">
        <f t="shared" si="7"/>
        <v>798592</v>
      </c>
      <c r="E87" s="14" t="str">
        <f>IFERROR(VLOOKUP($A87,TT,10,FALSE),"")</f>
        <v/>
      </c>
      <c r="F87" s="48" t="str" cm="1">
        <f t="array" ref="F87">IFERROR([1]!FeetConvert(E87),"")</f>
        <v/>
      </c>
      <c r="G87" s="15"/>
      <c r="H87" s="29" t="str">
        <f>IFERROR(VLOOKUP(A87,T,1,FALSE),"")</f>
        <v/>
      </c>
      <c r="I87" s="29" t="str">
        <f t="shared" si="5"/>
        <v/>
      </c>
      <c r="J87" s="29" t="str">
        <f t="shared" si="6"/>
        <v/>
      </c>
      <c r="K87" s="29" t="str" cm="1">
        <f t="array" ref="K87">IFERROR([2]!CalculateHyphenString(J87),"")</f>
        <v/>
      </c>
      <c r="L87">
        <f t="shared" si="8"/>
        <v>798592</v>
      </c>
    </row>
    <row r="88" spans="1:12" x14ac:dyDescent="0.7">
      <c r="A88" s="3">
        <v>85</v>
      </c>
      <c r="B88" s="15" t="str">
        <f t="shared" si="3"/>
        <v/>
      </c>
      <c r="C88" s="28" t="str">
        <f t="shared" si="4"/>
        <v/>
      </c>
      <c r="D88" s="49" t="str">
        <f t="shared" si="7"/>
        <v>798592</v>
      </c>
      <c r="E88" s="14" t="str">
        <f>IFERROR(VLOOKUP($A88,TT,10,FALSE),"")</f>
        <v/>
      </c>
      <c r="F88" s="48" t="str" cm="1">
        <f t="array" ref="F88">IFERROR([1]!FeetConvert(E88),"")</f>
        <v/>
      </c>
      <c r="G88" s="15"/>
      <c r="H88" s="29" t="str">
        <f>IFERROR(VLOOKUP(A88,T,1,FALSE),"")</f>
        <v/>
      </c>
      <c r="I88" s="29" t="str">
        <f t="shared" si="5"/>
        <v/>
      </c>
      <c r="J88" s="29" t="str">
        <f t="shared" si="6"/>
        <v/>
      </c>
      <c r="K88" s="29" t="str" cm="1">
        <f t="array" ref="K88">IFERROR([2]!CalculateHyphenString(J88),"")</f>
        <v/>
      </c>
      <c r="L88">
        <f t="shared" si="8"/>
        <v>798592</v>
      </c>
    </row>
    <row r="89" spans="1:12" x14ac:dyDescent="0.7">
      <c r="A89" s="3">
        <v>86</v>
      </c>
      <c r="B89" s="15" t="str">
        <f t="shared" si="3"/>
        <v/>
      </c>
      <c r="C89" s="28" t="str">
        <f t="shared" si="4"/>
        <v/>
      </c>
      <c r="D89" s="49" t="str">
        <f t="shared" si="7"/>
        <v>798592</v>
      </c>
      <c r="E89" s="14" t="str">
        <f>IFERROR(VLOOKUP($A89,TT,10,FALSE),"")</f>
        <v/>
      </c>
      <c r="F89" s="48" t="str" cm="1">
        <f t="array" ref="F89">IFERROR([1]!FeetConvert(E89),"")</f>
        <v/>
      </c>
      <c r="G89" s="15"/>
      <c r="H89" s="29" t="str">
        <f>IFERROR(VLOOKUP(A89,T,1,FALSE),"")</f>
        <v/>
      </c>
      <c r="I89" s="29" t="str">
        <f t="shared" si="5"/>
        <v/>
      </c>
      <c r="J89" s="29" t="str">
        <f t="shared" si="6"/>
        <v/>
      </c>
      <c r="K89" s="29" t="str" cm="1">
        <f t="array" ref="K89">IFERROR([2]!CalculateHyphenString(J89),"")</f>
        <v/>
      </c>
      <c r="L89">
        <f t="shared" si="8"/>
        <v>798592</v>
      </c>
    </row>
    <row r="90" spans="1:12" x14ac:dyDescent="0.7">
      <c r="A90" s="3">
        <v>87</v>
      </c>
      <c r="B90" s="15" t="str">
        <f t="shared" si="3"/>
        <v/>
      </c>
      <c r="C90" s="28" t="str">
        <f t="shared" si="4"/>
        <v/>
      </c>
      <c r="D90" s="49" t="str">
        <f t="shared" si="7"/>
        <v>798592</v>
      </c>
      <c r="E90" s="14" t="str">
        <f>IFERROR(VLOOKUP($A90,TT,10,FALSE),"")</f>
        <v/>
      </c>
      <c r="F90" s="48" t="str" cm="1">
        <f t="array" ref="F90">IFERROR([1]!FeetConvert(E90),"")</f>
        <v/>
      </c>
      <c r="G90" s="15"/>
      <c r="H90" s="29" t="str">
        <f>IFERROR(VLOOKUP(A90,T,1,FALSE),"")</f>
        <v/>
      </c>
      <c r="I90" s="29" t="str">
        <f t="shared" si="5"/>
        <v/>
      </c>
      <c r="J90" s="29" t="str">
        <f t="shared" si="6"/>
        <v/>
      </c>
      <c r="K90" s="29" t="str" cm="1">
        <f t="array" ref="K90">IFERROR([2]!CalculateHyphenString(J90),"")</f>
        <v/>
      </c>
      <c r="L90">
        <f t="shared" si="8"/>
        <v>798592</v>
      </c>
    </row>
    <row r="91" spans="1:12" x14ac:dyDescent="0.7">
      <c r="A91" s="3">
        <v>88</v>
      </c>
      <c r="B91" s="15" t="str">
        <f t="shared" si="3"/>
        <v/>
      </c>
      <c r="C91" s="28" t="str">
        <f t="shared" si="4"/>
        <v/>
      </c>
      <c r="D91" s="49" t="str">
        <f t="shared" si="7"/>
        <v>798592</v>
      </c>
      <c r="E91" s="14" t="str">
        <f>IFERROR(VLOOKUP($A91,TT,10,FALSE),"")</f>
        <v/>
      </c>
      <c r="F91" s="48" t="str" cm="1">
        <f t="array" ref="F91">IFERROR([1]!FeetConvert(E91),"")</f>
        <v/>
      </c>
      <c r="G91" s="15"/>
      <c r="H91" s="29" t="str">
        <f>IFERROR(VLOOKUP(A91,T,1,FALSE),"")</f>
        <v/>
      </c>
      <c r="I91" s="29" t="str">
        <f t="shared" si="5"/>
        <v/>
      </c>
      <c r="J91" s="29" t="str">
        <f t="shared" si="6"/>
        <v/>
      </c>
      <c r="K91" s="29" t="str" cm="1">
        <f t="array" ref="K91">IFERROR([2]!CalculateHyphenString(J91),"")</f>
        <v/>
      </c>
      <c r="L91">
        <f t="shared" si="8"/>
        <v>798592</v>
      </c>
    </row>
    <row r="92" spans="1:12" x14ac:dyDescent="0.7">
      <c r="A92" s="3">
        <v>89</v>
      </c>
      <c r="B92" s="15" t="str">
        <f t="shared" si="3"/>
        <v/>
      </c>
      <c r="C92" s="28" t="str">
        <f t="shared" si="4"/>
        <v/>
      </c>
      <c r="D92" s="49" t="str">
        <f t="shared" si="7"/>
        <v>798592</v>
      </c>
      <c r="E92" s="14" t="str">
        <f>IFERROR(VLOOKUP($A92,TT,10,FALSE),"")</f>
        <v/>
      </c>
      <c r="F92" s="48" t="str" cm="1">
        <f t="array" ref="F92">IFERROR([1]!FeetConvert(E92),"")</f>
        <v/>
      </c>
      <c r="G92" s="15"/>
      <c r="H92" s="29" t="str">
        <f>IFERROR(VLOOKUP(A92,T,1,FALSE),"")</f>
        <v/>
      </c>
      <c r="I92" s="29" t="str">
        <f t="shared" si="5"/>
        <v/>
      </c>
      <c r="J92" s="29" t="str">
        <f t="shared" si="6"/>
        <v/>
      </c>
      <c r="K92" s="29" t="str" cm="1">
        <f t="array" ref="K92">IFERROR([2]!CalculateHyphenString(J92),"")</f>
        <v/>
      </c>
      <c r="L92">
        <f t="shared" si="8"/>
        <v>798592</v>
      </c>
    </row>
    <row r="93" spans="1:12" x14ac:dyDescent="0.7">
      <c r="A93" s="3">
        <v>90</v>
      </c>
      <c r="B93" s="15" t="str">
        <f t="shared" si="3"/>
        <v/>
      </c>
      <c r="C93" s="28" t="str">
        <f t="shared" si="4"/>
        <v/>
      </c>
      <c r="D93" s="49" t="str">
        <f t="shared" si="7"/>
        <v>798592</v>
      </c>
      <c r="E93" s="14" t="str">
        <f>IFERROR(VLOOKUP($A93,TT,10,FALSE),"")</f>
        <v/>
      </c>
      <c r="F93" s="48" t="str" cm="1">
        <f t="array" ref="F93">IFERROR([1]!FeetConvert(E93),"")</f>
        <v/>
      </c>
      <c r="G93" s="15"/>
      <c r="H93" s="29" t="str">
        <f>IFERROR(VLOOKUP(A93,T,1,FALSE),"")</f>
        <v/>
      </c>
      <c r="I93" s="29" t="str">
        <f t="shared" si="5"/>
        <v/>
      </c>
      <c r="J93" s="29" t="str">
        <f t="shared" si="6"/>
        <v/>
      </c>
      <c r="K93" s="29" t="str" cm="1">
        <f t="array" ref="K93">IFERROR([2]!CalculateHyphenString(J93),"")</f>
        <v/>
      </c>
      <c r="L93">
        <f t="shared" si="8"/>
        <v>798592</v>
      </c>
    </row>
    <row r="94" spans="1:12" x14ac:dyDescent="0.7">
      <c r="A94" s="3">
        <v>91</v>
      </c>
      <c r="B94" s="15" t="str">
        <f t="shared" si="3"/>
        <v/>
      </c>
      <c r="C94" s="28" t="str">
        <f t="shared" si="4"/>
        <v/>
      </c>
      <c r="D94" s="49" t="str">
        <f t="shared" si="7"/>
        <v>798592</v>
      </c>
      <c r="E94" s="14" t="str">
        <f>IFERROR(VLOOKUP($A94,TT,10,FALSE),"")</f>
        <v/>
      </c>
      <c r="F94" s="48" t="str" cm="1">
        <f t="array" ref="F94">IFERROR([1]!FeetConvert(E94),"")</f>
        <v/>
      </c>
      <c r="G94" s="15"/>
      <c r="H94" s="29" t="str">
        <f>IFERROR(VLOOKUP(A94,T,1,FALSE),"")</f>
        <v/>
      </c>
      <c r="I94" s="29" t="str">
        <f t="shared" si="5"/>
        <v/>
      </c>
      <c r="J94" s="29" t="str">
        <f t="shared" si="6"/>
        <v/>
      </c>
      <c r="K94" s="29" t="str" cm="1">
        <f t="array" ref="K94">IFERROR([2]!CalculateHyphenString(J94),"")</f>
        <v/>
      </c>
      <c r="L94">
        <f t="shared" si="8"/>
        <v>798592</v>
      </c>
    </row>
    <row r="95" spans="1:12" x14ac:dyDescent="0.7">
      <c r="A95" s="3">
        <v>92</v>
      </c>
      <c r="B95" s="15" t="str">
        <f t="shared" si="3"/>
        <v/>
      </c>
      <c r="C95" s="28" t="str">
        <f t="shared" si="4"/>
        <v/>
      </c>
      <c r="D95" s="49" t="str">
        <f t="shared" si="7"/>
        <v>798592</v>
      </c>
      <c r="E95" s="14" t="str">
        <f>IFERROR(VLOOKUP($A95,TT,10,FALSE),"")</f>
        <v/>
      </c>
      <c r="F95" s="48" t="str" cm="1">
        <f t="array" ref="F95">IFERROR([1]!FeetConvert(E95),"")</f>
        <v/>
      </c>
      <c r="G95" s="15"/>
      <c r="H95" s="29" t="str">
        <f>IFERROR(VLOOKUP(A95,T,1,FALSE),"")</f>
        <v/>
      </c>
      <c r="I95" s="29" t="str">
        <f t="shared" si="5"/>
        <v/>
      </c>
      <c r="J95" s="29" t="str">
        <f t="shared" si="6"/>
        <v/>
      </c>
      <c r="K95" s="29" t="str" cm="1">
        <f t="array" ref="K95">IFERROR([2]!CalculateHyphenString(J95),"")</f>
        <v/>
      </c>
      <c r="L95">
        <f t="shared" si="8"/>
        <v>798592</v>
      </c>
    </row>
    <row r="96" spans="1:12" x14ac:dyDescent="0.7">
      <c r="A96" s="3">
        <v>93</v>
      </c>
      <c r="B96" s="15" t="str">
        <f t="shared" si="3"/>
        <v/>
      </c>
      <c r="C96" s="28" t="str">
        <f t="shared" si="4"/>
        <v/>
      </c>
      <c r="D96" s="49" t="str">
        <f t="shared" si="7"/>
        <v>798592</v>
      </c>
      <c r="E96" s="14" t="str">
        <f>IFERROR(VLOOKUP($A96,TT,10,FALSE),"")</f>
        <v/>
      </c>
      <c r="F96" s="48" t="str" cm="1">
        <f t="array" ref="F96">IFERROR([1]!FeetConvert(E96),"")</f>
        <v/>
      </c>
      <c r="G96" s="15"/>
      <c r="H96" s="29" t="str">
        <f>IFERROR(VLOOKUP(A96,T,1,FALSE),"")</f>
        <v/>
      </c>
      <c r="I96" s="29" t="str">
        <f t="shared" si="5"/>
        <v/>
      </c>
      <c r="J96" s="29" t="str">
        <f t="shared" si="6"/>
        <v/>
      </c>
      <c r="K96" s="29" t="str" cm="1">
        <f t="array" ref="K96">IFERROR([2]!CalculateHyphenString(J96),"")</f>
        <v/>
      </c>
      <c r="L96">
        <f t="shared" si="8"/>
        <v>798592</v>
      </c>
    </row>
    <row r="97" spans="1:12" x14ac:dyDescent="0.7">
      <c r="A97" s="3">
        <v>94</v>
      </c>
      <c r="B97" s="15" t="str">
        <f t="shared" si="3"/>
        <v/>
      </c>
      <c r="C97" s="28" t="str">
        <f t="shared" si="4"/>
        <v/>
      </c>
      <c r="D97" s="49" t="str">
        <f t="shared" si="7"/>
        <v>798592</v>
      </c>
      <c r="E97" s="14" t="str">
        <f>IFERROR(VLOOKUP($A97,TT,10,FALSE),"")</f>
        <v/>
      </c>
      <c r="F97" s="48" t="str" cm="1">
        <f t="array" ref="F97">IFERROR([1]!FeetConvert(E97),"")</f>
        <v/>
      </c>
      <c r="G97" s="15"/>
      <c r="H97" s="29" t="str">
        <f>IFERROR(VLOOKUP(A97,T,1,FALSE),"")</f>
        <v/>
      </c>
      <c r="I97" s="29" t="str">
        <f t="shared" si="5"/>
        <v/>
      </c>
      <c r="J97" s="29" t="str">
        <f t="shared" si="6"/>
        <v/>
      </c>
      <c r="K97" s="29" t="str" cm="1">
        <f t="array" ref="K97">IFERROR([2]!CalculateHyphenString(J97),"")</f>
        <v/>
      </c>
      <c r="L97">
        <f t="shared" si="8"/>
        <v>798592</v>
      </c>
    </row>
    <row r="98" spans="1:12" x14ac:dyDescent="0.7">
      <c r="A98" s="3">
        <v>95</v>
      </c>
      <c r="B98" s="15" t="str">
        <f t="shared" si="3"/>
        <v/>
      </c>
      <c r="C98" s="28" t="str">
        <f t="shared" si="4"/>
        <v/>
      </c>
      <c r="D98" s="49" t="str">
        <f t="shared" si="7"/>
        <v>798592</v>
      </c>
      <c r="E98" s="14" t="str">
        <f>IFERROR(VLOOKUP($A98,TT,10,FALSE),"")</f>
        <v/>
      </c>
      <c r="F98" s="48" t="str" cm="1">
        <f t="array" ref="F98">IFERROR([1]!FeetConvert(E98),"")</f>
        <v/>
      </c>
      <c r="G98" s="15"/>
      <c r="H98" s="29" t="str">
        <f>IFERROR(VLOOKUP(A98,T,1,FALSE),"")</f>
        <v/>
      </c>
      <c r="I98" s="29" t="str">
        <f t="shared" si="5"/>
        <v/>
      </c>
      <c r="J98" s="29" t="str">
        <f t="shared" si="6"/>
        <v/>
      </c>
      <c r="K98" s="29" t="str" cm="1">
        <f t="array" ref="K98">IFERROR([2]!CalculateHyphenString(J98),"")</f>
        <v/>
      </c>
      <c r="L98">
        <f t="shared" si="8"/>
        <v>798592</v>
      </c>
    </row>
    <row r="99" spans="1:12" x14ac:dyDescent="0.7">
      <c r="A99" s="3">
        <v>96</v>
      </c>
      <c r="B99" s="15" t="str">
        <f t="shared" si="3"/>
        <v/>
      </c>
      <c r="C99" s="28" t="str">
        <f t="shared" si="4"/>
        <v/>
      </c>
      <c r="D99" s="49" t="str">
        <f t="shared" si="7"/>
        <v>798592</v>
      </c>
      <c r="E99" s="14" t="str">
        <f>IFERROR(VLOOKUP($A99,TT,10,FALSE),"")</f>
        <v/>
      </c>
      <c r="F99" s="48" t="str" cm="1">
        <f t="array" ref="F99">IFERROR([1]!FeetConvert(E99),"")</f>
        <v/>
      </c>
      <c r="G99" s="15"/>
      <c r="H99" s="29" t="str">
        <f>IFERROR(VLOOKUP(A99,T,1,FALSE),"")</f>
        <v/>
      </c>
      <c r="I99" s="29" t="str">
        <f t="shared" si="5"/>
        <v/>
      </c>
      <c r="J99" s="29" t="str">
        <f t="shared" si="6"/>
        <v/>
      </c>
      <c r="K99" s="29" t="str" cm="1">
        <f t="array" ref="K99">IFERROR([2]!CalculateHyphenString(J99),"")</f>
        <v/>
      </c>
      <c r="L99">
        <f t="shared" si="8"/>
        <v>798592</v>
      </c>
    </row>
    <row r="100" spans="1:12" x14ac:dyDescent="0.7">
      <c r="A100" s="3">
        <v>97</v>
      </c>
      <c r="B100" s="15" t="str">
        <f t="shared" si="3"/>
        <v/>
      </c>
      <c r="C100" s="28" t="str">
        <f t="shared" si="4"/>
        <v/>
      </c>
      <c r="D100" s="49" t="str">
        <f t="shared" si="7"/>
        <v>798592</v>
      </c>
      <c r="E100" s="14" t="str">
        <f>IFERROR(VLOOKUP($A100,TT,10,FALSE),"")</f>
        <v/>
      </c>
      <c r="F100" s="48" t="str" cm="1">
        <f t="array" ref="F100">IFERROR([1]!FeetConvert(E100),"")</f>
        <v/>
      </c>
      <c r="G100" s="15"/>
      <c r="H100" s="29" t="str">
        <f>IFERROR(VLOOKUP(A100,T,1,FALSE),"")</f>
        <v/>
      </c>
      <c r="I100" s="29" t="str">
        <f t="shared" si="5"/>
        <v/>
      </c>
      <c r="J100" s="29" t="str">
        <f t="shared" si="6"/>
        <v/>
      </c>
      <c r="K100" s="29" t="str" cm="1">
        <f t="array" ref="K100">IFERROR([2]!CalculateHyphenString(J100),"")</f>
        <v/>
      </c>
      <c r="L100">
        <f t="shared" si="8"/>
        <v>798592</v>
      </c>
    </row>
    <row r="101" spans="1:12" x14ac:dyDescent="0.7">
      <c r="A101" s="3">
        <v>98</v>
      </c>
      <c r="D101" s="49" t="str">
        <f t="shared" si="7"/>
        <v>798592</v>
      </c>
      <c r="E101" s="14" t="str">
        <f>IFERROR(VLOOKUP($A101,TT,10,FALSE),"")</f>
        <v/>
      </c>
      <c r="F101" s="48" t="str" cm="1">
        <f t="array" ref="F101">IFERROR([1]!FeetConvert(E101),"")</f>
        <v/>
      </c>
      <c r="H101" s="29" t="str">
        <f>IFERROR(VLOOKUP(A101,T,1,FALSE),"")</f>
        <v/>
      </c>
      <c r="I101" s="29" t="str">
        <f t="shared" si="5"/>
        <v/>
      </c>
      <c r="J101" s="29" t="str">
        <f t="shared" si="6"/>
        <v/>
      </c>
      <c r="K101" s="29" t="str" cm="1">
        <f t="array" ref="K101">IFERROR([2]!CalculateHyphenString(J101),"")</f>
        <v/>
      </c>
      <c r="L101">
        <f t="shared" si="8"/>
        <v>798592</v>
      </c>
    </row>
    <row r="102" spans="1:12" x14ac:dyDescent="0.7">
      <c r="A102" s="3">
        <v>99</v>
      </c>
      <c r="D102" s="49" t="str">
        <f t="shared" si="7"/>
        <v>798592</v>
      </c>
      <c r="E102" s="14" t="str">
        <f>IFERROR(VLOOKUP($A102,TT,10,FALSE),"")</f>
        <v/>
      </c>
      <c r="F102" s="48" t="str" cm="1">
        <f t="array" ref="F102">IFERROR([1]!FeetConvert(E102),"")</f>
        <v/>
      </c>
      <c r="H102" s="29" t="str">
        <f>IFERROR(VLOOKUP(A102,T,1,FALSE),"")</f>
        <v/>
      </c>
      <c r="I102" s="29" t="str">
        <f t="shared" si="5"/>
        <v/>
      </c>
      <c r="J102" s="29" t="str">
        <f t="shared" si="6"/>
        <v/>
      </c>
      <c r="K102" s="29" t="str" cm="1">
        <f t="array" ref="K102">IFERROR([2]!CalculateHyphenString(J102),"")</f>
        <v/>
      </c>
      <c r="L102">
        <f t="shared" si="8"/>
        <v>798592</v>
      </c>
    </row>
    <row r="103" spans="1:12" x14ac:dyDescent="0.7">
      <c r="A103" s="3">
        <v>100</v>
      </c>
      <c r="D103" s="49" t="str">
        <f t="shared" si="7"/>
        <v>798592</v>
      </c>
      <c r="E103" s="14" t="str">
        <f>IFERROR(VLOOKUP($A103,TT,10,FALSE),"")</f>
        <v/>
      </c>
      <c r="F103" s="48" t="str" cm="1">
        <f t="array" ref="F103">IFERROR([1]!FeetConvert(E103),"")</f>
        <v/>
      </c>
      <c r="H103" s="29" t="str">
        <f>IFERROR(VLOOKUP(A103,T,1,FALSE),"")</f>
        <v/>
      </c>
      <c r="I103" s="29" t="str">
        <f t="shared" si="5"/>
        <v/>
      </c>
      <c r="J103" s="29" t="str">
        <f t="shared" si="6"/>
        <v/>
      </c>
      <c r="K103" s="29" t="str" cm="1">
        <f t="array" ref="K103">IFERROR([2]!CalculateHyphenString(J103),"")</f>
        <v/>
      </c>
      <c r="L103">
        <f t="shared" si="8"/>
        <v>798592</v>
      </c>
    </row>
    <row r="104" spans="1:12" x14ac:dyDescent="0.7">
      <c r="A104" s="3">
        <v>101</v>
      </c>
      <c r="D104" s="49" t="str">
        <f t="shared" si="7"/>
        <v>798592</v>
      </c>
      <c r="E104" s="14" t="str">
        <f>IFERROR(VLOOKUP($A104,TT,10,FALSE),"")</f>
        <v/>
      </c>
      <c r="F104" s="48" t="str" cm="1">
        <f t="array" ref="F104">IFERROR([1]!FeetConvert(E104),"")</f>
        <v/>
      </c>
      <c r="H104" s="29" t="str">
        <f>IFERROR(VLOOKUP(A104,T,1,FALSE),"")</f>
        <v/>
      </c>
      <c r="I104" s="29" t="str">
        <f t="shared" si="5"/>
        <v/>
      </c>
      <c r="J104" s="29" t="str">
        <f t="shared" si="6"/>
        <v/>
      </c>
      <c r="K104" s="29" t="str" cm="1">
        <f t="array" ref="K104">IFERROR([2]!CalculateHyphenString(J104),"")</f>
        <v/>
      </c>
      <c r="L104">
        <f t="shared" si="8"/>
        <v>798592</v>
      </c>
    </row>
    <row r="105" spans="1:12" x14ac:dyDescent="0.7">
      <c r="A105" s="3">
        <v>102</v>
      </c>
      <c r="D105" s="49" t="str">
        <f t="shared" si="7"/>
        <v>798592</v>
      </c>
      <c r="E105" s="14" t="str">
        <f>IFERROR(VLOOKUP($A105,TT,10,FALSE),"")</f>
        <v/>
      </c>
      <c r="F105" s="48" t="str" cm="1">
        <f t="array" ref="F105">IFERROR([1]!FeetConvert(E105),"")</f>
        <v/>
      </c>
      <c r="H105" s="29" t="str">
        <f>IFERROR(VLOOKUP(A105,T,1,FALSE),"")</f>
        <v/>
      </c>
      <c r="I105" s="29" t="str">
        <f t="shared" si="5"/>
        <v/>
      </c>
      <c r="J105" s="29" t="str">
        <f t="shared" si="6"/>
        <v/>
      </c>
      <c r="K105" s="29" t="str" cm="1">
        <f t="array" ref="K105">IFERROR([2]!CalculateHyphenString(J105),"")</f>
        <v/>
      </c>
      <c r="L105">
        <f t="shared" si="8"/>
        <v>798592</v>
      </c>
    </row>
    <row r="106" spans="1:12" x14ac:dyDescent="0.7">
      <c r="A106" s="3">
        <v>103</v>
      </c>
      <c r="D106" s="49" t="str">
        <f t="shared" si="7"/>
        <v>798592</v>
      </c>
      <c r="E106" s="14" t="str">
        <f>IFERROR(VLOOKUP($A106,TT,10,FALSE),"")</f>
        <v/>
      </c>
      <c r="F106" s="48" t="str" cm="1">
        <f t="array" ref="F106">IFERROR([1]!FeetConvert(E106),"")</f>
        <v/>
      </c>
      <c r="H106" s="29" t="str">
        <f>IFERROR(VLOOKUP(A106,T,1,FALSE),"")</f>
        <v/>
      </c>
      <c r="I106" s="29" t="str">
        <f t="shared" si="5"/>
        <v/>
      </c>
      <c r="J106" s="29" t="str">
        <f t="shared" si="6"/>
        <v/>
      </c>
      <c r="K106" s="29" t="str" cm="1">
        <f t="array" ref="K106">IFERROR([2]!CalculateHyphenString(J106),"")</f>
        <v/>
      </c>
      <c r="L106">
        <f t="shared" si="8"/>
        <v>798592</v>
      </c>
    </row>
    <row r="107" spans="1:12" x14ac:dyDescent="0.7">
      <c r="A107" s="3">
        <v>104</v>
      </c>
      <c r="D107" s="49" t="str">
        <f t="shared" si="7"/>
        <v>798592</v>
      </c>
      <c r="E107" s="14" t="str">
        <f>IFERROR(VLOOKUP($A107,TT,10,FALSE),"")</f>
        <v/>
      </c>
      <c r="F107" s="48" t="str" cm="1">
        <f t="array" ref="F107">IFERROR([1]!FeetConvert(E107),"")</f>
        <v/>
      </c>
      <c r="H107" s="29" t="str">
        <f>IFERROR(VLOOKUP(A107,T,1,FALSE),"")</f>
        <v/>
      </c>
      <c r="I107" s="29" t="str">
        <f t="shared" si="5"/>
        <v/>
      </c>
      <c r="J107" s="29" t="str">
        <f t="shared" si="6"/>
        <v/>
      </c>
      <c r="K107" s="29" t="str" cm="1">
        <f t="array" ref="K107">IFERROR([2]!CalculateHyphenString(J107),"")</f>
        <v/>
      </c>
      <c r="L107">
        <f t="shared" si="8"/>
        <v>798592</v>
      </c>
    </row>
    <row r="108" spans="1:12" x14ac:dyDescent="0.7">
      <c r="A108" s="3">
        <v>105</v>
      </c>
      <c r="D108" s="49" t="str">
        <f t="shared" si="7"/>
        <v>798592</v>
      </c>
      <c r="E108" s="14" t="str">
        <f>IFERROR(VLOOKUP($A108,TT,10,FALSE),"")</f>
        <v/>
      </c>
      <c r="F108" s="48" t="str" cm="1">
        <f t="array" ref="F108">IFERROR([1]!FeetConvert(E108),"")</f>
        <v/>
      </c>
      <c r="H108" s="29" t="str">
        <f>IFERROR(VLOOKUP(A108,T,1,FALSE),"")</f>
        <v/>
      </c>
      <c r="I108" s="29" t="str">
        <f t="shared" si="5"/>
        <v/>
      </c>
      <c r="J108" s="29" t="str">
        <f t="shared" si="6"/>
        <v/>
      </c>
      <c r="K108" s="29" t="str" cm="1">
        <f t="array" ref="K108">IFERROR([2]!CalculateHyphenString(J108),"")</f>
        <v/>
      </c>
      <c r="L108">
        <f t="shared" si="8"/>
        <v>798592</v>
      </c>
    </row>
    <row r="109" spans="1:12" x14ac:dyDescent="0.7">
      <c r="A109" s="3">
        <v>106</v>
      </c>
      <c r="D109" s="49" t="str">
        <f t="shared" si="7"/>
        <v>798592</v>
      </c>
      <c r="E109" s="14" t="str">
        <f>IFERROR(VLOOKUP($A109,TT,10,FALSE),"")</f>
        <v/>
      </c>
      <c r="F109" s="48" t="str" cm="1">
        <f t="array" ref="F109">IFERROR([1]!FeetConvert(E109),"")</f>
        <v/>
      </c>
      <c r="H109" s="29" t="str">
        <f>IFERROR(VLOOKUP(A109,T,1,FALSE),"")</f>
        <v/>
      </c>
      <c r="I109" s="29" t="str">
        <f t="shared" si="5"/>
        <v/>
      </c>
      <c r="J109" s="29" t="str">
        <f t="shared" si="6"/>
        <v/>
      </c>
      <c r="K109" s="29" t="str" cm="1">
        <f t="array" ref="K109">IFERROR([2]!CalculateHyphenString(J109),"")</f>
        <v/>
      </c>
      <c r="L109">
        <f t="shared" si="8"/>
        <v>798592</v>
      </c>
    </row>
    <row r="110" spans="1:12" x14ac:dyDescent="0.7">
      <c r="A110" s="3">
        <v>107</v>
      </c>
      <c r="D110" s="49" t="str">
        <f t="shared" si="7"/>
        <v>798592</v>
      </c>
      <c r="E110" s="14" t="str">
        <f>IFERROR(VLOOKUP($A110,TT,10,FALSE),"")</f>
        <v/>
      </c>
      <c r="F110" s="48" t="str" cm="1">
        <f t="array" ref="F110">IFERROR([1]!FeetConvert(E110),"")</f>
        <v/>
      </c>
      <c r="H110" s="29" t="str">
        <f>IFERROR(VLOOKUP(A110,T,1,FALSE),"")</f>
        <v/>
      </c>
      <c r="I110" s="29" t="str">
        <f t="shared" si="5"/>
        <v/>
      </c>
      <c r="J110" s="29" t="str">
        <f t="shared" si="6"/>
        <v/>
      </c>
      <c r="K110" s="29" t="str" cm="1">
        <f t="array" ref="K110">IFERROR([2]!CalculateHyphenString(J110),"")</f>
        <v/>
      </c>
      <c r="L110">
        <f t="shared" si="8"/>
        <v>798592</v>
      </c>
    </row>
    <row r="111" spans="1:12" x14ac:dyDescent="0.7">
      <c r="A111" s="3">
        <v>108</v>
      </c>
      <c r="D111" s="49" t="str">
        <f t="shared" si="7"/>
        <v>798592</v>
      </c>
      <c r="E111" s="14" t="str">
        <f>IFERROR(VLOOKUP($A111,TT,10,FALSE),"")</f>
        <v/>
      </c>
      <c r="F111" s="48" t="str" cm="1">
        <f t="array" ref="F111">IFERROR([1]!FeetConvert(E111),"")</f>
        <v/>
      </c>
      <c r="H111" s="29" t="str">
        <f>IFERROR(VLOOKUP(A111,T,1,FALSE),"")</f>
        <v/>
      </c>
      <c r="I111" s="29" t="str">
        <f t="shared" si="5"/>
        <v/>
      </c>
      <c r="J111" s="29" t="str">
        <f t="shared" si="6"/>
        <v/>
      </c>
      <c r="K111" s="29" t="str" cm="1">
        <f t="array" ref="K111">IFERROR([2]!CalculateHyphenString(J111),"")</f>
        <v/>
      </c>
      <c r="L111">
        <f t="shared" si="8"/>
        <v>798592</v>
      </c>
    </row>
    <row r="112" spans="1:12" x14ac:dyDescent="0.7">
      <c r="A112" s="3">
        <v>109</v>
      </c>
      <c r="D112" s="49" t="str">
        <f t="shared" si="7"/>
        <v>798592</v>
      </c>
      <c r="E112" s="14" t="str">
        <f>IFERROR(VLOOKUP($A112,TT,10,FALSE),"")</f>
        <v/>
      </c>
      <c r="F112" s="48" t="str" cm="1">
        <f t="array" ref="F112">IFERROR([1]!FeetConvert(E112),"")</f>
        <v/>
      </c>
      <c r="H112" s="29" t="str">
        <f>IFERROR(VLOOKUP(A112,T,1,FALSE),"")</f>
        <v/>
      </c>
      <c r="I112" s="29" t="str">
        <f t="shared" si="5"/>
        <v/>
      </c>
      <c r="J112" s="29" t="str">
        <f t="shared" si="6"/>
        <v/>
      </c>
      <c r="K112" s="29" t="str" cm="1">
        <f t="array" ref="K112">IFERROR([2]!CalculateHyphenString(J112),"")</f>
        <v/>
      </c>
      <c r="L112">
        <f t="shared" si="8"/>
        <v>798592</v>
      </c>
    </row>
    <row r="113" spans="1:12" x14ac:dyDescent="0.7">
      <c r="A113" s="3">
        <v>110</v>
      </c>
      <c r="D113" s="49" t="str">
        <f t="shared" si="7"/>
        <v>798592</v>
      </c>
      <c r="E113" s="14" t="str">
        <f>IFERROR(VLOOKUP($A113,TT,10,FALSE),"")</f>
        <v/>
      </c>
      <c r="F113" s="48" t="str" cm="1">
        <f t="array" ref="F113">IFERROR([1]!FeetConvert(E113),"")</f>
        <v/>
      </c>
      <c r="H113" s="29" t="str">
        <f>IFERROR(VLOOKUP(A113,T,1,FALSE),"")</f>
        <v/>
      </c>
      <c r="I113" s="29" t="str">
        <f t="shared" si="5"/>
        <v/>
      </c>
      <c r="J113" s="29" t="str">
        <f t="shared" si="6"/>
        <v/>
      </c>
      <c r="K113" s="29" t="str" cm="1">
        <f t="array" ref="K113">IFERROR([2]!CalculateHyphenString(J113),"")</f>
        <v/>
      </c>
      <c r="L113">
        <f t="shared" si="8"/>
        <v>798592</v>
      </c>
    </row>
    <row r="114" spans="1:12" x14ac:dyDescent="0.7">
      <c r="A114" s="3">
        <v>111</v>
      </c>
      <c r="D114" s="49" t="str">
        <f t="shared" si="7"/>
        <v>798592</v>
      </c>
      <c r="E114" s="14" t="str">
        <f>IFERROR(VLOOKUP($A114,TT,10,FALSE),"")</f>
        <v/>
      </c>
      <c r="F114" s="48" t="str" cm="1">
        <f t="array" ref="F114">IFERROR([1]!FeetConvert(E114),"")</f>
        <v/>
      </c>
      <c r="H114" s="29" t="str">
        <f>IFERROR(VLOOKUP(A114,T,1,FALSE),"")</f>
        <v/>
      </c>
      <c r="I114" s="29" t="str">
        <f t="shared" si="5"/>
        <v/>
      </c>
      <c r="J114" s="29" t="str">
        <f t="shared" si="6"/>
        <v/>
      </c>
      <c r="K114" s="29" t="str" cm="1">
        <f t="array" ref="K114">IFERROR([2]!CalculateHyphenString(J114),"")</f>
        <v/>
      </c>
      <c r="L114">
        <f t="shared" si="8"/>
        <v>798592</v>
      </c>
    </row>
    <row r="115" spans="1:12" x14ac:dyDescent="0.7">
      <c r="A115" s="3">
        <v>112</v>
      </c>
      <c r="D115" s="49" t="str">
        <f t="shared" si="7"/>
        <v>798592</v>
      </c>
      <c r="E115" s="14" t="str">
        <f>IFERROR(VLOOKUP($A115,TT,10,FALSE),"")</f>
        <v/>
      </c>
      <c r="F115" s="48" t="str" cm="1">
        <f t="array" ref="F115">IFERROR([1]!FeetConvert(E115),"")</f>
        <v/>
      </c>
      <c r="H115" s="29" t="str">
        <f>IFERROR(VLOOKUP(A115,T,1,FALSE),"")</f>
        <v/>
      </c>
      <c r="I115" s="29" t="str">
        <f t="shared" si="5"/>
        <v/>
      </c>
      <c r="J115" s="29" t="str">
        <f t="shared" si="6"/>
        <v/>
      </c>
      <c r="K115" s="29" t="str" cm="1">
        <f t="array" ref="K115">IFERROR([2]!CalculateHyphenString(J115),"")</f>
        <v/>
      </c>
      <c r="L115">
        <f t="shared" si="8"/>
        <v>798592</v>
      </c>
    </row>
    <row r="116" spans="1:12" x14ac:dyDescent="0.7">
      <c r="A116" s="3">
        <v>113</v>
      </c>
      <c r="D116" s="49" t="str">
        <f t="shared" si="7"/>
        <v>798592</v>
      </c>
      <c r="E116" s="14" t="str">
        <f>IFERROR(VLOOKUP($A116,TT,10,FALSE),"")</f>
        <v/>
      </c>
      <c r="F116" s="48" t="str" cm="1">
        <f t="array" ref="F116">IFERROR([1]!FeetConvert(E116),"")</f>
        <v/>
      </c>
      <c r="H116" s="29" t="str">
        <f>IFERROR(VLOOKUP(A116,T,1,FALSE),"")</f>
        <v/>
      </c>
      <c r="I116" s="29" t="str">
        <f t="shared" si="5"/>
        <v/>
      </c>
      <c r="J116" s="29" t="str">
        <f t="shared" si="6"/>
        <v/>
      </c>
      <c r="K116" s="29" t="str" cm="1">
        <f t="array" ref="K116">IFERROR([2]!CalculateHyphenString(J116),"")</f>
        <v/>
      </c>
      <c r="L116">
        <f t="shared" si="8"/>
        <v>798592</v>
      </c>
    </row>
    <row r="117" spans="1:12" x14ac:dyDescent="0.7">
      <c r="A117" s="3">
        <v>114</v>
      </c>
      <c r="D117" s="49" t="str">
        <f t="shared" si="7"/>
        <v>798592</v>
      </c>
      <c r="E117" s="14" t="str">
        <f>IFERROR(VLOOKUP($A117,TT,10,FALSE),"")</f>
        <v/>
      </c>
      <c r="F117" s="48" t="str" cm="1">
        <f t="array" ref="F117">IFERROR([1]!FeetConvert(E117),"")</f>
        <v/>
      </c>
      <c r="H117" s="29" t="str">
        <f>IFERROR(VLOOKUP(A117,T,1,FALSE),"")</f>
        <v/>
      </c>
      <c r="I117" s="29" t="str">
        <f t="shared" si="5"/>
        <v/>
      </c>
      <c r="J117" s="29" t="str">
        <f t="shared" si="6"/>
        <v/>
      </c>
      <c r="K117" s="29" t="str" cm="1">
        <f t="array" ref="K117">IFERROR([2]!CalculateHyphenString(J117),"")</f>
        <v/>
      </c>
      <c r="L117">
        <f t="shared" si="8"/>
        <v>798592</v>
      </c>
    </row>
    <row r="118" spans="1:12" x14ac:dyDescent="0.7">
      <c r="A118" s="3">
        <v>115</v>
      </c>
      <c r="D118" s="49" t="str">
        <f t="shared" si="7"/>
        <v>798592</v>
      </c>
      <c r="E118" s="14" t="str">
        <f>IFERROR(VLOOKUP($A118,TT,10,FALSE),"")</f>
        <v/>
      </c>
      <c r="F118" s="48" t="str" cm="1">
        <f t="array" ref="F118">IFERROR([1]!FeetConvert(E118),"")</f>
        <v/>
      </c>
      <c r="H118" s="29" t="str">
        <f>IFERROR(VLOOKUP(A118,T,1,FALSE),"")</f>
        <v/>
      </c>
      <c r="I118" s="29" t="str">
        <f t="shared" si="5"/>
        <v/>
      </c>
      <c r="J118" s="29" t="str">
        <f t="shared" si="6"/>
        <v/>
      </c>
      <c r="K118" s="29" t="str" cm="1">
        <f t="array" ref="K118">IFERROR([2]!CalculateHyphenString(J118),"")</f>
        <v/>
      </c>
      <c r="L118">
        <f t="shared" si="8"/>
        <v>798592</v>
      </c>
    </row>
    <row r="119" spans="1:12" x14ac:dyDescent="0.7">
      <c r="A119" s="3">
        <v>116</v>
      </c>
      <c r="D119" s="49" t="str">
        <f t="shared" si="7"/>
        <v>798592</v>
      </c>
      <c r="E119" s="14" t="str">
        <f>IFERROR(VLOOKUP($A119,TT,10,FALSE),"")</f>
        <v/>
      </c>
      <c r="F119" s="48" t="str" cm="1">
        <f t="array" ref="F119">IFERROR([1]!FeetConvert(E119),"")</f>
        <v/>
      </c>
      <c r="H119" s="29" t="str">
        <f>IFERROR(VLOOKUP(A119,T,1,FALSE),"")</f>
        <v/>
      </c>
      <c r="I119" s="29" t="str">
        <f t="shared" si="5"/>
        <v/>
      </c>
      <c r="J119" s="29" t="str">
        <f t="shared" si="6"/>
        <v/>
      </c>
      <c r="K119" s="29" t="str" cm="1">
        <f t="array" ref="K119">IFERROR([2]!CalculateHyphenString(J119),"")</f>
        <v/>
      </c>
      <c r="L119">
        <f t="shared" si="8"/>
        <v>798592</v>
      </c>
    </row>
    <row r="120" spans="1:12" x14ac:dyDescent="0.7">
      <c r="A120" s="3">
        <v>117</v>
      </c>
      <c r="D120" s="49" t="str">
        <f t="shared" si="7"/>
        <v>798592</v>
      </c>
      <c r="E120" s="14" t="str">
        <f>IFERROR(VLOOKUP($A120,TT,10,FALSE),"")</f>
        <v/>
      </c>
      <c r="F120" s="48" t="str" cm="1">
        <f t="array" ref="F120">IFERROR([1]!FeetConvert(E120),"")</f>
        <v/>
      </c>
      <c r="H120" s="29" t="str">
        <f>IFERROR(VLOOKUP(A120,T,1,FALSE),"")</f>
        <v/>
      </c>
      <c r="I120" s="29" t="str">
        <f t="shared" si="5"/>
        <v/>
      </c>
      <c r="J120" s="29" t="str">
        <f t="shared" si="6"/>
        <v/>
      </c>
      <c r="K120" s="29" t="str" cm="1">
        <f t="array" ref="K120">IFERROR([2]!CalculateHyphenString(J120),"")</f>
        <v/>
      </c>
      <c r="L120">
        <f t="shared" si="8"/>
        <v>798592</v>
      </c>
    </row>
    <row r="121" spans="1:12" x14ac:dyDescent="0.7">
      <c r="A121" s="3">
        <v>118</v>
      </c>
      <c r="D121" s="49" t="str">
        <f t="shared" si="7"/>
        <v>798592</v>
      </c>
      <c r="E121" s="14" t="str">
        <f>IFERROR(VLOOKUP($A121,TT,10,FALSE),"")</f>
        <v/>
      </c>
      <c r="F121" s="48" t="str" cm="1">
        <f t="array" ref="F121">IFERROR([1]!FeetConvert(E121),"")</f>
        <v/>
      </c>
      <c r="H121" s="29" t="str">
        <f>IFERROR(VLOOKUP(A121,T,1,FALSE),"")</f>
        <v/>
      </c>
      <c r="I121" s="29" t="str">
        <f t="shared" si="5"/>
        <v/>
      </c>
      <c r="J121" s="29" t="str">
        <f t="shared" si="6"/>
        <v/>
      </c>
      <c r="K121" s="29" t="str" cm="1">
        <f t="array" ref="K121">IFERROR([2]!CalculateHyphenString(J121),"")</f>
        <v/>
      </c>
      <c r="L121">
        <f t="shared" si="8"/>
        <v>798592</v>
      </c>
    </row>
    <row r="122" spans="1:12" x14ac:dyDescent="0.7">
      <c r="A122" s="3">
        <v>119</v>
      </c>
      <c r="D122" s="49" t="str">
        <f t="shared" si="7"/>
        <v>798592</v>
      </c>
      <c r="E122" s="14" t="str">
        <f>IFERROR(VLOOKUP($A122,TT,10,FALSE),"")</f>
        <v/>
      </c>
      <c r="F122" s="48" t="str" cm="1">
        <f t="array" ref="F122">IFERROR([1]!FeetConvert(E122),"")</f>
        <v/>
      </c>
      <c r="H122" s="29" t="str">
        <f>IFERROR(VLOOKUP(A122,T,1,FALSE),"")</f>
        <v/>
      </c>
      <c r="I122" s="29" t="str">
        <f t="shared" si="5"/>
        <v/>
      </c>
      <c r="J122" s="29" t="str">
        <f t="shared" si="6"/>
        <v/>
      </c>
      <c r="K122" s="29" t="str" cm="1">
        <f t="array" ref="K122">IFERROR([2]!CalculateHyphenString(J122),"")</f>
        <v/>
      </c>
      <c r="L122">
        <f t="shared" si="8"/>
        <v>798592</v>
      </c>
    </row>
    <row r="123" spans="1:12" x14ac:dyDescent="0.7">
      <c r="A123" s="3">
        <v>120</v>
      </c>
      <c r="D123" s="49" t="str">
        <f t="shared" si="7"/>
        <v>798592</v>
      </c>
      <c r="E123" s="14" t="str">
        <f>IFERROR(VLOOKUP($A123,TT,10,FALSE),"")</f>
        <v/>
      </c>
      <c r="F123" s="48" t="str" cm="1">
        <f t="array" ref="F123">IFERROR([1]!FeetConvert(E123),"")</f>
        <v/>
      </c>
      <c r="H123" s="29" t="str">
        <f>IFERROR(VLOOKUP(A123,T,1,FALSE),"")</f>
        <v/>
      </c>
      <c r="I123" s="29" t="str">
        <f t="shared" si="5"/>
        <v/>
      </c>
      <c r="J123" s="29" t="str">
        <f t="shared" si="6"/>
        <v/>
      </c>
      <c r="K123" s="29" t="str" cm="1">
        <f t="array" ref="K123">IFERROR([2]!CalculateHyphenString(J123),"")</f>
        <v/>
      </c>
      <c r="L123">
        <f t="shared" si="8"/>
        <v>798592</v>
      </c>
    </row>
    <row r="124" spans="1:12" x14ac:dyDescent="0.7">
      <c r="A124" s="3">
        <v>121</v>
      </c>
      <c r="D124" s="49" t="str">
        <f t="shared" si="7"/>
        <v>798592</v>
      </c>
      <c r="E124" s="14" t="str">
        <f>IFERROR(VLOOKUP($A124,TT,10,FALSE),"")</f>
        <v/>
      </c>
      <c r="F124" s="48" t="str" cm="1">
        <f t="array" ref="F124">IFERROR([1]!FeetConvert(E124),"")</f>
        <v/>
      </c>
      <c r="H124" s="29" t="str">
        <f>IFERROR(VLOOKUP(A124,T,1,FALSE),"")</f>
        <v/>
      </c>
      <c r="I124" s="29" t="str">
        <f t="shared" si="5"/>
        <v/>
      </c>
      <c r="J124" s="29" t="str">
        <f t="shared" si="6"/>
        <v/>
      </c>
      <c r="K124" s="29" t="str" cm="1">
        <f t="array" ref="K124">IFERROR([2]!CalculateHyphenString(J124),"")</f>
        <v/>
      </c>
      <c r="L124">
        <f t="shared" si="8"/>
        <v>798592</v>
      </c>
    </row>
    <row r="125" spans="1:12" x14ac:dyDescent="0.7">
      <c r="A125" s="3">
        <v>122</v>
      </c>
      <c r="D125" s="49" t="str">
        <f t="shared" si="7"/>
        <v>798592</v>
      </c>
      <c r="E125" s="14" t="str">
        <f>IFERROR(VLOOKUP($A125,TT,10,FALSE),"")</f>
        <v/>
      </c>
      <c r="F125" s="48" t="str" cm="1">
        <f t="array" ref="F125">IFERROR([1]!FeetConvert(E125),"")</f>
        <v/>
      </c>
      <c r="H125" s="29" t="str">
        <f>IFERROR(VLOOKUP(A125,T,1,FALSE),"")</f>
        <v/>
      </c>
      <c r="I125" s="29" t="str">
        <f t="shared" si="5"/>
        <v/>
      </c>
      <c r="J125" s="29" t="str">
        <f t="shared" si="6"/>
        <v/>
      </c>
      <c r="K125" s="29" t="str" cm="1">
        <f t="array" ref="K125">IFERROR([2]!CalculateHyphenString(J125),"")</f>
        <v/>
      </c>
      <c r="L125">
        <f t="shared" si="8"/>
        <v>798592</v>
      </c>
    </row>
    <row r="126" spans="1:12" x14ac:dyDescent="0.7">
      <c r="A126" s="3">
        <v>123</v>
      </c>
      <c r="D126" s="49" t="str">
        <f t="shared" si="7"/>
        <v>798592</v>
      </c>
      <c r="E126" s="14" t="str">
        <f>IFERROR(VLOOKUP($A126,TT,10,FALSE),"")</f>
        <v/>
      </c>
      <c r="F126" s="48" t="str" cm="1">
        <f t="array" ref="F126">IFERROR([1]!FeetConvert(E126),"")</f>
        <v/>
      </c>
      <c r="H126" s="29" t="str">
        <f>IFERROR(VLOOKUP(A126,T,1,FALSE),"")</f>
        <v/>
      </c>
      <c r="I126" s="29" t="str">
        <f t="shared" si="5"/>
        <v/>
      </c>
      <c r="J126" s="29" t="str">
        <f t="shared" si="6"/>
        <v/>
      </c>
      <c r="K126" s="29" t="str" cm="1">
        <f t="array" ref="K126">IFERROR([2]!CalculateHyphenString(J126),"")</f>
        <v/>
      </c>
      <c r="L126">
        <f t="shared" si="8"/>
        <v>798592</v>
      </c>
    </row>
    <row r="127" spans="1:12" x14ac:dyDescent="0.7">
      <c r="A127" s="3">
        <v>124</v>
      </c>
      <c r="D127" s="49" t="str">
        <f t="shared" si="7"/>
        <v>798592</v>
      </c>
      <c r="E127" s="14" t="str">
        <f>IFERROR(VLOOKUP($A127,TT,10,FALSE),"")</f>
        <v/>
      </c>
      <c r="F127" s="48" t="str" cm="1">
        <f t="array" ref="F127">IFERROR([1]!FeetConvert(E127),"")</f>
        <v/>
      </c>
      <c r="H127" s="29" t="str">
        <f>IFERROR(VLOOKUP(A127,T,1,FALSE),"")</f>
        <v/>
      </c>
      <c r="I127" s="29" t="str">
        <f t="shared" si="5"/>
        <v/>
      </c>
      <c r="J127" s="29" t="str">
        <f t="shared" si="6"/>
        <v/>
      </c>
      <c r="K127" s="29" t="str" cm="1">
        <f t="array" ref="K127">IFERROR([2]!CalculateHyphenString(J127),"")</f>
        <v/>
      </c>
      <c r="L127">
        <f t="shared" si="8"/>
        <v>798592</v>
      </c>
    </row>
    <row r="128" spans="1:12" x14ac:dyDescent="0.7">
      <c r="A128" s="3">
        <v>125</v>
      </c>
      <c r="D128" s="49" t="str">
        <f t="shared" si="7"/>
        <v>798592</v>
      </c>
      <c r="E128" s="14" t="str">
        <f>IFERROR(VLOOKUP($A128,TT,10,FALSE),"")</f>
        <v/>
      </c>
      <c r="F128" s="48" t="str" cm="1">
        <f t="array" ref="F128">IFERROR([1]!FeetConvert(E128),"")</f>
        <v/>
      </c>
      <c r="H128" s="29" t="str">
        <f>IFERROR(VLOOKUP(A128,T,1,FALSE),"")</f>
        <v/>
      </c>
      <c r="I128" s="29" t="str">
        <f t="shared" si="5"/>
        <v/>
      </c>
      <c r="J128" s="29" t="str">
        <f t="shared" si="6"/>
        <v/>
      </c>
      <c r="K128" s="29" t="str" cm="1">
        <f t="array" ref="K128">IFERROR([2]!CalculateHyphenString(J128),"")</f>
        <v/>
      </c>
      <c r="L128">
        <f t="shared" si="8"/>
        <v>798592</v>
      </c>
    </row>
    <row r="129" spans="1:12" x14ac:dyDescent="0.7">
      <c r="A129" s="3">
        <v>126</v>
      </c>
      <c r="D129" s="49" t="str">
        <f t="shared" si="7"/>
        <v>798592</v>
      </c>
      <c r="E129" s="14" t="str">
        <f>IFERROR(VLOOKUP($A129,TT,10,FALSE),"")</f>
        <v/>
      </c>
      <c r="F129" s="48" t="str" cm="1">
        <f t="array" ref="F129">IFERROR([1]!FeetConvert(E129),"")</f>
        <v/>
      </c>
      <c r="H129" s="29" t="str">
        <f>IFERROR(VLOOKUP(A129,T,1,FALSE),"")</f>
        <v/>
      </c>
      <c r="I129" s="29" t="str">
        <f t="shared" si="5"/>
        <v/>
      </c>
      <c r="J129" s="29" t="str">
        <f t="shared" si="6"/>
        <v/>
      </c>
      <c r="K129" s="29" t="str" cm="1">
        <f t="array" ref="K129">IFERROR([2]!CalculateHyphenString(J129),"")</f>
        <v/>
      </c>
      <c r="L129">
        <f t="shared" si="8"/>
        <v>798592</v>
      </c>
    </row>
    <row r="130" spans="1:12" x14ac:dyDescent="0.7">
      <c r="A130" s="3">
        <v>127</v>
      </c>
      <c r="D130" s="49" t="str">
        <f t="shared" si="7"/>
        <v>798592</v>
      </c>
      <c r="E130" s="14" t="str">
        <f>IFERROR(VLOOKUP($A130,TT,10,FALSE),"")</f>
        <v/>
      </c>
      <c r="F130" s="48" t="str" cm="1">
        <f t="array" ref="F130">IFERROR([1]!FeetConvert(E130),"")</f>
        <v/>
      </c>
      <c r="H130" s="29" t="str">
        <f>IFERROR(VLOOKUP(A130,T,1,FALSE),"")</f>
        <v/>
      </c>
      <c r="I130" s="29" t="str">
        <f t="shared" si="5"/>
        <v/>
      </c>
      <c r="J130" s="29" t="str">
        <f t="shared" si="6"/>
        <v/>
      </c>
      <c r="K130" s="29" t="str" cm="1">
        <f t="array" ref="K130">IFERROR([2]!CalculateHyphenString(J130),"")</f>
        <v/>
      </c>
      <c r="L130">
        <f t="shared" si="8"/>
        <v>798592</v>
      </c>
    </row>
    <row r="131" spans="1:12" x14ac:dyDescent="0.7">
      <c r="A131" s="3">
        <v>128</v>
      </c>
      <c r="D131" s="49" t="str">
        <f t="shared" si="7"/>
        <v>798592</v>
      </c>
      <c r="E131" s="14" t="str">
        <f>IFERROR(VLOOKUP($A131,TT,10,FALSE),"")</f>
        <v/>
      </c>
      <c r="F131" s="48" t="str" cm="1">
        <f t="array" ref="F131">IFERROR([1]!FeetConvert(E131),"")</f>
        <v/>
      </c>
      <c r="H131" s="29" t="str">
        <f>IFERROR(VLOOKUP(A131,T,1,FALSE),"")</f>
        <v/>
      </c>
      <c r="I131" s="29" t="str">
        <f t="shared" si="5"/>
        <v/>
      </c>
      <c r="J131" s="29" t="str">
        <f t="shared" si="6"/>
        <v/>
      </c>
      <c r="K131" s="29" t="str" cm="1">
        <f t="array" ref="K131">IFERROR([2]!CalculateHyphenString(J131),"")</f>
        <v/>
      </c>
      <c r="L131">
        <f t="shared" si="8"/>
        <v>798592</v>
      </c>
    </row>
    <row r="132" spans="1:12" x14ac:dyDescent="0.7">
      <c r="A132" s="3">
        <v>129</v>
      </c>
      <c r="D132" s="49" t="str">
        <f t="shared" si="7"/>
        <v>798592</v>
      </c>
      <c r="E132" s="14" t="str">
        <f>IFERROR(VLOOKUP($A132,TT,10,FALSE),"")</f>
        <v/>
      </c>
      <c r="F132" s="48" t="str" cm="1">
        <f t="array" ref="F132">IFERROR([1]!FeetConvert(E132),"")</f>
        <v/>
      </c>
      <c r="H132" s="29" t="str">
        <f>IFERROR(VLOOKUP(A132,T,1,FALSE),"")</f>
        <v/>
      </c>
      <c r="I132" s="29" t="str">
        <f t="shared" ref="I132:I195" si="9">IFERROR(VLOOKUP(A132,T,2,FALSE),"")</f>
        <v/>
      </c>
      <c r="J132" s="29" t="str">
        <f t="shared" ref="J132:J195" si="10">IFERROR(VLOOKUP(A132,T,3,FALSE),"")</f>
        <v/>
      </c>
      <c r="K132" s="29" t="str" cm="1">
        <f t="array" ref="K132">IFERROR([2]!CalculateHyphenString(J132),"")</f>
        <v/>
      </c>
      <c r="L132">
        <f t="shared" si="8"/>
        <v>798592</v>
      </c>
    </row>
    <row r="133" spans="1:12" x14ac:dyDescent="0.7">
      <c r="A133" s="3">
        <v>130</v>
      </c>
      <c r="D133" s="49" t="str">
        <f t="shared" ref="D133:D196" si="11">_xlfn.TEXTJOIN("/",TRUE,E133,L133)</f>
        <v>798592</v>
      </c>
      <c r="E133" s="14" t="str">
        <f>IFERROR(VLOOKUP($A133,TT,10,FALSE),"")</f>
        <v/>
      </c>
      <c r="F133" s="48" t="str" cm="1">
        <f t="array" ref="F133">IFERROR([1]!FeetConvert(E133),"")</f>
        <v/>
      </c>
      <c r="H133" s="29" t="str">
        <f>IFERROR(VLOOKUP(A133,T,1,FALSE),"")</f>
        <v/>
      </c>
      <c r="I133" s="29" t="str">
        <f t="shared" si="9"/>
        <v/>
      </c>
      <c r="J133" s="29" t="str">
        <f t="shared" si="10"/>
        <v/>
      </c>
      <c r="K133" s="29" t="str" cm="1">
        <f t="array" ref="K133">IFERROR([2]!CalculateHyphenString(J133),"")</f>
        <v/>
      </c>
      <c r="L133">
        <f t="shared" ref="L133:L196" si="12">$E$2</f>
        <v>798592</v>
      </c>
    </row>
    <row r="134" spans="1:12" x14ac:dyDescent="0.7">
      <c r="A134" s="3">
        <v>131</v>
      </c>
      <c r="D134" s="49" t="str">
        <f t="shared" si="11"/>
        <v>798592</v>
      </c>
      <c r="E134" s="14" t="str">
        <f>IFERROR(VLOOKUP($A134,TT,10,FALSE),"")</f>
        <v/>
      </c>
      <c r="F134" s="48" t="str" cm="1">
        <f t="array" ref="F134">IFERROR([1]!FeetConvert(E134),"")</f>
        <v/>
      </c>
      <c r="H134" s="29" t="str">
        <f>IFERROR(VLOOKUP(A134,T,1,FALSE),"")</f>
        <v/>
      </c>
      <c r="I134" s="29" t="str">
        <f t="shared" si="9"/>
        <v/>
      </c>
      <c r="J134" s="29" t="str">
        <f t="shared" si="10"/>
        <v/>
      </c>
      <c r="K134" s="29" t="str" cm="1">
        <f t="array" ref="K134">IFERROR([2]!CalculateHyphenString(J134),"")</f>
        <v/>
      </c>
      <c r="L134">
        <f t="shared" si="12"/>
        <v>798592</v>
      </c>
    </row>
    <row r="135" spans="1:12" x14ac:dyDescent="0.7">
      <c r="A135" s="3">
        <v>132</v>
      </c>
      <c r="D135" s="49" t="str">
        <f t="shared" si="11"/>
        <v>798592</v>
      </c>
      <c r="E135" s="14" t="str">
        <f>IFERROR(VLOOKUP($A135,TT,10,FALSE),"")</f>
        <v/>
      </c>
      <c r="F135" s="48" t="str" cm="1">
        <f t="array" ref="F135">IFERROR([1]!FeetConvert(E135),"")</f>
        <v/>
      </c>
      <c r="H135" s="29" t="str">
        <f>IFERROR(VLOOKUP(A135,T,1,FALSE),"")</f>
        <v/>
      </c>
      <c r="I135" s="29" t="str">
        <f t="shared" si="9"/>
        <v/>
      </c>
      <c r="J135" s="29" t="str">
        <f t="shared" si="10"/>
        <v/>
      </c>
      <c r="K135" s="29" t="str" cm="1">
        <f t="array" ref="K135">IFERROR([2]!CalculateHyphenString(J135),"")</f>
        <v/>
      </c>
      <c r="L135">
        <f t="shared" si="12"/>
        <v>798592</v>
      </c>
    </row>
    <row r="136" spans="1:12" x14ac:dyDescent="0.7">
      <c r="A136" s="3">
        <v>133</v>
      </c>
      <c r="D136" s="49" t="str">
        <f t="shared" si="11"/>
        <v>798592</v>
      </c>
      <c r="E136" s="14" t="str">
        <f>IFERROR(VLOOKUP($A136,TT,10,FALSE),"")</f>
        <v/>
      </c>
      <c r="F136" s="48" t="str" cm="1">
        <f t="array" ref="F136">IFERROR([1]!FeetConvert(E136),"")</f>
        <v/>
      </c>
      <c r="H136" s="29" t="str">
        <f>IFERROR(VLOOKUP(A136,T,1,FALSE),"")</f>
        <v/>
      </c>
      <c r="I136" s="29" t="str">
        <f t="shared" si="9"/>
        <v/>
      </c>
      <c r="J136" s="29" t="str">
        <f t="shared" si="10"/>
        <v/>
      </c>
      <c r="K136" s="29" t="str" cm="1">
        <f t="array" ref="K136">IFERROR([2]!CalculateHyphenString(J136),"")</f>
        <v/>
      </c>
      <c r="L136">
        <f t="shared" si="12"/>
        <v>798592</v>
      </c>
    </row>
    <row r="137" spans="1:12" x14ac:dyDescent="0.7">
      <c r="A137" s="3">
        <v>134</v>
      </c>
      <c r="D137" s="49" t="str">
        <f t="shared" si="11"/>
        <v>798592</v>
      </c>
      <c r="E137" s="14" t="str">
        <f>IFERROR(VLOOKUP($A137,TT,10,FALSE),"")</f>
        <v/>
      </c>
      <c r="F137" s="48" t="str" cm="1">
        <f t="array" ref="F137">IFERROR([1]!FeetConvert(E137),"")</f>
        <v/>
      </c>
      <c r="H137" s="29" t="str">
        <f>IFERROR(VLOOKUP(A137,T,1,FALSE),"")</f>
        <v/>
      </c>
      <c r="I137" s="29" t="str">
        <f t="shared" si="9"/>
        <v/>
      </c>
      <c r="J137" s="29" t="str">
        <f t="shared" si="10"/>
        <v/>
      </c>
      <c r="K137" s="29" t="str" cm="1">
        <f t="array" ref="K137">IFERROR([2]!CalculateHyphenString(J137),"")</f>
        <v/>
      </c>
      <c r="L137">
        <f t="shared" si="12"/>
        <v>798592</v>
      </c>
    </row>
    <row r="138" spans="1:12" x14ac:dyDescent="0.7">
      <c r="A138" s="3">
        <v>135</v>
      </c>
      <c r="D138" s="49" t="str">
        <f t="shared" si="11"/>
        <v>798592</v>
      </c>
      <c r="E138" s="14" t="str">
        <f>IFERROR(VLOOKUP($A138,TT,10,FALSE),"")</f>
        <v/>
      </c>
      <c r="F138" s="48" t="str" cm="1">
        <f t="array" ref="F138">IFERROR([1]!FeetConvert(E138),"")</f>
        <v/>
      </c>
      <c r="H138" s="29" t="str">
        <f>IFERROR(VLOOKUP(A138,T,1,FALSE),"")</f>
        <v/>
      </c>
      <c r="I138" s="29" t="str">
        <f t="shared" si="9"/>
        <v/>
      </c>
      <c r="J138" s="29" t="str">
        <f t="shared" si="10"/>
        <v/>
      </c>
      <c r="K138" s="29" t="str" cm="1">
        <f t="array" ref="K138">IFERROR([2]!CalculateHyphenString(J138),"")</f>
        <v/>
      </c>
      <c r="L138">
        <f t="shared" si="12"/>
        <v>798592</v>
      </c>
    </row>
    <row r="139" spans="1:12" x14ac:dyDescent="0.7">
      <c r="A139" s="3">
        <v>136</v>
      </c>
      <c r="D139" s="49" t="str">
        <f t="shared" si="11"/>
        <v>798592</v>
      </c>
      <c r="E139" s="14" t="str">
        <f>IFERROR(VLOOKUP($A139,TT,10,FALSE),"")</f>
        <v/>
      </c>
      <c r="F139" s="48" t="str" cm="1">
        <f t="array" ref="F139">IFERROR([1]!FeetConvert(E139),"")</f>
        <v/>
      </c>
      <c r="H139" s="29" t="str">
        <f>IFERROR(VLOOKUP(A139,T,1,FALSE),"")</f>
        <v/>
      </c>
      <c r="I139" s="29" t="str">
        <f t="shared" si="9"/>
        <v/>
      </c>
      <c r="J139" s="29" t="str">
        <f t="shared" si="10"/>
        <v/>
      </c>
      <c r="K139" s="29" t="str" cm="1">
        <f t="array" ref="K139">IFERROR([2]!CalculateHyphenString(J139),"")</f>
        <v/>
      </c>
      <c r="L139">
        <f t="shared" si="12"/>
        <v>798592</v>
      </c>
    </row>
    <row r="140" spans="1:12" x14ac:dyDescent="0.7">
      <c r="A140" s="3">
        <v>137</v>
      </c>
      <c r="D140" s="49" t="str">
        <f t="shared" si="11"/>
        <v>798592</v>
      </c>
      <c r="E140" s="14" t="str">
        <f>IFERROR(VLOOKUP($A140,TT,10,FALSE),"")</f>
        <v/>
      </c>
      <c r="F140" s="48" t="str" cm="1">
        <f t="array" ref="F140">IFERROR([1]!FeetConvert(E140),"")</f>
        <v/>
      </c>
      <c r="H140" s="29" t="str">
        <f>IFERROR(VLOOKUP(A140,T,1,FALSE),"")</f>
        <v/>
      </c>
      <c r="I140" s="29" t="str">
        <f t="shared" si="9"/>
        <v/>
      </c>
      <c r="J140" s="29" t="str">
        <f t="shared" si="10"/>
        <v/>
      </c>
      <c r="K140" s="29" t="str" cm="1">
        <f t="array" ref="K140">IFERROR([2]!CalculateHyphenString(J140),"")</f>
        <v/>
      </c>
      <c r="L140">
        <f t="shared" si="12"/>
        <v>798592</v>
      </c>
    </row>
    <row r="141" spans="1:12" x14ac:dyDescent="0.7">
      <c r="A141" s="3">
        <v>138</v>
      </c>
      <c r="D141" s="49" t="str">
        <f t="shared" si="11"/>
        <v>798592</v>
      </c>
      <c r="E141" s="14" t="str">
        <f>IFERROR(VLOOKUP($A141,TT,10,FALSE),"")</f>
        <v/>
      </c>
      <c r="F141" s="48" t="str" cm="1">
        <f t="array" ref="F141">IFERROR([1]!FeetConvert(E141),"")</f>
        <v/>
      </c>
      <c r="H141" s="29" t="str">
        <f>IFERROR(VLOOKUP(A141,T,1,FALSE),"")</f>
        <v/>
      </c>
      <c r="I141" s="29" t="str">
        <f t="shared" si="9"/>
        <v/>
      </c>
      <c r="J141" s="29" t="str">
        <f t="shared" si="10"/>
        <v/>
      </c>
      <c r="K141" s="29" t="str" cm="1">
        <f t="array" ref="K141">IFERROR([2]!CalculateHyphenString(J141),"")</f>
        <v/>
      </c>
      <c r="L141">
        <f t="shared" si="12"/>
        <v>798592</v>
      </c>
    </row>
    <row r="142" spans="1:12" x14ac:dyDescent="0.7">
      <c r="A142" s="3">
        <v>139</v>
      </c>
      <c r="D142" s="49" t="str">
        <f t="shared" si="11"/>
        <v>798592</v>
      </c>
      <c r="E142" s="14" t="str">
        <f>IFERROR(VLOOKUP($A142,TT,10,FALSE),"")</f>
        <v/>
      </c>
      <c r="F142" s="48" t="str" cm="1">
        <f t="array" ref="F142">IFERROR([1]!FeetConvert(E142),"")</f>
        <v/>
      </c>
      <c r="H142" s="29" t="str">
        <f>IFERROR(VLOOKUP(A142,T,1,FALSE),"")</f>
        <v/>
      </c>
      <c r="I142" s="29" t="str">
        <f t="shared" si="9"/>
        <v/>
      </c>
      <c r="J142" s="29" t="str">
        <f t="shared" si="10"/>
        <v/>
      </c>
      <c r="K142" s="29" t="str" cm="1">
        <f t="array" ref="K142">IFERROR([2]!CalculateHyphenString(J142),"")</f>
        <v/>
      </c>
      <c r="L142">
        <f t="shared" si="12"/>
        <v>798592</v>
      </c>
    </row>
    <row r="143" spans="1:12" x14ac:dyDescent="0.7">
      <c r="A143" s="3">
        <v>140</v>
      </c>
      <c r="D143" s="49" t="str">
        <f t="shared" si="11"/>
        <v>798592</v>
      </c>
      <c r="E143" s="14" t="str">
        <f>IFERROR(VLOOKUP($A143,TT,10,FALSE),"")</f>
        <v/>
      </c>
      <c r="F143" s="48" t="str" cm="1">
        <f t="array" ref="F143">IFERROR([1]!FeetConvert(E143),"")</f>
        <v/>
      </c>
      <c r="H143" s="29" t="str">
        <f>IFERROR(VLOOKUP(A143,T,1,FALSE),"")</f>
        <v/>
      </c>
      <c r="I143" s="29" t="str">
        <f t="shared" si="9"/>
        <v/>
      </c>
      <c r="J143" s="29" t="str">
        <f t="shared" si="10"/>
        <v/>
      </c>
      <c r="K143" s="29" t="str" cm="1">
        <f t="array" ref="K143">IFERROR([2]!CalculateHyphenString(J143),"")</f>
        <v/>
      </c>
      <c r="L143">
        <f t="shared" si="12"/>
        <v>798592</v>
      </c>
    </row>
    <row r="144" spans="1:12" x14ac:dyDescent="0.7">
      <c r="A144" s="3">
        <v>141</v>
      </c>
      <c r="D144" s="49" t="str">
        <f t="shared" si="11"/>
        <v>798592</v>
      </c>
      <c r="E144" s="14" t="str">
        <f>IFERROR(VLOOKUP($A144,TT,10,FALSE),"")</f>
        <v/>
      </c>
      <c r="F144" s="48" t="str" cm="1">
        <f t="array" ref="F144">IFERROR([1]!FeetConvert(E144),"")</f>
        <v/>
      </c>
      <c r="H144" s="29" t="str">
        <f>IFERROR(VLOOKUP(A144,T,1,FALSE),"")</f>
        <v/>
      </c>
      <c r="I144" s="29" t="str">
        <f t="shared" si="9"/>
        <v/>
      </c>
      <c r="J144" s="29" t="str">
        <f t="shared" si="10"/>
        <v/>
      </c>
      <c r="K144" s="29" t="str" cm="1">
        <f t="array" ref="K144">IFERROR([2]!CalculateHyphenString(J144),"")</f>
        <v/>
      </c>
      <c r="L144">
        <f t="shared" si="12"/>
        <v>798592</v>
      </c>
    </row>
    <row r="145" spans="1:12" x14ac:dyDescent="0.7">
      <c r="A145" s="3">
        <v>142</v>
      </c>
      <c r="D145" s="49" t="str">
        <f t="shared" si="11"/>
        <v>798592</v>
      </c>
      <c r="E145" s="14" t="str">
        <f>IFERROR(VLOOKUP($A145,TT,10,FALSE),"")</f>
        <v/>
      </c>
      <c r="F145" s="48" t="str" cm="1">
        <f t="array" ref="F145">IFERROR([1]!FeetConvert(E145),"")</f>
        <v/>
      </c>
      <c r="H145" s="29" t="str">
        <f>IFERROR(VLOOKUP(A145,T,1,FALSE),"")</f>
        <v/>
      </c>
      <c r="I145" s="29" t="str">
        <f t="shared" si="9"/>
        <v/>
      </c>
      <c r="J145" s="29" t="str">
        <f t="shared" si="10"/>
        <v/>
      </c>
      <c r="K145" s="29" t="str" cm="1">
        <f t="array" ref="K145">IFERROR([2]!CalculateHyphenString(J145),"")</f>
        <v/>
      </c>
      <c r="L145">
        <f t="shared" si="12"/>
        <v>798592</v>
      </c>
    </row>
    <row r="146" spans="1:12" x14ac:dyDescent="0.7">
      <c r="A146" s="3">
        <v>143</v>
      </c>
      <c r="D146" s="49" t="str">
        <f t="shared" si="11"/>
        <v>798592</v>
      </c>
      <c r="E146" s="14" t="str">
        <f>IFERROR(VLOOKUP($A146,TT,10,FALSE),"")</f>
        <v/>
      </c>
      <c r="F146" s="48" t="str" cm="1">
        <f t="array" ref="F146">IFERROR([1]!FeetConvert(E146),"")</f>
        <v/>
      </c>
      <c r="H146" s="29" t="str">
        <f>IFERROR(VLOOKUP(A146,T,1,FALSE),"")</f>
        <v/>
      </c>
      <c r="I146" s="29" t="str">
        <f t="shared" si="9"/>
        <v/>
      </c>
      <c r="J146" s="29" t="str">
        <f t="shared" si="10"/>
        <v/>
      </c>
      <c r="K146" s="29" t="str" cm="1">
        <f t="array" ref="K146">IFERROR([2]!CalculateHyphenString(J146),"")</f>
        <v/>
      </c>
      <c r="L146">
        <f t="shared" si="12"/>
        <v>798592</v>
      </c>
    </row>
    <row r="147" spans="1:12" x14ac:dyDescent="0.7">
      <c r="A147" s="3">
        <v>144</v>
      </c>
      <c r="D147" s="49" t="str">
        <f t="shared" si="11"/>
        <v>798592</v>
      </c>
      <c r="E147" s="14" t="str">
        <f>IFERROR(VLOOKUP($A147,TT,10,FALSE),"")</f>
        <v/>
      </c>
      <c r="F147" s="48" t="str" cm="1">
        <f t="array" ref="F147">IFERROR([1]!FeetConvert(E147),"")</f>
        <v/>
      </c>
      <c r="H147" s="29" t="str">
        <f>IFERROR(VLOOKUP(A147,T,1,FALSE),"")</f>
        <v/>
      </c>
      <c r="I147" s="29" t="str">
        <f t="shared" si="9"/>
        <v/>
      </c>
      <c r="J147" s="29" t="str">
        <f t="shared" si="10"/>
        <v/>
      </c>
      <c r="K147" s="29" t="str" cm="1">
        <f t="array" ref="K147">IFERROR([2]!CalculateHyphenString(J147),"")</f>
        <v/>
      </c>
      <c r="L147">
        <f t="shared" si="12"/>
        <v>798592</v>
      </c>
    </row>
    <row r="148" spans="1:12" x14ac:dyDescent="0.7">
      <c r="A148" s="3">
        <v>145</v>
      </c>
      <c r="D148" s="49" t="str">
        <f t="shared" si="11"/>
        <v>798592</v>
      </c>
      <c r="E148" s="14" t="str">
        <f>IFERROR(VLOOKUP($A148,TT,10,FALSE),"")</f>
        <v/>
      </c>
      <c r="F148" s="48" t="str" cm="1">
        <f t="array" ref="F148">IFERROR([1]!FeetConvert(E148),"")</f>
        <v/>
      </c>
      <c r="H148" s="29" t="str">
        <f>IFERROR(VLOOKUP(A148,T,1,FALSE),"")</f>
        <v/>
      </c>
      <c r="I148" s="29" t="str">
        <f t="shared" si="9"/>
        <v/>
      </c>
      <c r="J148" s="29" t="str">
        <f t="shared" si="10"/>
        <v/>
      </c>
      <c r="K148" s="29" t="str" cm="1">
        <f t="array" ref="K148">IFERROR([2]!CalculateHyphenString(J148),"")</f>
        <v/>
      </c>
      <c r="L148">
        <f t="shared" si="12"/>
        <v>798592</v>
      </c>
    </row>
    <row r="149" spans="1:12" x14ac:dyDescent="0.7">
      <c r="A149" s="3">
        <v>146</v>
      </c>
      <c r="D149" s="49" t="str">
        <f t="shared" si="11"/>
        <v>798592</v>
      </c>
      <c r="E149" s="14" t="str">
        <f>IFERROR(VLOOKUP($A149,TT,10,FALSE),"")</f>
        <v/>
      </c>
      <c r="F149" s="48" t="str" cm="1">
        <f t="array" ref="F149">IFERROR([1]!FeetConvert(E149),"")</f>
        <v/>
      </c>
      <c r="H149" s="29" t="str">
        <f>IFERROR(VLOOKUP(A149,T,1,FALSE),"")</f>
        <v/>
      </c>
      <c r="I149" s="29" t="str">
        <f t="shared" si="9"/>
        <v/>
      </c>
      <c r="J149" s="29" t="str">
        <f t="shared" si="10"/>
        <v/>
      </c>
      <c r="K149" s="29" t="str" cm="1">
        <f t="array" ref="K149">IFERROR([2]!CalculateHyphenString(J149),"")</f>
        <v/>
      </c>
      <c r="L149">
        <f t="shared" si="12"/>
        <v>798592</v>
      </c>
    </row>
    <row r="150" spans="1:12" x14ac:dyDescent="0.7">
      <c r="A150" s="3">
        <v>147</v>
      </c>
      <c r="D150" s="49" t="str">
        <f t="shared" si="11"/>
        <v>798592</v>
      </c>
      <c r="E150" s="14" t="str">
        <f>IFERROR(VLOOKUP($A150,TT,10,FALSE),"")</f>
        <v/>
      </c>
      <c r="F150" s="48" t="str" cm="1">
        <f t="array" ref="F150">IFERROR([1]!FeetConvert(E150),"")</f>
        <v/>
      </c>
      <c r="H150" s="29" t="str">
        <f>IFERROR(VLOOKUP(A150,T,1,FALSE),"")</f>
        <v/>
      </c>
      <c r="I150" s="29" t="str">
        <f t="shared" si="9"/>
        <v/>
      </c>
      <c r="J150" s="29" t="str">
        <f t="shared" si="10"/>
        <v/>
      </c>
      <c r="K150" s="29" t="str" cm="1">
        <f t="array" ref="K150">IFERROR([2]!CalculateHyphenString(J150),"")</f>
        <v/>
      </c>
      <c r="L150">
        <f t="shared" si="12"/>
        <v>798592</v>
      </c>
    </row>
    <row r="151" spans="1:12" x14ac:dyDescent="0.7">
      <c r="A151" s="3">
        <v>148</v>
      </c>
      <c r="D151" s="49" t="str">
        <f t="shared" si="11"/>
        <v>798592</v>
      </c>
      <c r="E151" s="14" t="str">
        <f>IFERROR(VLOOKUP($A151,TT,10,FALSE),"")</f>
        <v/>
      </c>
      <c r="F151" s="48" t="str" cm="1">
        <f t="array" ref="F151">IFERROR([1]!FeetConvert(E151),"")</f>
        <v/>
      </c>
      <c r="H151" s="29" t="str">
        <f>IFERROR(VLOOKUP(A151,T,1,FALSE),"")</f>
        <v/>
      </c>
      <c r="I151" s="29" t="str">
        <f t="shared" si="9"/>
        <v/>
      </c>
      <c r="J151" s="29" t="str">
        <f t="shared" si="10"/>
        <v/>
      </c>
      <c r="K151" s="29" t="str" cm="1">
        <f t="array" ref="K151">IFERROR([2]!CalculateHyphenString(J151),"")</f>
        <v/>
      </c>
      <c r="L151">
        <f t="shared" si="12"/>
        <v>798592</v>
      </c>
    </row>
    <row r="152" spans="1:12" x14ac:dyDescent="0.7">
      <c r="A152" s="3">
        <v>149</v>
      </c>
      <c r="D152" s="49" t="str">
        <f t="shared" si="11"/>
        <v>798592</v>
      </c>
      <c r="E152" s="14" t="str">
        <f>IFERROR(VLOOKUP($A152,TT,10,FALSE),"")</f>
        <v/>
      </c>
      <c r="F152" s="48" t="str" cm="1">
        <f t="array" ref="F152">IFERROR([1]!FeetConvert(E152),"")</f>
        <v/>
      </c>
      <c r="H152" s="29" t="str">
        <f>IFERROR(VLOOKUP(A152,T,1,FALSE),"")</f>
        <v/>
      </c>
      <c r="I152" s="29" t="str">
        <f t="shared" si="9"/>
        <v/>
      </c>
      <c r="J152" s="29" t="str">
        <f t="shared" si="10"/>
        <v/>
      </c>
      <c r="K152" s="29" t="str" cm="1">
        <f t="array" ref="K152">IFERROR([2]!CalculateHyphenString(J152),"")</f>
        <v/>
      </c>
      <c r="L152">
        <f t="shared" si="12"/>
        <v>798592</v>
      </c>
    </row>
    <row r="153" spans="1:12" x14ac:dyDescent="0.7">
      <c r="A153" s="3">
        <v>150</v>
      </c>
      <c r="D153" s="49" t="str">
        <f t="shared" si="11"/>
        <v>798592</v>
      </c>
      <c r="E153" s="14" t="str">
        <f>IFERROR(VLOOKUP($A153,TT,10,FALSE),"")</f>
        <v/>
      </c>
      <c r="F153" s="48" t="str" cm="1">
        <f t="array" ref="F153">IFERROR([1]!FeetConvert(E153),"")</f>
        <v/>
      </c>
      <c r="H153" s="29" t="str">
        <f>IFERROR(VLOOKUP(A153,T,1,FALSE),"")</f>
        <v/>
      </c>
      <c r="I153" s="29" t="str">
        <f t="shared" si="9"/>
        <v/>
      </c>
      <c r="J153" s="29" t="str">
        <f t="shared" si="10"/>
        <v/>
      </c>
      <c r="K153" s="29" t="str" cm="1">
        <f t="array" ref="K153">IFERROR([2]!CalculateHyphenString(J153),"")</f>
        <v/>
      </c>
      <c r="L153">
        <f t="shared" si="12"/>
        <v>798592</v>
      </c>
    </row>
    <row r="154" spans="1:12" x14ac:dyDescent="0.7">
      <c r="A154" s="3">
        <v>151</v>
      </c>
      <c r="D154" s="49" t="str">
        <f t="shared" si="11"/>
        <v>798592</v>
      </c>
      <c r="E154" s="14" t="str">
        <f>IFERROR(VLOOKUP($A154,TT,10,FALSE),"")</f>
        <v/>
      </c>
      <c r="F154" s="48" t="str" cm="1">
        <f t="array" ref="F154">IFERROR([1]!FeetConvert(E154),"")</f>
        <v/>
      </c>
      <c r="H154" s="29" t="str">
        <f>IFERROR(VLOOKUP(A154,T,1,FALSE),"")</f>
        <v/>
      </c>
      <c r="I154" s="29" t="str">
        <f t="shared" si="9"/>
        <v/>
      </c>
      <c r="J154" s="29" t="str">
        <f t="shared" si="10"/>
        <v/>
      </c>
      <c r="K154" s="29" t="str" cm="1">
        <f t="array" ref="K154">IFERROR([2]!CalculateHyphenString(J154),"")</f>
        <v/>
      </c>
      <c r="L154">
        <f t="shared" si="12"/>
        <v>798592</v>
      </c>
    </row>
    <row r="155" spans="1:12" x14ac:dyDescent="0.7">
      <c r="A155" s="3">
        <v>152</v>
      </c>
      <c r="D155" s="49" t="str">
        <f t="shared" si="11"/>
        <v>798592</v>
      </c>
      <c r="E155" s="14" t="str">
        <f>IFERROR(VLOOKUP($A155,TT,10,FALSE),"")</f>
        <v/>
      </c>
      <c r="F155" s="48" t="str" cm="1">
        <f t="array" ref="F155">IFERROR([1]!FeetConvert(E155),"")</f>
        <v/>
      </c>
      <c r="H155" s="29" t="str">
        <f>IFERROR(VLOOKUP(A155,T,1,FALSE),"")</f>
        <v/>
      </c>
      <c r="I155" s="29" t="str">
        <f t="shared" si="9"/>
        <v/>
      </c>
      <c r="J155" s="29" t="str">
        <f t="shared" si="10"/>
        <v/>
      </c>
      <c r="K155" s="29" t="str" cm="1">
        <f t="array" ref="K155">IFERROR([2]!CalculateHyphenString(J155),"")</f>
        <v/>
      </c>
      <c r="L155">
        <f t="shared" si="12"/>
        <v>798592</v>
      </c>
    </row>
    <row r="156" spans="1:12" x14ac:dyDescent="0.7">
      <c r="A156" s="3">
        <v>153</v>
      </c>
      <c r="D156" s="49" t="str">
        <f t="shared" si="11"/>
        <v>798592</v>
      </c>
      <c r="E156" s="14" t="str">
        <f>IFERROR(VLOOKUP($A156,TT,10,FALSE),"")</f>
        <v/>
      </c>
      <c r="F156" s="48" t="str" cm="1">
        <f t="array" ref="F156">IFERROR([1]!FeetConvert(E156),"")</f>
        <v/>
      </c>
      <c r="H156" s="29" t="str">
        <f>IFERROR(VLOOKUP(A156,T,1,FALSE),"")</f>
        <v/>
      </c>
      <c r="I156" s="29" t="str">
        <f t="shared" si="9"/>
        <v/>
      </c>
      <c r="J156" s="29" t="str">
        <f t="shared" si="10"/>
        <v/>
      </c>
      <c r="K156" s="29" t="str" cm="1">
        <f t="array" ref="K156">IFERROR([2]!CalculateHyphenString(J156),"")</f>
        <v/>
      </c>
      <c r="L156">
        <f t="shared" si="12"/>
        <v>798592</v>
      </c>
    </row>
    <row r="157" spans="1:12" x14ac:dyDescent="0.7">
      <c r="A157" s="3">
        <v>154</v>
      </c>
      <c r="D157" s="49" t="str">
        <f t="shared" si="11"/>
        <v>798592</v>
      </c>
      <c r="E157" s="14" t="str">
        <f>IFERROR(VLOOKUP($A157,TT,10,FALSE),"")</f>
        <v/>
      </c>
      <c r="F157" s="48" t="str" cm="1">
        <f t="array" ref="F157">IFERROR([1]!FeetConvert(E157),"")</f>
        <v/>
      </c>
      <c r="H157" s="29" t="str">
        <f>IFERROR(VLOOKUP(A157,T,1,FALSE),"")</f>
        <v/>
      </c>
      <c r="I157" s="29" t="str">
        <f t="shared" si="9"/>
        <v/>
      </c>
      <c r="J157" s="29" t="str">
        <f t="shared" si="10"/>
        <v/>
      </c>
      <c r="K157" s="29" t="str" cm="1">
        <f t="array" ref="K157">IFERROR([2]!CalculateHyphenString(J157),"")</f>
        <v/>
      </c>
      <c r="L157">
        <f t="shared" si="12"/>
        <v>798592</v>
      </c>
    </row>
    <row r="158" spans="1:12" x14ac:dyDescent="0.7">
      <c r="A158" s="3">
        <v>155</v>
      </c>
      <c r="D158" s="49" t="str">
        <f t="shared" si="11"/>
        <v>798592</v>
      </c>
      <c r="E158" s="14" t="str">
        <f>IFERROR(VLOOKUP($A158,TT,10,FALSE),"")</f>
        <v/>
      </c>
      <c r="F158" s="48" t="str" cm="1">
        <f t="array" ref="F158">IFERROR([1]!FeetConvert(E158),"")</f>
        <v/>
      </c>
      <c r="H158" s="29" t="str">
        <f>IFERROR(VLOOKUP(A158,T,1,FALSE),"")</f>
        <v/>
      </c>
      <c r="I158" s="29" t="str">
        <f t="shared" si="9"/>
        <v/>
      </c>
      <c r="J158" s="29" t="str">
        <f t="shared" si="10"/>
        <v/>
      </c>
      <c r="K158" s="29" t="str" cm="1">
        <f t="array" ref="K158">IFERROR([2]!CalculateHyphenString(J158),"")</f>
        <v/>
      </c>
      <c r="L158">
        <f t="shared" si="12"/>
        <v>798592</v>
      </c>
    </row>
    <row r="159" spans="1:12" x14ac:dyDescent="0.7">
      <c r="A159" s="3">
        <v>156</v>
      </c>
      <c r="D159" s="49" t="str">
        <f t="shared" si="11"/>
        <v>798592</v>
      </c>
      <c r="E159" s="14" t="str">
        <f>IFERROR(VLOOKUP($A159,TT,10,FALSE),"")</f>
        <v/>
      </c>
      <c r="F159" s="48" t="str" cm="1">
        <f t="array" ref="F159">IFERROR([1]!FeetConvert(E159),"")</f>
        <v/>
      </c>
      <c r="H159" s="29" t="str">
        <f>IFERROR(VLOOKUP(A159,T,1,FALSE),"")</f>
        <v/>
      </c>
      <c r="I159" s="29" t="str">
        <f t="shared" si="9"/>
        <v/>
      </c>
      <c r="J159" s="29" t="str">
        <f t="shared" si="10"/>
        <v/>
      </c>
      <c r="K159" s="29" t="str" cm="1">
        <f t="array" ref="K159">IFERROR([2]!CalculateHyphenString(J159),"")</f>
        <v/>
      </c>
      <c r="L159">
        <f t="shared" si="12"/>
        <v>798592</v>
      </c>
    </row>
    <row r="160" spans="1:12" x14ac:dyDescent="0.7">
      <c r="A160" s="3">
        <v>157</v>
      </c>
      <c r="D160" s="49" t="str">
        <f t="shared" si="11"/>
        <v>798592</v>
      </c>
      <c r="E160" s="14" t="str">
        <f>IFERROR(VLOOKUP($A160,TT,10,FALSE),"")</f>
        <v/>
      </c>
      <c r="F160" s="48" t="str" cm="1">
        <f t="array" ref="F160">IFERROR([1]!FeetConvert(E160),"")</f>
        <v/>
      </c>
      <c r="H160" s="29" t="str">
        <f>IFERROR(VLOOKUP(A160,T,1,FALSE),"")</f>
        <v/>
      </c>
      <c r="I160" s="29" t="str">
        <f t="shared" si="9"/>
        <v/>
      </c>
      <c r="J160" s="29" t="str">
        <f t="shared" si="10"/>
        <v/>
      </c>
      <c r="K160" s="29" t="str" cm="1">
        <f t="array" ref="K160">IFERROR([2]!CalculateHyphenString(J160),"")</f>
        <v/>
      </c>
      <c r="L160">
        <f t="shared" si="12"/>
        <v>798592</v>
      </c>
    </row>
    <row r="161" spans="1:12" x14ac:dyDescent="0.7">
      <c r="A161" s="3">
        <v>158</v>
      </c>
      <c r="D161" s="49" t="str">
        <f t="shared" si="11"/>
        <v>798592</v>
      </c>
      <c r="E161" s="14" t="str">
        <f>IFERROR(VLOOKUP($A161,TT,10,FALSE),"")</f>
        <v/>
      </c>
      <c r="F161" s="48" t="str" cm="1">
        <f t="array" ref="F161">IFERROR([1]!FeetConvert(E161),"")</f>
        <v/>
      </c>
      <c r="H161" s="29" t="str">
        <f>IFERROR(VLOOKUP(A161,T,1,FALSE),"")</f>
        <v/>
      </c>
      <c r="I161" s="29" t="str">
        <f t="shared" si="9"/>
        <v/>
      </c>
      <c r="J161" s="29" t="str">
        <f t="shared" si="10"/>
        <v/>
      </c>
      <c r="K161" s="29" t="str" cm="1">
        <f t="array" ref="K161">IFERROR([2]!CalculateHyphenString(J161),"")</f>
        <v/>
      </c>
      <c r="L161">
        <f t="shared" si="12"/>
        <v>798592</v>
      </c>
    </row>
    <row r="162" spans="1:12" x14ac:dyDescent="0.7">
      <c r="A162" s="3">
        <v>159</v>
      </c>
      <c r="D162" s="49" t="str">
        <f t="shared" si="11"/>
        <v>798592</v>
      </c>
      <c r="E162" s="14" t="str">
        <f>IFERROR(VLOOKUP($A162,TT,10,FALSE),"")</f>
        <v/>
      </c>
      <c r="F162" s="48" t="str" cm="1">
        <f t="array" ref="F162">IFERROR([1]!FeetConvert(E162),"")</f>
        <v/>
      </c>
      <c r="H162" s="29" t="str">
        <f>IFERROR(VLOOKUP(A162,T,1,FALSE),"")</f>
        <v/>
      </c>
      <c r="I162" s="29" t="str">
        <f t="shared" si="9"/>
        <v/>
      </c>
      <c r="J162" s="29" t="str">
        <f t="shared" si="10"/>
        <v/>
      </c>
      <c r="K162" s="29" t="str" cm="1">
        <f t="array" ref="K162">IFERROR([2]!CalculateHyphenString(J162),"")</f>
        <v/>
      </c>
      <c r="L162">
        <f t="shared" si="12"/>
        <v>798592</v>
      </c>
    </row>
    <row r="163" spans="1:12" x14ac:dyDescent="0.7">
      <c r="A163" s="3">
        <v>160</v>
      </c>
      <c r="D163" s="49" t="str">
        <f t="shared" si="11"/>
        <v>798592</v>
      </c>
      <c r="E163" s="14" t="str">
        <f>IFERROR(VLOOKUP($A163,TT,10,FALSE),"")</f>
        <v/>
      </c>
      <c r="F163" s="48" t="str" cm="1">
        <f t="array" ref="F163">IFERROR([1]!FeetConvert(E163),"")</f>
        <v/>
      </c>
      <c r="H163" s="29" t="str">
        <f>IFERROR(VLOOKUP(A163,T,1,FALSE),"")</f>
        <v/>
      </c>
      <c r="I163" s="29" t="str">
        <f t="shared" si="9"/>
        <v/>
      </c>
      <c r="J163" s="29" t="str">
        <f t="shared" si="10"/>
        <v/>
      </c>
      <c r="K163" s="29" t="str" cm="1">
        <f t="array" ref="K163">IFERROR([2]!CalculateHyphenString(J163),"")</f>
        <v/>
      </c>
      <c r="L163">
        <f t="shared" si="12"/>
        <v>798592</v>
      </c>
    </row>
    <row r="164" spans="1:12" x14ac:dyDescent="0.7">
      <c r="A164" s="3">
        <v>161</v>
      </c>
      <c r="D164" s="49" t="str">
        <f t="shared" si="11"/>
        <v>798592</v>
      </c>
      <c r="E164" s="14" t="str">
        <f>IFERROR(VLOOKUP($A164,TT,10,FALSE),"")</f>
        <v/>
      </c>
      <c r="F164" s="48" t="str" cm="1">
        <f t="array" ref="F164">IFERROR([1]!FeetConvert(E164),"")</f>
        <v/>
      </c>
      <c r="H164" s="29" t="str">
        <f>IFERROR(VLOOKUP(A164,T,1,FALSE),"")</f>
        <v/>
      </c>
      <c r="I164" s="29" t="str">
        <f t="shared" si="9"/>
        <v/>
      </c>
      <c r="J164" s="29" t="str">
        <f t="shared" si="10"/>
        <v/>
      </c>
      <c r="K164" s="29" t="str" cm="1">
        <f t="array" ref="K164">IFERROR([2]!CalculateHyphenString(J164),"")</f>
        <v/>
      </c>
      <c r="L164">
        <f t="shared" si="12"/>
        <v>798592</v>
      </c>
    </row>
    <row r="165" spans="1:12" x14ac:dyDescent="0.7">
      <c r="A165" s="3">
        <v>162</v>
      </c>
      <c r="D165" s="49" t="str">
        <f t="shared" si="11"/>
        <v>798592</v>
      </c>
      <c r="E165" s="14" t="str">
        <f>IFERROR(VLOOKUP($A165,TT,10,FALSE),"")</f>
        <v/>
      </c>
      <c r="F165" s="48" t="str" cm="1">
        <f t="array" ref="F165">IFERROR([1]!FeetConvert(E165),"")</f>
        <v/>
      </c>
      <c r="H165" s="29" t="str">
        <f>IFERROR(VLOOKUP(A165,T,1,FALSE),"")</f>
        <v/>
      </c>
      <c r="I165" s="29" t="str">
        <f t="shared" si="9"/>
        <v/>
      </c>
      <c r="J165" s="29" t="str">
        <f t="shared" si="10"/>
        <v/>
      </c>
      <c r="K165" s="29" t="str" cm="1">
        <f t="array" ref="K165">IFERROR([2]!CalculateHyphenString(J165),"")</f>
        <v/>
      </c>
      <c r="L165">
        <f t="shared" si="12"/>
        <v>798592</v>
      </c>
    </row>
    <row r="166" spans="1:12" x14ac:dyDescent="0.7">
      <c r="A166" s="3">
        <v>163</v>
      </c>
      <c r="D166" s="49" t="str">
        <f t="shared" si="11"/>
        <v>798592</v>
      </c>
      <c r="E166" s="14" t="str">
        <f>IFERROR(VLOOKUP($A166,TT,10,FALSE),"")</f>
        <v/>
      </c>
      <c r="F166" s="48" t="str" cm="1">
        <f t="array" ref="F166">IFERROR([1]!FeetConvert(E166),"")</f>
        <v/>
      </c>
      <c r="H166" s="29" t="str">
        <f>IFERROR(VLOOKUP(A166,T,1,FALSE),"")</f>
        <v/>
      </c>
      <c r="I166" s="29" t="str">
        <f t="shared" si="9"/>
        <v/>
      </c>
      <c r="J166" s="29" t="str">
        <f t="shared" si="10"/>
        <v/>
      </c>
      <c r="K166" s="29" t="str" cm="1">
        <f t="array" ref="K166">IFERROR([2]!CalculateHyphenString(J166),"")</f>
        <v/>
      </c>
      <c r="L166">
        <f t="shared" si="12"/>
        <v>798592</v>
      </c>
    </row>
    <row r="167" spans="1:12" x14ac:dyDescent="0.7">
      <c r="A167" s="3">
        <v>164</v>
      </c>
      <c r="D167" s="49" t="str">
        <f t="shared" si="11"/>
        <v>798592</v>
      </c>
      <c r="E167" s="14" t="str">
        <f>IFERROR(VLOOKUP($A167,TT,10,FALSE),"")</f>
        <v/>
      </c>
      <c r="F167" s="48" t="str" cm="1">
        <f t="array" ref="F167">IFERROR([1]!FeetConvert(E167),"")</f>
        <v/>
      </c>
      <c r="H167" s="29" t="str">
        <f>IFERROR(VLOOKUP(A167,T,1,FALSE),"")</f>
        <v/>
      </c>
      <c r="I167" s="29" t="str">
        <f t="shared" si="9"/>
        <v/>
      </c>
      <c r="J167" s="29" t="str">
        <f t="shared" si="10"/>
        <v/>
      </c>
      <c r="K167" s="29" t="str" cm="1">
        <f t="array" ref="K167">IFERROR([2]!CalculateHyphenString(J167),"")</f>
        <v/>
      </c>
      <c r="L167">
        <f t="shared" si="12"/>
        <v>798592</v>
      </c>
    </row>
    <row r="168" spans="1:12" x14ac:dyDescent="0.7">
      <c r="A168" s="3">
        <v>165</v>
      </c>
      <c r="D168" s="49" t="str">
        <f t="shared" si="11"/>
        <v>798592</v>
      </c>
      <c r="E168" s="14" t="str">
        <f>IFERROR(VLOOKUP($A168,TT,10,FALSE),"")</f>
        <v/>
      </c>
      <c r="F168" s="48" t="str" cm="1">
        <f t="array" ref="F168">IFERROR([1]!FeetConvert(E168),"")</f>
        <v/>
      </c>
      <c r="H168" s="29" t="str">
        <f>IFERROR(VLOOKUP(A168,T,1,FALSE),"")</f>
        <v/>
      </c>
      <c r="I168" s="29" t="str">
        <f t="shared" si="9"/>
        <v/>
      </c>
      <c r="J168" s="29" t="str">
        <f t="shared" si="10"/>
        <v/>
      </c>
      <c r="K168" s="29" t="str" cm="1">
        <f t="array" ref="K168">IFERROR([2]!CalculateHyphenString(J168),"")</f>
        <v/>
      </c>
      <c r="L168">
        <f t="shared" si="12"/>
        <v>798592</v>
      </c>
    </row>
    <row r="169" spans="1:12" x14ac:dyDescent="0.7">
      <c r="A169" s="3">
        <v>166</v>
      </c>
      <c r="D169" s="49" t="str">
        <f t="shared" si="11"/>
        <v>798592</v>
      </c>
      <c r="E169" s="14" t="str">
        <f>IFERROR(VLOOKUP($A169,TT,10,FALSE),"")</f>
        <v/>
      </c>
      <c r="F169" s="48" t="str" cm="1">
        <f t="array" ref="F169">IFERROR([1]!FeetConvert(E169),"")</f>
        <v/>
      </c>
      <c r="H169" s="29" t="str">
        <f>IFERROR(VLOOKUP(A169,T,1,FALSE),"")</f>
        <v/>
      </c>
      <c r="I169" s="29" t="str">
        <f t="shared" si="9"/>
        <v/>
      </c>
      <c r="J169" s="29" t="str">
        <f t="shared" si="10"/>
        <v/>
      </c>
      <c r="K169" s="29" t="str" cm="1">
        <f t="array" ref="K169">IFERROR([2]!CalculateHyphenString(J169),"")</f>
        <v/>
      </c>
      <c r="L169">
        <f t="shared" si="12"/>
        <v>798592</v>
      </c>
    </row>
    <row r="170" spans="1:12" x14ac:dyDescent="0.7">
      <c r="A170" s="3">
        <v>167</v>
      </c>
      <c r="D170" s="49" t="str">
        <f t="shared" si="11"/>
        <v>798592</v>
      </c>
      <c r="E170" s="14" t="str">
        <f>IFERROR(VLOOKUP($A170,TT,10,FALSE),"")</f>
        <v/>
      </c>
      <c r="F170" s="48" t="str" cm="1">
        <f t="array" ref="F170">IFERROR([1]!FeetConvert(E170),"")</f>
        <v/>
      </c>
      <c r="H170" s="29" t="str">
        <f>IFERROR(VLOOKUP(A170,T,1,FALSE),"")</f>
        <v/>
      </c>
      <c r="I170" s="29" t="str">
        <f t="shared" si="9"/>
        <v/>
      </c>
      <c r="J170" s="29" t="str">
        <f t="shared" si="10"/>
        <v/>
      </c>
      <c r="K170" s="29" t="str" cm="1">
        <f t="array" ref="K170">IFERROR([2]!CalculateHyphenString(J170),"")</f>
        <v/>
      </c>
      <c r="L170">
        <f t="shared" si="12"/>
        <v>798592</v>
      </c>
    </row>
    <row r="171" spans="1:12" x14ac:dyDescent="0.7">
      <c r="A171" s="3">
        <v>168</v>
      </c>
      <c r="D171" s="49" t="str">
        <f t="shared" si="11"/>
        <v>798592</v>
      </c>
      <c r="E171" s="14" t="str">
        <f>IFERROR(VLOOKUP($A171,TT,10,FALSE),"")</f>
        <v/>
      </c>
      <c r="F171" s="48" t="str" cm="1">
        <f t="array" ref="F171">IFERROR([1]!FeetConvert(E171),"")</f>
        <v/>
      </c>
      <c r="H171" s="29" t="str">
        <f>IFERROR(VLOOKUP(A171,T,1,FALSE),"")</f>
        <v/>
      </c>
      <c r="I171" s="29" t="str">
        <f t="shared" si="9"/>
        <v/>
      </c>
      <c r="J171" s="29" t="str">
        <f t="shared" si="10"/>
        <v/>
      </c>
      <c r="K171" s="29" t="str" cm="1">
        <f t="array" ref="K171">IFERROR([2]!CalculateHyphenString(J171),"")</f>
        <v/>
      </c>
      <c r="L171">
        <f t="shared" si="12"/>
        <v>798592</v>
      </c>
    </row>
    <row r="172" spans="1:12" x14ac:dyDescent="0.7">
      <c r="A172" s="3">
        <v>169</v>
      </c>
      <c r="D172" s="49" t="str">
        <f t="shared" si="11"/>
        <v>798592</v>
      </c>
      <c r="E172" s="14" t="str">
        <f>IFERROR(VLOOKUP($A172,TT,10,FALSE),"")</f>
        <v/>
      </c>
      <c r="F172" s="48" t="str" cm="1">
        <f t="array" ref="F172">IFERROR([1]!FeetConvert(E172),"")</f>
        <v/>
      </c>
      <c r="H172" s="29" t="str">
        <f>IFERROR(VLOOKUP(A172,T,1,FALSE),"")</f>
        <v/>
      </c>
      <c r="I172" s="29" t="str">
        <f t="shared" si="9"/>
        <v/>
      </c>
      <c r="J172" s="29" t="str">
        <f t="shared" si="10"/>
        <v/>
      </c>
      <c r="K172" s="29" t="str" cm="1">
        <f t="array" ref="K172">IFERROR([2]!CalculateHyphenString(J172),"")</f>
        <v/>
      </c>
      <c r="L172">
        <f t="shared" si="12"/>
        <v>798592</v>
      </c>
    </row>
    <row r="173" spans="1:12" x14ac:dyDescent="0.7">
      <c r="A173" s="3">
        <v>170</v>
      </c>
      <c r="D173" s="49" t="str">
        <f t="shared" si="11"/>
        <v>798592</v>
      </c>
      <c r="E173" s="14" t="str">
        <f>IFERROR(VLOOKUP($A173,TT,10,FALSE),"")</f>
        <v/>
      </c>
      <c r="F173" s="48" t="str" cm="1">
        <f t="array" ref="F173">IFERROR([1]!FeetConvert(E173),"")</f>
        <v/>
      </c>
      <c r="H173" s="29" t="str">
        <f>IFERROR(VLOOKUP(A173,T,1,FALSE),"")</f>
        <v/>
      </c>
      <c r="I173" s="29" t="str">
        <f t="shared" si="9"/>
        <v/>
      </c>
      <c r="J173" s="29" t="str">
        <f t="shared" si="10"/>
        <v/>
      </c>
      <c r="K173" s="29" t="str" cm="1">
        <f t="array" ref="K173">IFERROR([2]!CalculateHyphenString(J173),"")</f>
        <v/>
      </c>
      <c r="L173">
        <f t="shared" si="12"/>
        <v>798592</v>
      </c>
    </row>
    <row r="174" spans="1:12" x14ac:dyDescent="0.7">
      <c r="A174" s="3">
        <v>171</v>
      </c>
      <c r="D174" s="49" t="str">
        <f t="shared" si="11"/>
        <v>798592</v>
      </c>
      <c r="E174" s="14" t="str">
        <f>IFERROR(VLOOKUP($A174,TT,10,FALSE),"")</f>
        <v/>
      </c>
      <c r="F174" s="48" t="str" cm="1">
        <f t="array" ref="F174">IFERROR([1]!FeetConvert(E174),"")</f>
        <v/>
      </c>
      <c r="H174" s="29" t="str">
        <f>IFERROR(VLOOKUP(A174,T,1,FALSE),"")</f>
        <v/>
      </c>
      <c r="I174" s="29" t="str">
        <f t="shared" si="9"/>
        <v/>
      </c>
      <c r="J174" s="29" t="str">
        <f t="shared" si="10"/>
        <v/>
      </c>
      <c r="K174" s="29" t="str" cm="1">
        <f t="array" ref="K174">IFERROR([2]!CalculateHyphenString(J174),"")</f>
        <v/>
      </c>
      <c r="L174">
        <f t="shared" si="12"/>
        <v>798592</v>
      </c>
    </row>
    <row r="175" spans="1:12" x14ac:dyDescent="0.7">
      <c r="A175" s="3">
        <v>172</v>
      </c>
      <c r="D175" s="49" t="str">
        <f t="shared" si="11"/>
        <v>798592</v>
      </c>
      <c r="E175" s="14" t="str">
        <f>IFERROR(VLOOKUP($A175,TT,10,FALSE),"")</f>
        <v/>
      </c>
      <c r="F175" s="48" t="str" cm="1">
        <f t="array" ref="F175">IFERROR([1]!FeetConvert(E175),"")</f>
        <v/>
      </c>
      <c r="H175" s="29" t="str">
        <f>IFERROR(VLOOKUP(A175,T,1,FALSE),"")</f>
        <v/>
      </c>
      <c r="I175" s="29" t="str">
        <f t="shared" si="9"/>
        <v/>
      </c>
      <c r="J175" s="29" t="str">
        <f t="shared" si="10"/>
        <v/>
      </c>
      <c r="K175" s="29" t="str" cm="1">
        <f t="array" ref="K175">IFERROR([2]!CalculateHyphenString(J175),"")</f>
        <v/>
      </c>
      <c r="L175">
        <f t="shared" si="12"/>
        <v>798592</v>
      </c>
    </row>
    <row r="176" spans="1:12" x14ac:dyDescent="0.7">
      <c r="A176" s="3">
        <v>173</v>
      </c>
      <c r="D176" s="49" t="str">
        <f t="shared" si="11"/>
        <v>798592</v>
      </c>
      <c r="E176" s="14" t="str">
        <f>IFERROR(VLOOKUP($A176,TT,10,FALSE),"")</f>
        <v/>
      </c>
      <c r="F176" s="48" t="str" cm="1">
        <f t="array" ref="F176">IFERROR([1]!FeetConvert(E176),"")</f>
        <v/>
      </c>
      <c r="H176" s="29" t="str">
        <f>IFERROR(VLOOKUP(A176,T,1,FALSE),"")</f>
        <v/>
      </c>
      <c r="I176" s="29" t="str">
        <f t="shared" si="9"/>
        <v/>
      </c>
      <c r="J176" s="29" t="str">
        <f t="shared" si="10"/>
        <v/>
      </c>
      <c r="K176" s="29" t="str" cm="1">
        <f t="array" ref="K176">IFERROR([2]!CalculateHyphenString(J176),"")</f>
        <v/>
      </c>
      <c r="L176">
        <f t="shared" si="12"/>
        <v>798592</v>
      </c>
    </row>
    <row r="177" spans="1:12" x14ac:dyDescent="0.7">
      <c r="A177" s="3">
        <v>174</v>
      </c>
      <c r="D177" s="49" t="str">
        <f t="shared" si="11"/>
        <v>798592</v>
      </c>
      <c r="E177" s="14" t="str">
        <f>IFERROR(VLOOKUP($A177,TT,10,FALSE),"")</f>
        <v/>
      </c>
      <c r="F177" s="48" t="str" cm="1">
        <f t="array" ref="F177">IFERROR([1]!FeetConvert(E177),"")</f>
        <v/>
      </c>
      <c r="H177" s="29" t="str">
        <f>IFERROR(VLOOKUP(A177,T,1,FALSE),"")</f>
        <v/>
      </c>
      <c r="I177" s="29" t="str">
        <f t="shared" si="9"/>
        <v/>
      </c>
      <c r="J177" s="29" t="str">
        <f t="shared" si="10"/>
        <v/>
      </c>
      <c r="K177" s="29" t="str" cm="1">
        <f t="array" ref="K177">IFERROR([2]!CalculateHyphenString(J177),"")</f>
        <v/>
      </c>
      <c r="L177">
        <f t="shared" si="12"/>
        <v>798592</v>
      </c>
    </row>
    <row r="178" spans="1:12" x14ac:dyDescent="0.7">
      <c r="A178" s="3">
        <v>175</v>
      </c>
      <c r="D178" s="49" t="str">
        <f t="shared" si="11"/>
        <v>798592</v>
      </c>
      <c r="E178" s="14" t="str">
        <f>IFERROR(VLOOKUP($A178,TT,10,FALSE),"")</f>
        <v/>
      </c>
      <c r="F178" s="48" t="str" cm="1">
        <f t="array" ref="F178">IFERROR([1]!FeetConvert(E178),"")</f>
        <v/>
      </c>
      <c r="H178" s="29" t="str">
        <f>IFERROR(VLOOKUP(A178,T,1,FALSE),"")</f>
        <v/>
      </c>
      <c r="I178" s="29" t="str">
        <f t="shared" si="9"/>
        <v/>
      </c>
      <c r="J178" s="29" t="str">
        <f t="shared" si="10"/>
        <v/>
      </c>
      <c r="K178" s="29" t="str" cm="1">
        <f t="array" ref="K178">IFERROR([2]!CalculateHyphenString(J178),"")</f>
        <v/>
      </c>
      <c r="L178">
        <f t="shared" si="12"/>
        <v>798592</v>
      </c>
    </row>
    <row r="179" spans="1:12" x14ac:dyDescent="0.7">
      <c r="A179" s="3">
        <v>176</v>
      </c>
      <c r="D179" s="49" t="str">
        <f t="shared" si="11"/>
        <v>798592</v>
      </c>
      <c r="E179" s="14" t="str">
        <f>IFERROR(VLOOKUP($A179,TT,10,FALSE),"")</f>
        <v/>
      </c>
      <c r="F179" s="48" t="str" cm="1">
        <f t="array" ref="F179">IFERROR([1]!FeetConvert(E179),"")</f>
        <v/>
      </c>
      <c r="H179" s="29" t="str">
        <f>IFERROR(VLOOKUP(A179,T,1,FALSE),"")</f>
        <v/>
      </c>
      <c r="I179" s="29" t="str">
        <f t="shared" si="9"/>
        <v/>
      </c>
      <c r="J179" s="29" t="str">
        <f t="shared" si="10"/>
        <v/>
      </c>
      <c r="K179" s="29" t="str" cm="1">
        <f t="array" ref="K179">IFERROR([2]!CalculateHyphenString(J179),"")</f>
        <v/>
      </c>
      <c r="L179">
        <f t="shared" si="12"/>
        <v>798592</v>
      </c>
    </row>
    <row r="180" spans="1:12" x14ac:dyDescent="0.7">
      <c r="A180" s="3">
        <v>177</v>
      </c>
      <c r="D180" s="49" t="str">
        <f t="shared" si="11"/>
        <v>798592</v>
      </c>
      <c r="E180" s="14" t="str">
        <f>IFERROR(VLOOKUP($A180,TT,10,FALSE),"")</f>
        <v/>
      </c>
      <c r="F180" s="48" t="str" cm="1">
        <f t="array" ref="F180">IFERROR([1]!FeetConvert(E180),"")</f>
        <v/>
      </c>
      <c r="H180" s="29" t="str">
        <f>IFERROR(VLOOKUP(A180,T,1,FALSE),"")</f>
        <v/>
      </c>
      <c r="I180" s="29" t="str">
        <f t="shared" si="9"/>
        <v/>
      </c>
      <c r="J180" s="29" t="str">
        <f t="shared" si="10"/>
        <v/>
      </c>
      <c r="K180" s="29" t="str" cm="1">
        <f t="array" ref="K180">IFERROR([2]!CalculateHyphenString(J180),"")</f>
        <v/>
      </c>
      <c r="L180">
        <f t="shared" si="12"/>
        <v>798592</v>
      </c>
    </row>
    <row r="181" spans="1:12" x14ac:dyDescent="0.7">
      <c r="A181" s="3">
        <v>178</v>
      </c>
      <c r="D181" s="49" t="str">
        <f t="shared" si="11"/>
        <v>798592</v>
      </c>
      <c r="E181" s="14" t="str">
        <f>IFERROR(VLOOKUP($A181,TT,10,FALSE),"")</f>
        <v/>
      </c>
      <c r="F181" s="48" t="str" cm="1">
        <f t="array" ref="F181">IFERROR([1]!FeetConvert(E181),"")</f>
        <v/>
      </c>
      <c r="H181" s="29" t="str">
        <f>IFERROR(VLOOKUP(A181,T,1,FALSE),"")</f>
        <v/>
      </c>
      <c r="I181" s="29" t="str">
        <f t="shared" si="9"/>
        <v/>
      </c>
      <c r="J181" s="29" t="str">
        <f t="shared" si="10"/>
        <v/>
      </c>
      <c r="K181" s="29" t="str" cm="1">
        <f t="array" ref="K181">IFERROR([2]!CalculateHyphenString(J181),"")</f>
        <v/>
      </c>
      <c r="L181">
        <f t="shared" si="12"/>
        <v>798592</v>
      </c>
    </row>
    <row r="182" spans="1:12" x14ac:dyDescent="0.7">
      <c r="A182" s="3">
        <v>179</v>
      </c>
      <c r="D182" s="49" t="str">
        <f t="shared" si="11"/>
        <v>798592</v>
      </c>
      <c r="E182" s="14" t="str">
        <f>IFERROR(VLOOKUP($A182,TT,10,FALSE),"")</f>
        <v/>
      </c>
      <c r="F182" s="48" t="str" cm="1">
        <f t="array" ref="F182">IFERROR([1]!FeetConvert(E182),"")</f>
        <v/>
      </c>
      <c r="H182" s="29" t="str">
        <f>IFERROR(VLOOKUP(A182,T,1,FALSE),"")</f>
        <v/>
      </c>
      <c r="I182" s="29" t="str">
        <f t="shared" si="9"/>
        <v/>
      </c>
      <c r="J182" s="29" t="str">
        <f t="shared" si="10"/>
        <v/>
      </c>
      <c r="K182" s="29" t="str" cm="1">
        <f t="array" ref="K182">IFERROR([2]!CalculateHyphenString(J182),"")</f>
        <v/>
      </c>
      <c r="L182">
        <f t="shared" si="12"/>
        <v>798592</v>
      </c>
    </row>
    <row r="183" spans="1:12" x14ac:dyDescent="0.7">
      <c r="A183" s="3">
        <v>180</v>
      </c>
      <c r="D183" s="49" t="str">
        <f t="shared" si="11"/>
        <v>798592</v>
      </c>
      <c r="E183" s="14" t="str">
        <f>IFERROR(VLOOKUP($A183,TT,10,FALSE),"")</f>
        <v/>
      </c>
      <c r="F183" s="48" t="str" cm="1">
        <f t="array" ref="F183">IFERROR([1]!FeetConvert(E183),"")</f>
        <v/>
      </c>
      <c r="H183" s="29" t="str">
        <f>IFERROR(VLOOKUP(A183,T,1,FALSE),"")</f>
        <v/>
      </c>
      <c r="I183" s="29" t="str">
        <f t="shared" si="9"/>
        <v/>
      </c>
      <c r="J183" s="29" t="str">
        <f t="shared" si="10"/>
        <v/>
      </c>
      <c r="K183" s="29" t="str" cm="1">
        <f t="array" ref="K183">IFERROR([2]!CalculateHyphenString(J183),"")</f>
        <v/>
      </c>
      <c r="L183">
        <f t="shared" si="12"/>
        <v>798592</v>
      </c>
    </row>
    <row r="184" spans="1:12" x14ac:dyDescent="0.7">
      <c r="A184" s="3">
        <v>181</v>
      </c>
      <c r="D184" s="49" t="str">
        <f t="shared" si="11"/>
        <v>798592</v>
      </c>
      <c r="E184" s="14" t="str">
        <f>IFERROR(VLOOKUP($A184,TT,10,FALSE),"")</f>
        <v/>
      </c>
      <c r="F184" s="48" t="str" cm="1">
        <f t="array" ref="F184">IFERROR([1]!FeetConvert(E184),"")</f>
        <v/>
      </c>
      <c r="H184" s="29" t="str">
        <f>IFERROR(VLOOKUP(A184,T,1,FALSE),"")</f>
        <v/>
      </c>
      <c r="I184" s="29" t="str">
        <f t="shared" si="9"/>
        <v/>
      </c>
      <c r="J184" s="29" t="str">
        <f t="shared" si="10"/>
        <v/>
      </c>
      <c r="K184" s="29" t="str" cm="1">
        <f t="array" ref="K184">IFERROR([2]!CalculateHyphenString(J184),"")</f>
        <v/>
      </c>
      <c r="L184">
        <f t="shared" si="12"/>
        <v>798592</v>
      </c>
    </row>
    <row r="185" spans="1:12" x14ac:dyDescent="0.7">
      <c r="A185" s="3">
        <v>182</v>
      </c>
      <c r="D185" s="49" t="str">
        <f t="shared" si="11"/>
        <v>798592</v>
      </c>
      <c r="E185" s="14" t="str">
        <f>IFERROR(VLOOKUP($A185,TT,10,FALSE),"")</f>
        <v/>
      </c>
      <c r="F185" s="48" t="str" cm="1">
        <f t="array" ref="F185">IFERROR([1]!FeetConvert(E185),"")</f>
        <v/>
      </c>
      <c r="H185" s="29" t="str">
        <f>IFERROR(VLOOKUP(A185,T,1,FALSE),"")</f>
        <v/>
      </c>
      <c r="I185" s="29" t="str">
        <f t="shared" si="9"/>
        <v/>
      </c>
      <c r="J185" s="29" t="str">
        <f t="shared" si="10"/>
        <v/>
      </c>
      <c r="K185" s="29" t="str" cm="1">
        <f t="array" ref="K185">IFERROR([2]!CalculateHyphenString(J185),"")</f>
        <v/>
      </c>
      <c r="L185">
        <f t="shared" si="12"/>
        <v>798592</v>
      </c>
    </row>
    <row r="186" spans="1:12" x14ac:dyDescent="0.7">
      <c r="A186" s="3">
        <v>183</v>
      </c>
      <c r="D186" s="49" t="str">
        <f t="shared" si="11"/>
        <v>798592</v>
      </c>
      <c r="E186" s="14" t="str">
        <f>IFERROR(VLOOKUP($A186,TT,10,FALSE),"")</f>
        <v/>
      </c>
      <c r="F186" s="48" t="str" cm="1">
        <f t="array" ref="F186">IFERROR([1]!FeetConvert(E186),"")</f>
        <v/>
      </c>
      <c r="H186" s="29" t="str">
        <f>IFERROR(VLOOKUP(A186,T,1,FALSE),"")</f>
        <v/>
      </c>
      <c r="I186" s="29" t="str">
        <f t="shared" si="9"/>
        <v/>
      </c>
      <c r="J186" s="29" t="str">
        <f t="shared" si="10"/>
        <v/>
      </c>
      <c r="K186" s="29" t="str" cm="1">
        <f t="array" ref="K186">IFERROR([2]!CalculateHyphenString(J186),"")</f>
        <v/>
      </c>
      <c r="L186">
        <f t="shared" si="12"/>
        <v>798592</v>
      </c>
    </row>
    <row r="187" spans="1:12" x14ac:dyDescent="0.7">
      <c r="A187" s="3">
        <v>184</v>
      </c>
      <c r="D187" s="49" t="str">
        <f t="shared" si="11"/>
        <v>798592</v>
      </c>
      <c r="E187" s="14" t="str">
        <f>IFERROR(VLOOKUP($A187,TT,10,FALSE),"")</f>
        <v/>
      </c>
      <c r="F187" s="48" t="str" cm="1">
        <f t="array" ref="F187">IFERROR([1]!FeetConvert(E187),"")</f>
        <v/>
      </c>
      <c r="H187" s="29" t="str">
        <f>IFERROR(VLOOKUP(A187,T,1,FALSE),"")</f>
        <v/>
      </c>
      <c r="I187" s="29" t="str">
        <f t="shared" si="9"/>
        <v/>
      </c>
      <c r="J187" s="29" t="str">
        <f t="shared" si="10"/>
        <v/>
      </c>
      <c r="K187" s="29" t="str" cm="1">
        <f t="array" ref="K187">IFERROR([2]!CalculateHyphenString(J187),"")</f>
        <v/>
      </c>
      <c r="L187">
        <f t="shared" si="12"/>
        <v>798592</v>
      </c>
    </row>
    <row r="188" spans="1:12" x14ac:dyDescent="0.7">
      <c r="A188" s="3">
        <v>185</v>
      </c>
      <c r="D188" s="49" t="str">
        <f t="shared" si="11"/>
        <v>798592</v>
      </c>
      <c r="E188" s="14" t="str">
        <f>IFERROR(VLOOKUP($A188,TT,10,FALSE),"")</f>
        <v/>
      </c>
      <c r="F188" s="48" t="str" cm="1">
        <f t="array" ref="F188">IFERROR([1]!FeetConvert(E188),"")</f>
        <v/>
      </c>
      <c r="H188" s="29" t="str">
        <f>IFERROR(VLOOKUP(A188,T,1,FALSE),"")</f>
        <v/>
      </c>
      <c r="I188" s="29" t="str">
        <f t="shared" si="9"/>
        <v/>
      </c>
      <c r="J188" s="29" t="str">
        <f t="shared" si="10"/>
        <v/>
      </c>
      <c r="K188" s="29" t="str" cm="1">
        <f t="array" ref="K188">IFERROR([2]!CalculateHyphenString(J188),"")</f>
        <v/>
      </c>
      <c r="L188">
        <f t="shared" si="12"/>
        <v>798592</v>
      </c>
    </row>
    <row r="189" spans="1:12" x14ac:dyDescent="0.7">
      <c r="A189" s="3">
        <v>186</v>
      </c>
      <c r="D189" s="49" t="str">
        <f t="shared" si="11"/>
        <v>798592</v>
      </c>
      <c r="E189" s="14" t="str">
        <f>IFERROR(VLOOKUP($A189,TT,10,FALSE),"")</f>
        <v/>
      </c>
      <c r="F189" s="48" t="str" cm="1">
        <f t="array" ref="F189">IFERROR([1]!FeetConvert(E189),"")</f>
        <v/>
      </c>
      <c r="H189" s="29" t="str">
        <f>IFERROR(VLOOKUP(A189,T,1,FALSE),"")</f>
        <v/>
      </c>
      <c r="I189" s="29" t="str">
        <f t="shared" si="9"/>
        <v/>
      </c>
      <c r="J189" s="29" t="str">
        <f t="shared" si="10"/>
        <v/>
      </c>
      <c r="K189" s="29" t="str" cm="1">
        <f t="array" ref="K189">IFERROR([2]!CalculateHyphenString(J189),"")</f>
        <v/>
      </c>
      <c r="L189">
        <f t="shared" si="12"/>
        <v>798592</v>
      </c>
    </row>
    <row r="190" spans="1:12" x14ac:dyDescent="0.7">
      <c r="A190" s="3">
        <v>187</v>
      </c>
      <c r="D190" s="49" t="str">
        <f t="shared" si="11"/>
        <v>798592</v>
      </c>
      <c r="E190" s="14" t="str">
        <f>IFERROR(VLOOKUP($A190,TT,10,FALSE),"")</f>
        <v/>
      </c>
      <c r="F190" s="48" t="str" cm="1">
        <f t="array" ref="F190">IFERROR([1]!FeetConvert(E190),"")</f>
        <v/>
      </c>
      <c r="H190" s="29" t="str">
        <f>IFERROR(VLOOKUP(A190,T,1,FALSE),"")</f>
        <v/>
      </c>
      <c r="I190" s="29" t="str">
        <f t="shared" si="9"/>
        <v/>
      </c>
      <c r="J190" s="29" t="str">
        <f t="shared" si="10"/>
        <v/>
      </c>
      <c r="K190" s="29" t="str" cm="1">
        <f t="array" ref="K190">IFERROR([2]!CalculateHyphenString(J190),"")</f>
        <v/>
      </c>
      <c r="L190">
        <f t="shared" si="12"/>
        <v>798592</v>
      </c>
    </row>
    <row r="191" spans="1:12" x14ac:dyDescent="0.7">
      <c r="A191" s="3">
        <v>188</v>
      </c>
      <c r="D191" s="49" t="str">
        <f t="shared" si="11"/>
        <v>798592</v>
      </c>
      <c r="E191" s="14" t="str">
        <f>IFERROR(VLOOKUP($A191,TT,10,FALSE),"")</f>
        <v/>
      </c>
      <c r="F191" s="48" t="str" cm="1">
        <f t="array" ref="F191">IFERROR([1]!FeetConvert(E191),"")</f>
        <v/>
      </c>
      <c r="H191" s="29" t="str">
        <f>IFERROR(VLOOKUP(A191,T,1,FALSE),"")</f>
        <v/>
      </c>
      <c r="I191" s="29" t="str">
        <f t="shared" si="9"/>
        <v/>
      </c>
      <c r="J191" s="29" t="str">
        <f t="shared" si="10"/>
        <v/>
      </c>
      <c r="K191" s="29" t="str" cm="1">
        <f t="array" ref="K191">IFERROR([2]!CalculateHyphenString(J191),"")</f>
        <v/>
      </c>
      <c r="L191">
        <f t="shared" si="12"/>
        <v>798592</v>
      </c>
    </row>
    <row r="192" spans="1:12" x14ac:dyDescent="0.7">
      <c r="A192" s="3">
        <v>189</v>
      </c>
      <c r="D192" s="49" t="str">
        <f t="shared" si="11"/>
        <v>798592</v>
      </c>
      <c r="E192" s="14" t="str">
        <f>IFERROR(VLOOKUP($A192,TT,10,FALSE),"")</f>
        <v/>
      </c>
      <c r="F192" s="48" t="str" cm="1">
        <f t="array" ref="F192">IFERROR([1]!FeetConvert(E192),"")</f>
        <v/>
      </c>
      <c r="H192" s="29" t="str">
        <f>IFERROR(VLOOKUP(A192,T,1,FALSE),"")</f>
        <v/>
      </c>
      <c r="I192" s="29" t="str">
        <f t="shared" si="9"/>
        <v/>
      </c>
      <c r="J192" s="29" t="str">
        <f t="shared" si="10"/>
        <v/>
      </c>
      <c r="K192" s="29" t="str" cm="1">
        <f t="array" ref="K192">IFERROR([2]!CalculateHyphenString(J192),"")</f>
        <v/>
      </c>
      <c r="L192">
        <f t="shared" si="12"/>
        <v>798592</v>
      </c>
    </row>
    <row r="193" spans="1:12" x14ac:dyDescent="0.7">
      <c r="A193" s="3">
        <v>190</v>
      </c>
      <c r="D193" s="49" t="str">
        <f t="shared" si="11"/>
        <v>798592</v>
      </c>
      <c r="E193" s="14" t="str">
        <f>IFERROR(VLOOKUP($A193,TT,10,FALSE),"")</f>
        <v/>
      </c>
      <c r="F193" s="48" t="str" cm="1">
        <f t="array" ref="F193">IFERROR([1]!FeetConvert(E193),"")</f>
        <v/>
      </c>
      <c r="H193" s="29" t="str">
        <f>IFERROR(VLOOKUP(A193,T,1,FALSE),"")</f>
        <v/>
      </c>
      <c r="I193" s="29" t="str">
        <f t="shared" si="9"/>
        <v/>
      </c>
      <c r="J193" s="29" t="str">
        <f t="shared" si="10"/>
        <v/>
      </c>
      <c r="K193" s="29" t="str" cm="1">
        <f t="array" ref="K193">IFERROR([2]!CalculateHyphenString(J193),"")</f>
        <v/>
      </c>
      <c r="L193">
        <f t="shared" si="12"/>
        <v>798592</v>
      </c>
    </row>
    <row r="194" spans="1:12" x14ac:dyDescent="0.7">
      <c r="A194" s="3">
        <v>191</v>
      </c>
      <c r="D194" s="49" t="str">
        <f t="shared" si="11"/>
        <v>798592</v>
      </c>
      <c r="E194" s="14" t="str">
        <f>IFERROR(VLOOKUP($A194,TT,10,FALSE),"")</f>
        <v/>
      </c>
      <c r="F194" s="48" t="str" cm="1">
        <f t="array" ref="F194">IFERROR([1]!FeetConvert(E194),"")</f>
        <v/>
      </c>
      <c r="H194" s="29" t="str">
        <f>IFERROR(VLOOKUP(A194,T,1,FALSE),"")</f>
        <v/>
      </c>
      <c r="I194" s="29" t="str">
        <f t="shared" si="9"/>
        <v/>
      </c>
      <c r="J194" s="29" t="str">
        <f t="shared" si="10"/>
        <v/>
      </c>
      <c r="K194" s="29" t="str" cm="1">
        <f t="array" ref="K194">IFERROR([2]!CalculateHyphenString(J194),"")</f>
        <v/>
      </c>
      <c r="L194">
        <f t="shared" si="12"/>
        <v>798592</v>
      </c>
    </row>
    <row r="195" spans="1:12" x14ac:dyDescent="0.7">
      <c r="A195" s="3">
        <v>192</v>
      </c>
      <c r="D195" s="49" t="str">
        <f t="shared" si="11"/>
        <v>798592</v>
      </c>
      <c r="E195" s="14" t="str">
        <f>IFERROR(VLOOKUP($A195,TT,10,FALSE),"")</f>
        <v/>
      </c>
      <c r="F195" s="48" t="str" cm="1">
        <f t="array" ref="F195">IFERROR([1]!FeetConvert(E195),"")</f>
        <v/>
      </c>
      <c r="H195" s="29" t="str">
        <f>IFERROR(VLOOKUP(A195,T,1,FALSE),"")</f>
        <v/>
      </c>
      <c r="I195" s="29" t="str">
        <f t="shared" si="9"/>
        <v/>
      </c>
      <c r="J195" s="29" t="str">
        <f t="shared" si="10"/>
        <v/>
      </c>
      <c r="K195" s="29" t="str" cm="1">
        <f t="array" ref="K195">IFERROR([2]!CalculateHyphenString(J195),"")</f>
        <v/>
      </c>
      <c r="L195">
        <f t="shared" si="12"/>
        <v>798592</v>
      </c>
    </row>
    <row r="196" spans="1:12" x14ac:dyDescent="0.7">
      <c r="A196" s="3">
        <v>193</v>
      </c>
      <c r="D196" s="49" t="str">
        <f t="shared" si="11"/>
        <v>798592</v>
      </c>
      <c r="E196" s="14" t="str">
        <f>IFERROR(VLOOKUP($A196,TT,10,FALSE),"")</f>
        <v/>
      </c>
      <c r="F196" s="48" t="str" cm="1">
        <f t="array" ref="F196">IFERROR([1]!FeetConvert(E196),"")</f>
        <v/>
      </c>
      <c r="H196" s="29" t="str">
        <f>IFERROR(VLOOKUP(A196,T,1,FALSE),"")</f>
        <v/>
      </c>
      <c r="I196" s="29" t="str">
        <f t="shared" ref="I196:I259" si="13">IFERROR(VLOOKUP(A196,T,2,FALSE),"")</f>
        <v/>
      </c>
      <c r="J196" s="29" t="str">
        <f t="shared" ref="J196:J259" si="14">IFERROR(VLOOKUP(A196,T,3,FALSE),"")</f>
        <v/>
      </c>
      <c r="K196" s="29" t="str" cm="1">
        <f t="array" ref="K196">IFERROR([2]!CalculateHyphenString(J196),"")</f>
        <v/>
      </c>
      <c r="L196">
        <f t="shared" si="12"/>
        <v>798592</v>
      </c>
    </row>
    <row r="197" spans="1:12" x14ac:dyDescent="0.7">
      <c r="A197" s="3">
        <v>194</v>
      </c>
      <c r="D197" s="49" t="str">
        <f t="shared" ref="D197:D260" si="15">_xlfn.TEXTJOIN("/",TRUE,E197,L197)</f>
        <v>798592</v>
      </c>
      <c r="E197" s="14" t="str">
        <f>IFERROR(VLOOKUP($A197,TT,10,FALSE),"")</f>
        <v/>
      </c>
      <c r="F197" s="48" t="str" cm="1">
        <f t="array" ref="F197">IFERROR([1]!FeetConvert(E197),"")</f>
        <v/>
      </c>
      <c r="H197" s="29" t="str">
        <f>IFERROR(VLOOKUP(A197,T,1,FALSE),"")</f>
        <v/>
      </c>
      <c r="I197" s="29" t="str">
        <f t="shared" si="13"/>
        <v/>
      </c>
      <c r="J197" s="29" t="str">
        <f t="shared" si="14"/>
        <v/>
      </c>
      <c r="K197" s="29" t="str" cm="1">
        <f t="array" ref="K197">IFERROR([2]!CalculateHyphenString(J197),"")</f>
        <v/>
      </c>
      <c r="L197">
        <f t="shared" ref="L197:L260" si="16">$E$2</f>
        <v>798592</v>
      </c>
    </row>
    <row r="198" spans="1:12" x14ac:dyDescent="0.7">
      <c r="A198" s="3">
        <v>195</v>
      </c>
      <c r="D198" s="49" t="str">
        <f t="shared" si="15"/>
        <v>798592</v>
      </c>
      <c r="E198" s="14" t="str">
        <f>IFERROR(VLOOKUP($A198,TT,10,FALSE),"")</f>
        <v/>
      </c>
      <c r="F198" s="48" t="str" cm="1">
        <f t="array" ref="F198">IFERROR([1]!FeetConvert(E198),"")</f>
        <v/>
      </c>
      <c r="H198" s="29" t="str">
        <f>IFERROR(VLOOKUP(A198,T,1,FALSE),"")</f>
        <v/>
      </c>
      <c r="I198" s="29" t="str">
        <f t="shared" si="13"/>
        <v/>
      </c>
      <c r="J198" s="29" t="str">
        <f t="shared" si="14"/>
        <v/>
      </c>
      <c r="K198" s="29" t="str" cm="1">
        <f t="array" ref="K198">IFERROR([2]!CalculateHyphenString(J198),"")</f>
        <v/>
      </c>
      <c r="L198">
        <f t="shared" si="16"/>
        <v>798592</v>
      </c>
    </row>
    <row r="199" spans="1:12" x14ac:dyDescent="0.7">
      <c r="A199" s="3">
        <v>196</v>
      </c>
      <c r="D199" s="49" t="str">
        <f t="shared" si="15"/>
        <v>798592</v>
      </c>
      <c r="E199" s="14" t="str">
        <f>IFERROR(VLOOKUP($A199,TT,10,FALSE),"")</f>
        <v/>
      </c>
      <c r="F199" s="48" t="str" cm="1">
        <f t="array" ref="F199">IFERROR([1]!FeetConvert(E199),"")</f>
        <v/>
      </c>
      <c r="H199" s="29" t="str">
        <f>IFERROR(VLOOKUP(A199,T,1,FALSE),"")</f>
        <v/>
      </c>
      <c r="I199" s="29" t="str">
        <f t="shared" si="13"/>
        <v/>
      </c>
      <c r="J199" s="29" t="str">
        <f t="shared" si="14"/>
        <v/>
      </c>
      <c r="K199" s="29" t="str" cm="1">
        <f t="array" ref="K199">IFERROR([2]!CalculateHyphenString(J199),"")</f>
        <v/>
      </c>
      <c r="L199">
        <f t="shared" si="16"/>
        <v>798592</v>
      </c>
    </row>
    <row r="200" spans="1:12" x14ac:dyDescent="0.7">
      <c r="A200" s="3">
        <v>197</v>
      </c>
      <c r="D200" s="49" t="str">
        <f t="shared" si="15"/>
        <v>798592</v>
      </c>
      <c r="E200" s="14" t="str">
        <f>IFERROR(VLOOKUP($A200,TT,10,FALSE),"")</f>
        <v/>
      </c>
      <c r="F200" s="48" t="str" cm="1">
        <f t="array" ref="F200">IFERROR([1]!FeetConvert(E200),"")</f>
        <v/>
      </c>
      <c r="H200" s="29" t="str">
        <f>IFERROR(VLOOKUP(A200,T,1,FALSE),"")</f>
        <v/>
      </c>
      <c r="I200" s="29" t="str">
        <f t="shared" si="13"/>
        <v/>
      </c>
      <c r="J200" s="29" t="str">
        <f t="shared" si="14"/>
        <v/>
      </c>
      <c r="K200" s="29" t="str" cm="1">
        <f t="array" ref="K200">IFERROR([2]!CalculateHyphenString(J200),"")</f>
        <v/>
      </c>
      <c r="L200">
        <f t="shared" si="16"/>
        <v>798592</v>
      </c>
    </row>
    <row r="201" spans="1:12" x14ac:dyDescent="0.7">
      <c r="A201" s="3">
        <v>198</v>
      </c>
      <c r="D201" s="49" t="str">
        <f t="shared" si="15"/>
        <v>798592</v>
      </c>
      <c r="E201" s="14" t="str">
        <f>IFERROR(VLOOKUP($A201,TT,10,FALSE),"")</f>
        <v/>
      </c>
      <c r="F201" s="48" t="str" cm="1">
        <f t="array" ref="F201">IFERROR([1]!FeetConvert(E201),"")</f>
        <v/>
      </c>
      <c r="H201" s="29" t="str">
        <f>IFERROR(VLOOKUP(A201,T,1,FALSE),"")</f>
        <v/>
      </c>
      <c r="I201" s="29" t="str">
        <f t="shared" si="13"/>
        <v/>
      </c>
      <c r="J201" s="29" t="str">
        <f t="shared" si="14"/>
        <v/>
      </c>
      <c r="K201" s="29" t="str" cm="1">
        <f t="array" ref="K201">IFERROR([2]!CalculateHyphenString(J201),"")</f>
        <v/>
      </c>
      <c r="L201">
        <f t="shared" si="16"/>
        <v>798592</v>
      </c>
    </row>
    <row r="202" spans="1:12" x14ac:dyDescent="0.7">
      <c r="A202" s="3">
        <v>199</v>
      </c>
      <c r="D202" s="49" t="str">
        <f t="shared" si="15"/>
        <v>798592</v>
      </c>
      <c r="E202" s="14" t="str">
        <f>IFERROR(VLOOKUP($A202,TT,10,FALSE),"")</f>
        <v/>
      </c>
      <c r="F202" s="48" t="str" cm="1">
        <f t="array" ref="F202">IFERROR([1]!FeetConvert(E202),"")</f>
        <v/>
      </c>
      <c r="H202" s="29" t="str">
        <f>IFERROR(VLOOKUP(A202,T,1,FALSE),"")</f>
        <v/>
      </c>
      <c r="I202" s="29" t="str">
        <f t="shared" si="13"/>
        <v/>
      </c>
      <c r="J202" s="29" t="str">
        <f t="shared" si="14"/>
        <v/>
      </c>
      <c r="K202" s="29" t="str" cm="1">
        <f t="array" ref="K202">IFERROR([2]!CalculateHyphenString(J202),"")</f>
        <v/>
      </c>
      <c r="L202">
        <f t="shared" si="16"/>
        <v>798592</v>
      </c>
    </row>
    <row r="203" spans="1:12" x14ac:dyDescent="0.7">
      <c r="A203" s="3">
        <v>200</v>
      </c>
      <c r="D203" s="49" t="str">
        <f t="shared" si="15"/>
        <v>798592</v>
      </c>
      <c r="E203" s="14" t="str">
        <f>IFERROR(VLOOKUP($A203,TT,10,FALSE),"")</f>
        <v/>
      </c>
      <c r="F203" s="48" t="str" cm="1">
        <f t="array" ref="F203">IFERROR([1]!FeetConvert(E203),"")</f>
        <v/>
      </c>
      <c r="H203" s="29" t="str">
        <f>IFERROR(VLOOKUP(A203,T,1,FALSE),"")</f>
        <v/>
      </c>
      <c r="I203" s="29" t="str">
        <f t="shared" si="13"/>
        <v/>
      </c>
      <c r="J203" s="29" t="str">
        <f t="shared" si="14"/>
        <v/>
      </c>
      <c r="K203" s="29" t="str" cm="1">
        <f t="array" ref="K203">IFERROR([2]!CalculateHyphenString(J203),"")</f>
        <v/>
      </c>
      <c r="L203">
        <f t="shared" si="16"/>
        <v>798592</v>
      </c>
    </row>
    <row r="204" spans="1:12" x14ac:dyDescent="0.7">
      <c r="A204" s="3">
        <v>201</v>
      </c>
      <c r="D204" s="49" t="str">
        <f t="shared" si="15"/>
        <v>798592</v>
      </c>
      <c r="E204" s="14" t="str">
        <f>IFERROR(VLOOKUP($A204,TT,10,FALSE),"")</f>
        <v/>
      </c>
      <c r="F204" s="48" t="str" cm="1">
        <f t="array" ref="F204">IFERROR([1]!FeetConvert(E204),"")</f>
        <v/>
      </c>
      <c r="H204" s="29" t="str">
        <f>IFERROR(VLOOKUP(A204,T,1,FALSE),"")</f>
        <v/>
      </c>
      <c r="I204" s="29" t="str">
        <f t="shared" si="13"/>
        <v/>
      </c>
      <c r="J204" s="29" t="str">
        <f t="shared" si="14"/>
        <v/>
      </c>
      <c r="K204" s="29" t="str" cm="1">
        <f t="array" ref="K204">IFERROR([2]!CalculateHyphenString(J204),"")</f>
        <v/>
      </c>
      <c r="L204">
        <f t="shared" si="16"/>
        <v>798592</v>
      </c>
    </row>
    <row r="205" spans="1:12" x14ac:dyDescent="0.7">
      <c r="A205" s="3">
        <v>202</v>
      </c>
      <c r="D205" s="49" t="str">
        <f t="shared" si="15"/>
        <v>798592</v>
      </c>
      <c r="E205" s="14" t="str">
        <f>IFERROR(VLOOKUP($A205,TT,10,FALSE),"")</f>
        <v/>
      </c>
      <c r="F205" s="48" t="str" cm="1">
        <f t="array" ref="F205">IFERROR([1]!FeetConvert(E205),"")</f>
        <v/>
      </c>
      <c r="H205" s="29" t="str">
        <f>IFERROR(VLOOKUP(A205,T,1,FALSE),"")</f>
        <v/>
      </c>
      <c r="I205" s="29" t="str">
        <f t="shared" si="13"/>
        <v/>
      </c>
      <c r="J205" s="29" t="str">
        <f t="shared" si="14"/>
        <v/>
      </c>
      <c r="K205" s="29" t="str" cm="1">
        <f t="array" ref="K205">IFERROR([2]!CalculateHyphenString(J205),"")</f>
        <v/>
      </c>
      <c r="L205">
        <f t="shared" si="16"/>
        <v>798592</v>
      </c>
    </row>
    <row r="206" spans="1:12" x14ac:dyDescent="0.7">
      <c r="A206" s="3">
        <v>203</v>
      </c>
      <c r="D206" s="49" t="str">
        <f t="shared" si="15"/>
        <v>798592</v>
      </c>
      <c r="E206" s="14" t="str">
        <f>IFERROR(VLOOKUP($A206,TT,10,FALSE),"")</f>
        <v/>
      </c>
      <c r="F206" s="48" t="str" cm="1">
        <f t="array" ref="F206">IFERROR([1]!FeetConvert(E206),"")</f>
        <v/>
      </c>
      <c r="H206" s="29" t="str">
        <f>IFERROR(VLOOKUP(A206,T,1,FALSE),"")</f>
        <v/>
      </c>
      <c r="I206" s="29" t="str">
        <f t="shared" si="13"/>
        <v/>
      </c>
      <c r="J206" s="29" t="str">
        <f t="shared" si="14"/>
        <v/>
      </c>
      <c r="K206" s="29" t="str" cm="1">
        <f t="array" ref="K206">IFERROR([2]!CalculateHyphenString(J206),"")</f>
        <v/>
      </c>
      <c r="L206">
        <f t="shared" si="16"/>
        <v>798592</v>
      </c>
    </row>
    <row r="207" spans="1:12" x14ac:dyDescent="0.7">
      <c r="A207" s="3">
        <v>204</v>
      </c>
      <c r="D207" s="49" t="str">
        <f t="shared" si="15"/>
        <v>798592</v>
      </c>
      <c r="E207" s="14" t="str">
        <f>IFERROR(VLOOKUP($A207,TT,10,FALSE),"")</f>
        <v/>
      </c>
      <c r="F207" s="48" t="str" cm="1">
        <f t="array" ref="F207">IFERROR([1]!FeetConvert(E207),"")</f>
        <v/>
      </c>
      <c r="H207" s="29" t="str">
        <f>IFERROR(VLOOKUP(A207,T,1,FALSE),"")</f>
        <v/>
      </c>
      <c r="I207" s="29" t="str">
        <f t="shared" si="13"/>
        <v/>
      </c>
      <c r="J207" s="29" t="str">
        <f t="shared" si="14"/>
        <v/>
      </c>
      <c r="K207" s="29" t="str" cm="1">
        <f t="array" ref="K207">IFERROR([2]!CalculateHyphenString(J207),"")</f>
        <v/>
      </c>
      <c r="L207">
        <f t="shared" si="16"/>
        <v>798592</v>
      </c>
    </row>
    <row r="208" spans="1:12" x14ac:dyDescent="0.7">
      <c r="A208" s="3">
        <v>205</v>
      </c>
      <c r="D208" s="49" t="str">
        <f t="shared" si="15"/>
        <v>798592</v>
      </c>
      <c r="E208" s="14" t="str">
        <f>IFERROR(VLOOKUP($A208,TT,10,FALSE),"")</f>
        <v/>
      </c>
      <c r="F208" s="48" t="str" cm="1">
        <f t="array" ref="F208">IFERROR([1]!FeetConvert(E208),"")</f>
        <v/>
      </c>
      <c r="H208" s="29" t="str">
        <f>IFERROR(VLOOKUP(A208,T,1,FALSE),"")</f>
        <v/>
      </c>
      <c r="I208" s="29" t="str">
        <f t="shared" si="13"/>
        <v/>
      </c>
      <c r="J208" s="29" t="str">
        <f t="shared" si="14"/>
        <v/>
      </c>
      <c r="K208" s="29" t="str" cm="1">
        <f t="array" ref="K208">IFERROR([2]!CalculateHyphenString(J208),"")</f>
        <v/>
      </c>
      <c r="L208">
        <f t="shared" si="16"/>
        <v>798592</v>
      </c>
    </row>
    <row r="209" spans="1:12" x14ac:dyDescent="0.7">
      <c r="A209" s="3">
        <v>206</v>
      </c>
      <c r="D209" s="49" t="str">
        <f t="shared" si="15"/>
        <v>798592</v>
      </c>
      <c r="E209" s="14" t="str">
        <f>IFERROR(VLOOKUP($A209,TT,10,FALSE),"")</f>
        <v/>
      </c>
      <c r="F209" s="48" t="str" cm="1">
        <f t="array" ref="F209">IFERROR([1]!FeetConvert(E209),"")</f>
        <v/>
      </c>
      <c r="H209" s="29" t="str">
        <f>IFERROR(VLOOKUP(A209,T,1,FALSE),"")</f>
        <v/>
      </c>
      <c r="I209" s="29" t="str">
        <f t="shared" si="13"/>
        <v/>
      </c>
      <c r="J209" s="29" t="str">
        <f t="shared" si="14"/>
        <v/>
      </c>
      <c r="K209" s="29" t="str" cm="1">
        <f t="array" ref="K209">IFERROR([2]!CalculateHyphenString(J209),"")</f>
        <v/>
      </c>
      <c r="L209">
        <f t="shared" si="16"/>
        <v>798592</v>
      </c>
    </row>
    <row r="210" spans="1:12" x14ac:dyDescent="0.7">
      <c r="A210" s="3">
        <v>207</v>
      </c>
      <c r="D210" s="49" t="str">
        <f t="shared" si="15"/>
        <v>798592</v>
      </c>
      <c r="E210" s="14" t="str">
        <f>IFERROR(VLOOKUP($A210,TT,10,FALSE),"")</f>
        <v/>
      </c>
      <c r="F210" s="48" t="str" cm="1">
        <f t="array" ref="F210">IFERROR([1]!FeetConvert(E210),"")</f>
        <v/>
      </c>
      <c r="H210" s="29" t="str">
        <f>IFERROR(VLOOKUP(A210,T,1,FALSE),"")</f>
        <v/>
      </c>
      <c r="I210" s="29" t="str">
        <f t="shared" si="13"/>
        <v/>
      </c>
      <c r="J210" s="29" t="str">
        <f t="shared" si="14"/>
        <v/>
      </c>
      <c r="K210" s="29" t="str" cm="1">
        <f t="array" ref="K210">IFERROR([2]!CalculateHyphenString(J210),"")</f>
        <v/>
      </c>
      <c r="L210">
        <f t="shared" si="16"/>
        <v>798592</v>
      </c>
    </row>
    <row r="211" spans="1:12" x14ac:dyDescent="0.7">
      <c r="A211" s="3">
        <v>208</v>
      </c>
      <c r="D211" s="49" t="str">
        <f t="shared" si="15"/>
        <v>798592</v>
      </c>
      <c r="E211" s="14" t="str">
        <f>IFERROR(VLOOKUP($A211,TT,10,FALSE),"")</f>
        <v/>
      </c>
      <c r="F211" s="48" t="str" cm="1">
        <f t="array" ref="F211">IFERROR([1]!FeetConvert(E211),"")</f>
        <v/>
      </c>
      <c r="H211" s="29" t="str">
        <f>IFERROR(VLOOKUP(A211,T,1,FALSE),"")</f>
        <v/>
      </c>
      <c r="I211" s="29" t="str">
        <f t="shared" si="13"/>
        <v/>
      </c>
      <c r="J211" s="29" t="str">
        <f t="shared" si="14"/>
        <v/>
      </c>
      <c r="K211" s="29" t="str" cm="1">
        <f t="array" ref="K211">IFERROR([2]!CalculateHyphenString(J211),"")</f>
        <v/>
      </c>
      <c r="L211">
        <f t="shared" si="16"/>
        <v>798592</v>
      </c>
    </row>
    <row r="212" spans="1:12" x14ac:dyDescent="0.7">
      <c r="A212" s="3">
        <v>209</v>
      </c>
      <c r="D212" s="49" t="str">
        <f t="shared" si="15"/>
        <v>798592</v>
      </c>
      <c r="E212" s="14" t="str">
        <f>IFERROR(VLOOKUP($A212,TT,10,FALSE),"")</f>
        <v/>
      </c>
      <c r="F212" s="48" t="str" cm="1">
        <f t="array" ref="F212">IFERROR([1]!FeetConvert(E212),"")</f>
        <v/>
      </c>
      <c r="H212" s="29" t="str">
        <f>IFERROR(VLOOKUP(A212,T,1,FALSE),"")</f>
        <v/>
      </c>
      <c r="I212" s="29" t="str">
        <f t="shared" si="13"/>
        <v/>
      </c>
      <c r="J212" s="29" t="str">
        <f t="shared" si="14"/>
        <v/>
      </c>
      <c r="K212" s="29" t="str" cm="1">
        <f t="array" ref="K212">IFERROR([2]!CalculateHyphenString(J212),"")</f>
        <v/>
      </c>
      <c r="L212">
        <f t="shared" si="16"/>
        <v>798592</v>
      </c>
    </row>
    <row r="213" spans="1:12" x14ac:dyDescent="0.7">
      <c r="A213" s="3">
        <v>210</v>
      </c>
      <c r="D213" s="49" t="str">
        <f t="shared" si="15"/>
        <v>798592</v>
      </c>
      <c r="E213" s="14" t="str">
        <f>IFERROR(VLOOKUP($A213,TT,10,FALSE),"")</f>
        <v/>
      </c>
      <c r="F213" s="48" t="str" cm="1">
        <f t="array" ref="F213">IFERROR([1]!FeetConvert(E213),"")</f>
        <v/>
      </c>
      <c r="H213" s="29" t="str">
        <f>IFERROR(VLOOKUP(A213,T,1,FALSE),"")</f>
        <v/>
      </c>
      <c r="I213" s="29" t="str">
        <f t="shared" si="13"/>
        <v/>
      </c>
      <c r="J213" s="29" t="str">
        <f t="shared" si="14"/>
        <v/>
      </c>
      <c r="K213" s="29" t="str" cm="1">
        <f t="array" ref="K213">IFERROR([2]!CalculateHyphenString(J213),"")</f>
        <v/>
      </c>
      <c r="L213">
        <f t="shared" si="16"/>
        <v>798592</v>
      </c>
    </row>
    <row r="214" spans="1:12" x14ac:dyDescent="0.7">
      <c r="A214" s="3">
        <v>211</v>
      </c>
      <c r="D214" s="49" t="str">
        <f t="shared" si="15"/>
        <v>798592</v>
      </c>
      <c r="E214" s="14" t="str">
        <f>IFERROR(VLOOKUP($A214,TT,10,FALSE),"")</f>
        <v/>
      </c>
      <c r="F214" s="48" t="str" cm="1">
        <f t="array" ref="F214">IFERROR([1]!FeetConvert(E214),"")</f>
        <v/>
      </c>
      <c r="H214" s="29" t="str">
        <f>IFERROR(VLOOKUP(A214,T,1,FALSE),"")</f>
        <v/>
      </c>
      <c r="I214" s="29" t="str">
        <f t="shared" si="13"/>
        <v/>
      </c>
      <c r="J214" s="29" t="str">
        <f t="shared" si="14"/>
        <v/>
      </c>
      <c r="K214" s="29" t="str" cm="1">
        <f t="array" ref="K214">IFERROR([2]!CalculateHyphenString(J214),"")</f>
        <v/>
      </c>
      <c r="L214">
        <f t="shared" si="16"/>
        <v>798592</v>
      </c>
    </row>
    <row r="215" spans="1:12" x14ac:dyDescent="0.7">
      <c r="A215" s="3">
        <v>212</v>
      </c>
      <c r="D215" s="49" t="str">
        <f t="shared" si="15"/>
        <v>798592</v>
      </c>
      <c r="E215" s="14" t="str">
        <f>IFERROR(VLOOKUP($A215,TT,10,FALSE),"")</f>
        <v/>
      </c>
      <c r="F215" s="48" t="str" cm="1">
        <f t="array" ref="F215">IFERROR([1]!FeetConvert(E215),"")</f>
        <v/>
      </c>
      <c r="H215" s="29" t="str">
        <f>IFERROR(VLOOKUP(A215,T,1,FALSE),"")</f>
        <v/>
      </c>
      <c r="I215" s="29" t="str">
        <f t="shared" si="13"/>
        <v/>
      </c>
      <c r="J215" s="29" t="str">
        <f t="shared" si="14"/>
        <v/>
      </c>
      <c r="K215" s="29" t="str" cm="1">
        <f t="array" ref="K215">IFERROR([2]!CalculateHyphenString(J215),"")</f>
        <v/>
      </c>
      <c r="L215">
        <f t="shared" si="16"/>
        <v>798592</v>
      </c>
    </row>
    <row r="216" spans="1:12" x14ac:dyDescent="0.7">
      <c r="A216" s="3">
        <v>213</v>
      </c>
      <c r="D216" s="49" t="str">
        <f t="shared" si="15"/>
        <v>798592</v>
      </c>
      <c r="E216" s="14" t="str">
        <f>IFERROR(VLOOKUP($A216,TT,10,FALSE),"")</f>
        <v/>
      </c>
      <c r="F216" s="48" t="str" cm="1">
        <f t="array" ref="F216">IFERROR([1]!FeetConvert(E216),"")</f>
        <v/>
      </c>
      <c r="H216" s="29" t="str">
        <f>IFERROR(VLOOKUP(A216,T,1,FALSE),"")</f>
        <v/>
      </c>
      <c r="I216" s="29" t="str">
        <f t="shared" si="13"/>
        <v/>
      </c>
      <c r="J216" s="29" t="str">
        <f t="shared" si="14"/>
        <v/>
      </c>
      <c r="K216" s="29" t="str" cm="1">
        <f t="array" ref="K216">IFERROR([2]!CalculateHyphenString(J216),"")</f>
        <v/>
      </c>
      <c r="L216">
        <f t="shared" si="16"/>
        <v>798592</v>
      </c>
    </row>
    <row r="217" spans="1:12" x14ac:dyDescent="0.7">
      <c r="A217" s="3">
        <v>214</v>
      </c>
      <c r="D217" s="49" t="str">
        <f t="shared" si="15"/>
        <v>798592</v>
      </c>
      <c r="E217" s="14" t="str">
        <f>IFERROR(VLOOKUP($A217,TT,10,FALSE),"")</f>
        <v/>
      </c>
      <c r="F217" s="48" t="str" cm="1">
        <f t="array" ref="F217">IFERROR([1]!FeetConvert(E217),"")</f>
        <v/>
      </c>
      <c r="H217" s="29" t="str">
        <f>IFERROR(VLOOKUP(A217,T,1,FALSE),"")</f>
        <v/>
      </c>
      <c r="I217" s="29" t="str">
        <f t="shared" si="13"/>
        <v/>
      </c>
      <c r="J217" s="29" t="str">
        <f t="shared" si="14"/>
        <v/>
      </c>
      <c r="K217" s="29" t="str" cm="1">
        <f t="array" ref="K217">IFERROR([2]!CalculateHyphenString(J217),"")</f>
        <v/>
      </c>
      <c r="L217">
        <f t="shared" si="16"/>
        <v>798592</v>
      </c>
    </row>
    <row r="218" spans="1:12" x14ac:dyDescent="0.7">
      <c r="A218" s="3">
        <v>215</v>
      </c>
      <c r="D218" s="49" t="str">
        <f t="shared" si="15"/>
        <v>798592</v>
      </c>
      <c r="E218" s="14" t="str">
        <f>IFERROR(VLOOKUP($A218,TT,10,FALSE),"")</f>
        <v/>
      </c>
      <c r="F218" s="48" t="str" cm="1">
        <f t="array" ref="F218">IFERROR([1]!FeetConvert(E218),"")</f>
        <v/>
      </c>
      <c r="H218" s="29" t="str">
        <f>IFERROR(VLOOKUP(A218,T,1,FALSE),"")</f>
        <v/>
      </c>
      <c r="I218" s="29" t="str">
        <f t="shared" si="13"/>
        <v/>
      </c>
      <c r="J218" s="29" t="str">
        <f t="shared" si="14"/>
        <v/>
      </c>
      <c r="K218" s="29" t="str" cm="1">
        <f t="array" ref="K218">IFERROR([2]!CalculateHyphenString(J218),"")</f>
        <v/>
      </c>
      <c r="L218">
        <f t="shared" si="16"/>
        <v>798592</v>
      </c>
    </row>
    <row r="219" spans="1:12" x14ac:dyDescent="0.7">
      <c r="A219" s="3">
        <v>216</v>
      </c>
      <c r="D219" s="49" t="str">
        <f t="shared" si="15"/>
        <v>798592</v>
      </c>
      <c r="E219" s="14" t="str">
        <f>IFERROR(VLOOKUP($A219,TT,10,FALSE),"")</f>
        <v/>
      </c>
      <c r="F219" s="48" t="str" cm="1">
        <f t="array" ref="F219">IFERROR([1]!FeetConvert(E219),"")</f>
        <v/>
      </c>
      <c r="H219" s="29" t="str">
        <f>IFERROR(VLOOKUP(A219,T,1,FALSE),"")</f>
        <v/>
      </c>
      <c r="I219" s="29" t="str">
        <f t="shared" si="13"/>
        <v/>
      </c>
      <c r="J219" s="29" t="str">
        <f t="shared" si="14"/>
        <v/>
      </c>
      <c r="K219" s="29" t="str" cm="1">
        <f t="array" ref="K219">IFERROR([2]!CalculateHyphenString(J219),"")</f>
        <v/>
      </c>
      <c r="L219">
        <f t="shared" si="16"/>
        <v>798592</v>
      </c>
    </row>
    <row r="220" spans="1:12" x14ac:dyDescent="0.7">
      <c r="A220" s="3">
        <v>217</v>
      </c>
      <c r="D220" s="49" t="str">
        <f t="shared" si="15"/>
        <v>798592</v>
      </c>
      <c r="E220" s="14" t="str">
        <f>IFERROR(VLOOKUP($A220,TT,10,FALSE),"")</f>
        <v/>
      </c>
      <c r="F220" s="48" t="str" cm="1">
        <f t="array" ref="F220">IFERROR([1]!FeetConvert(E220),"")</f>
        <v/>
      </c>
      <c r="H220" s="29" t="str">
        <f>IFERROR(VLOOKUP(A220,T,1,FALSE),"")</f>
        <v/>
      </c>
      <c r="I220" s="29" t="str">
        <f t="shared" si="13"/>
        <v/>
      </c>
      <c r="J220" s="29" t="str">
        <f t="shared" si="14"/>
        <v/>
      </c>
      <c r="K220" s="29" t="str" cm="1">
        <f t="array" ref="K220">IFERROR([2]!CalculateHyphenString(J220),"")</f>
        <v/>
      </c>
      <c r="L220">
        <f t="shared" si="16"/>
        <v>798592</v>
      </c>
    </row>
    <row r="221" spans="1:12" x14ac:dyDescent="0.7">
      <c r="A221" s="3">
        <v>218</v>
      </c>
      <c r="D221" s="49" t="str">
        <f t="shared" si="15"/>
        <v>798592</v>
      </c>
      <c r="E221" s="14" t="str">
        <f>IFERROR(VLOOKUP($A221,TT,10,FALSE),"")</f>
        <v/>
      </c>
      <c r="F221" s="48" t="str" cm="1">
        <f t="array" ref="F221">IFERROR([1]!FeetConvert(E221),"")</f>
        <v/>
      </c>
      <c r="H221" s="29" t="str">
        <f>IFERROR(VLOOKUP(A221,T,1,FALSE),"")</f>
        <v/>
      </c>
      <c r="I221" s="29" t="str">
        <f t="shared" si="13"/>
        <v/>
      </c>
      <c r="J221" s="29" t="str">
        <f t="shared" si="14"/>
        <v/>
      </c>
      <c r="K221" s="29" t="str" cm="1">
        <f t="array" ref="K221">IFERROR([2]!CalculateHyphenString(J221),"")</f>
        <v/>
      </c>
      <c r="L221">
        <f t="shared" si="16"/>
        <v>798592</v>
      </c>
    </row>
    <row r="222" spans="1:12" x14ac:dyDescent="0.7">
      <c r="A222" s="3">
        <v>219</v>
      </c>
      <c r="D222" s="49" t="str">
        <f t="shared" si="15"/>
        <v>798592</v>
      </c>
      <c r="E222" s="14" t="str">
        <f>IFERROR(VLOOKUP($A222,TT,10,FALSE),"")</f>
        <v/>
      </c>
      <c r="F222" s="48" t="str" cm="1">
        <f t="array" ref="F222">IFERROR([1]!FeetConvert(E222),"")</f>
        <v/>
      </c>
      <c r="H222" s="29" t="str">
        <f>IFERROR(VLOOKUP(A222,T,1,FALSE),"")</f>
        <v/>
      </c>
      <c r="I222" s="29" t="str">
        <f t="shared" si="13"/>
        <v/>
      </c>
      <c r="J222" s="29" t="str">
        <f t="shared" si="14"/>
        <v/>
      </c>
      <c r="K222" s="29" t="str" cm="1">
        <f t="array" ref="K222">IFERROR([2]!CalculateHyphenString(J222),"")</f>
        <v/>
      </c>
      <c r="L222">
        <f t="shared" si="16"/>
        <v>798592</v>
      </c>
    </row>
    <row r="223" spans="1:12" x14ac:dyDescent="0.7">
      <c r="A223" s="3">
        <v>220</v>
      </c>
      <c r="D223" s="49" t="str">
        <f t="shared" si="15"/>
        <v>798592</v>
      </c>
      <c r="E223" s="14" t="str">
        <f>IFERROR(VLOOKUP($A223,TT,10,FALSE),"")</f>
        <v/>
      </c>
      <c r="F223" s="48" t="str" cm="1">
        <f t="array" ref="F223">IFERROR([1]!FeetConvert(E223),"")</f>
        <v/>
      </c>
      <c r="H223" s="29" t="str">
        <f>IFERROR(VLOOKUP(A223,T,1,FALSE),"")</f>
        <v/>
      </c>
      <c r="I223" s="29" t="str">
        <f t="shared" si="13"/>
        <v/>
      </c>
      <c r="J223" s="29" t="str">
        <f t="shared" si="14"/>
        <v/>
      </c>
      <c r="K223" s="29" t="str" cm="1">
        <f t="array" ref="K223">IFERROR([2]!CalculateHyphenString(J223),"")</f>
        <v/>
      </c>
      <c r="L223">
        <f t="shared" si="16"/>
        <v>798592</v>
      </c>
    </row>
    <row r="224" spans="1:12" x14ac:dyDescent="0.7">
      <c r="A224" s="3">
        <v>221</v>
      </c>
      <c r="D224" s="49" t="str">
        <f t="shared" si="15"/>
        <v>798592</v>
      </c>
      <c r="E224" s="14" t="str">
        <f>IFERROR(VLOOKUP($A224,TT,10,FALSE),"")</f>
        <v/>
      </c>
      <c r="F224" s="48" t="str" cm="1">
        <f t="array" ref="F224">IFERROR([1]!FeetConvert(E224),"")</f>
        <v/>
      </c>
      <c r="H224" s="29" t="str">
        <f>IFERROR(VLOOKUP(A224,T,1,FALSE),"")</f>
        <v/>
      </c>
      <c r="I224" s="29" t="str">
        <f t="shared" si="13"/>
        <v/>
      </c>
      <c r="J224" s="29" t="str">
        <f t="shared" si="14"/>
        <v/>
      </c>
      <c r="K224" s="29" t="str" cm="1">
        <f t="array" ref="K224">IFERROR([2]!CalculateHyphenString(J224),"")</f>
        <v/>
      </c>
      <c r="L224">
        <f t="shared" si="16"/>
        <v>798592</v>
      </c>
    </row>
    <row r="225" spans="1:12" x14ac:dyDescent="0.7">
      <c r="A225" s="3">
        <v>222</v>
      </c>
      <c r="D225" s="49" t="str">
        <f t="shared" si="15"/>
        <v>798592</v>
      </c>
      <c r="E225" s="14" t="str">
        <f>IFERROR(VLOOKUP($A225,TT,10,FALSE),"")</f>
        <v/>
      </c>
      <c r="F225" s="48" t="str" cm="1">
        <f t="array" ref="F225">IFERROR([1]!FeetConvert(E225),"")</f>
        <v/>
      </c>
      <c r="H225" s="29" t="str">
        <f>IFERROR(VLOOKUP(A225,T,1,FALSE),"")</f>
        <v/>
      </c>
      <c r="I225" s="29" t="str">
        <f t="shared" si="13"/>
        <v/>
      </c>
      <c r="J225" s="29" t="str">
        <f t="shared" si="14"/>
        <v/>
      </c>
      <c r="K225" s="29" t="str" cm="1">
        <f t="array" ref="K225">IFERROR([2]!CalculateHyphenString(J225),"")</f>
        <v/>
      </c>
      <c r="L225">
        <f t="shared" si="16"/>
        <v>798592</v>
      </c>
    </row>
    <row r="226" spans="1:12" x14ac:dyDescent="0.7">
      <c r="A226" s="3">
        <v>223</v>
      </c>
      <c r="D226" s="49" t="str">
        <f t="shared" si="15"/>
        <v>798592</v>
      </c>
      <c r="E226" s="14" t="str">
        <f>IFERROR(VLOOKUP($A226,TT,10,FALSE),"")</f>
        <v/>
      </c>
      <c r="F226" s="48" t="str" cm="1">
        <f t="array" ref="F226">IFERROR([1]!FeetConvert(E226),"")</f>
        <v/>
      </c>
      <c r="H226" s="29" t="str">
        <f>IFERROR(VLOOKUP(A226,T,1,FALSE),"")</f>
        <v/>
      </c>
      <c r="I226" s="29" t="str">
        <f t="shared" si="13"/>
        <v/>
      </c>
      <c r="J226" s="29" t="str">
        <f t="shared" si="14"/>
        <v/>
      </c>
      <c r="K226" s="29" t="str" cm="1">
        <f t="array" ref="K226">IFERROR([2]!CalculateHyphenString(J226),"")</f>
        <v/>
      </c>
      <c r="L226">
        <f t="shared" si="16"/>
        <v>798592</v>
      </c>
    </row>
    <row r="227" spans="1:12" x14ac:dyDescent="0.7">
      <c r="A227" s="3">
        <v>224</v>
      </c>
      <c r="D227" s="49" t="str">
        <f t="shared" si="15"/>
        <v>798592</v>
      </c>
      <c r="E227" s="14" t="str">
        <f>IFERROR(VLOOKUP($A227,TT,10,FALSE),"")</f>
        <v/>
      </c>
      <c r="F227" s="48" t="str" cm="1">
        <f t="array" ref="F227">IFERROR([1]!FeetConvert(E227),"")</f>
        <v/>
      </c>
      <c r="H227" s="29" t="str">
        <f>IFERROR(VLOOKUP(A227,T,1,FALSE),"")</f>
        <v/>
      </c>
      <c r="I227" s="29" t="str">
        <f t="shared" si="13"/>
        <v/>
      </c>
      <c r="J227" s="29" t="str">
        <f t="shared" si="14"/>
        <v/>
      </c>
      <c r="K227" s="29" t="str" cm="1">
        <f t="array" ref="K227">IFERROR([2]!CalculateHyphenString(J227),"")</f>
        <v/>
      </c>
      <c r="L227">
        <f t="shared" si="16"/>
        <v>798592</v>
      </c>
    </row>
    <row r="228" spans="1:12" x14ac:dyDescent="0.7">
      <c r="A228" s="3">
        <v>225</v>
      </c>
      <c r="D228" s="49" t="str">
        <f t="shared" si="15"/>
        <v>798592</v>
      </c>
      <c r="E228" s="14" t="str">
        <f>IFERROR(VLOOKUP($A228,TT,10,FALSE),"")</f>
        <v/>
      </c>
      <c r="F228" s="48" t="str" cm="1">
        <f t="array" ref="F228">IFERROR([1]!FeetConvert(E228),"")</f>
        <v/>
      </c>
      <c r="H228" s="29" t="str">
        <f>IFERROR(VLOOKUP(A228,T,1,FALSE),"")</f>
        <v/>
      </c>
      <c r="I228" s="29" t="str">
        <f t="shared" si="13"/>
        <v/>
      </c>
      <c r="J228" s="29" t="str">
        <f t="shared" si="14"/>
        <v/>
      </c>
      <c r="K228" s="29" t="str" cm="1">
        <f t="array" ref="K228">IFERROR([2]!CalculateHyphenString(J228),"")</f>
        <v/>
      </c>
      <c r="L228">
        <f t="shared" si="16"/>
        <v>798592</v>
      </c>
    </row>
    <row r="229" spans="1:12" x14ac:dyDescent="0.7">
      <c r="A229" s="3">
        <v>226</v>
      </c>
      <c r="D229" s="49" t="str">
        <f t="shared" si="15"/>
        <v>798592</v>
      </c>
      <c r="E229" s="14" t="str">
        <f>IFERROR(VLOOKUP($A229,TT,10,FALSE),"")</f>
        <v/>
      </c>
      <c r="F229" s="48" t="str" cm="1">
        <f t="array" ref="F229">IFERROR([1]!FeetConvert(E229),"")</f>
        <v/>
      </c>
      <c r="H229" s="29" t="str">
        <f>IFERROR(VLOOKUP(A229,T,1,FALSE),"")</f>
        <v/>
      </c>
      <c r="I229" s="29" t="str">
        <f t="shared" si="13"/>
        <v/>
      </c>
      <c r="J229" s="29" t="str">
        <f t="shared" si="14"/>
        <v/>
      </c>
      <c r="K229" s="29" t="str" cm="1">
        <f t="array" ref="K229">IFERROR([2]!CalculateHyphenString(J229),"")</f>
        <v/>
      </c>
      <c r="L229">
        <f t="shared" si="16"/>
        <v>798592</v>
      </c>
    </row>
    <row r="230" spans="1:12" x14ac:dyDescent="0.7">
      <c r="A230" s="3">
        <v>227</v>
      </c>
      <c r="D230" s="49" t="str">
        <f t="shared" si="15"/>
        <v>798592</v>
      </c>
      <c r="E230" s="14" t="str">
        <f>IFERROR(VLOOKUP($A230,TT,10,FALSE),"")</f>
        <v/>
      </c>
      <c r="F230" s="48" t="str" cm="1">
        <f t="array" ref="F230">IFERROR([1]!FeetConvert(E230),"")</f>
        <v/>
      </c>
      <c r="H230" s="29" t="str">
        <f>IFERROR(VLOOKUP(A230,T,1,FALSE),"")</f>
        <v/>
      </c>
      <c r="I230" s="29" t="str">
        <f t="shared" si="13"/>
        <v/>
      </c>
      <c r="J230" s="29" t="str">
        <f t="shared" si="14"/>
        <v/>
      </c>
      <c r="K230" s="29" t="str" cm="1">
        <f t="array" ref="K230">IFERROR([2]!CalculateHyphenString(J230),"")</f>
        <v/>
      </c>
      <c r="L230">
        <f t="shared" si="16"/>
        <v>798592</v>
      </c>
    </row>
    <row r="231" spans="1:12" x14ac:dyDescent="0.7">
      <c r="A231" s="3">
        <v>228</v>
      </c>
      <c r="D231" s="49" t="str">
        <f t="shared" si="15"/>
        <v>798592</v>
      </c>
      <c r="E231" s="14" t="str">
        <f>IFERROR(VLOOKUP($A231,TT,10,FALSE),"")</f>
        <v/>
      </c>
      <c r="F231" s="48" t="str" cm="1">
        <f t="array" ref="F231">IFERROR([1]!FeetConvert(E231),"")</f>
        <v/>
      </c>
      <c r="H231" s="29" t="str">
        <f>IFERROR(VLOOKUP(A231,T,1,FALSE),"")</f>
        <v/>
      </c>
      <c r="I231" s="29" t="str">
        <f t="shared" si="13"/>
        <v/>
      </c>
      <c r="J231" s="29" t="str">
        <f t="shared" si="14"/>
        <v/>
      </c>
      <c r="K231" s="29" t="str" cm="1">
        <f t="array" ref="K231">IFERROR([2]!CalculateHyphenString(J231),"")</f>
        <v/>
      </c>
      <c r="L231">
        <f t="shared" si="16"/>
        <v>798592</v>
      </c>
    </row>
    <row r="232" spans="1:12" x14ac:dyDescent="0.7">
      <c r="A232" s="3">
        <v>229</v>
      </c>
      <c r="D232" s="49" t="str">
        <f t="shared" si="15"/>
        <v>798592</v>
      </c>
      <c r="E232" s="14" t="str">
        <f>IFERROR(VLOOKUP($A232,TT,10,FALSE),"")</f>
        <v/>
      </c>
      <c r="F232" s="48" t="str" cm="1">
        <f t="array" ref="F232">IFERROR([1]!FeetConvert(E232),"")</f>
        <v/>
      </c>
      <c r="H232" s="29" t="str">
        <f>IFERROR(VLOOKUP(A232,T,1,FALSE),"")</f>
        <v/>
      </c>
      <c r="I232" s="29" t="str">
        <f t="shared" si="13"/>
        <v/>
      </c>
      <c r="J232" s="29" t="str">
        <f t="shared" si="14"/>
        <v/>
      </c>
      <c r="K232" s="29" t="str" cm="1">
        <f t="array" ref="K232">IFERROR([2]!CalculateHyphenString(J232),"")</f>
        <v/>
      </c>
      <c r="L232">
        <f t="shared" si="16"/>
        <v>798592</v>
      </c>
    </row>
    <row r="233" spans="1:12" x14ac:dyDescent="0.7">
      <c r="A233" s="3">
        <v>230</v>
      </c>
      <c r="D233" s="49" t="str">
        <f t="shared" si="15"/>
        <v>798592</v>
      </c>
      <c r="E233" s="14" t="str">
        <f>IFERROR(VLOOKUP($A233,TT,10,FALSE),"")</f>
        <v/>
      </c>
      <c r="F233" s="48" t="str" cm="1">
        <f t="array" ref="F233">IFERROR([1]!FeetConvert(E233),"")</f>
        <v/>
      </c>
      <c r="H233" s="29" t="str">
        <f>IFERROR(VLOOKUP(A233,T,1,FALSE),"")</f>
        <v/>
      </c>
      <c r="I233" s="29" t="str">
        <f t="shared" si="13"/>
        <v/>
      </c>
      <c r="J233" s="29" t="str">
        <f t="shared" si="14"/>
        <v/>
      </c>
      <c r="K233" s="29" t="str" cm="1">
        <f t="array" ref="K233">IFERROR([2]!CalculateHyphenString(J233),"")</f>
        <v/>
      </c>
      <c r="L233">
        <f t="shared" si="16"/>
        <v>798592</v>
      </c>
    </row>
    <row r="234" spans="1:12" x14ac:dyDescent="0.7">
      <c r="A234" s="3">
        <v>231</v>
      </c>
      <c r="D234" s="49" t="str">
        <f t="shared" si="15"/>
        <v>798592</v>
      </c>
      <c r="E234" s="14" t="str">
        <f>IFERROR(VLOOKUP($A234,TT,10,FALSE),"")</f>
        <v/>
      </c>
      <c r="F234" s="48" t="str" cm="1">
        <f t="array" ref="F234">IFERROR([1]!FeetConvert(E234),"")</f>
        <v/>
      </c>
      <c r="H234" s="29" t="str">
        <f>IFERROR(VLOOKUP(A234,T,1,FALSE),"")</f>
        <v/>
      </c>
      <c r="I234" s="29" t="str">
        <f t="shared" si="13"/>
        <v/>
      </c>
      <c r="J234" s="29" t="str">
        <f t="shared" si="14"/>
        <v/>
      </c>
      <c r="K234" s="29" t="str" cm="1">
        <f t="array" ref="K234">IFERROR([2]!CalculateHyphenString(J234),"")</f>
        <v/>
      </c>
      <c r="L234">
        <f t="shared" si="16"/>
        <v>798592</v>
      </c>
    </row>
    <row r="235" spans="1:12" x14ac:dyDescent="0.7">
      <c r="A235" s="3">
        <v>232</v>
      </c>
      <c r="D235" s="49" t="str">
        <f t="shared" si="15"/>
        <v>798592</v>
      </c>
      <c r="E235" s="14" t="str">
        <f>IFERROR(VLOOKUP($A235,TT,10,FALSE),"")</f>
        <v/>
      </c>
      <c r="F235" s="48" t="str" cm="1">
        <f t="array" ref="F235">IFERROR([1]!FeetConvert(E235),"")</f>
        <v/>
      </c>
      <c r="H235" s="29" t="str">
        <f>IFERROR(VLOOKUP(A235,T,1,FALSE),"")</f>
        <v/>
      </c>
      <c r="I235" s="29" t="str">
        <f t="shared" si="13"/>
        <v/>
      </c>
      <c r="J235" s="29" t="str">
        <f t="shared" si="14"/>
        <v/>
      </c>
      <c r="K235" s="29" t="str" cm="1">
        <f t="array" ref="K235">IFERROR([2]!CalculateHyphenString(J235),"")</f>
        <v/>
      </c>
      <c r="L235">
        <f t="shared" si="16"/>
        <v>798592</v>
      </c>
    </row>
    <row r="236" spans="1:12" x14ac:dyDescent="0.7">
      <c r="A236" s="3">
        <v>233</v>
      </c>
      <c r="D236" s="49" t="str">
        <f t="shared" si="15"/>
        <v>798592</v>
      </c>
      <c r="E236" s="14" t="str">
        <f>IFERROR(VLOOKUP($A236,TT,10,FALSE),"")</f>
        <v/>
      </c>
      <c r="F236" s="48" t="str" cm="1">
        <f t="array" ref="F236">IFERROR([1]!FeetConvert(E236),"")</f>
        <v/>
      </c>
      <c r="H236" s="29" t="str">
        <f>IFERROR(VLOOKUP(A236,T,1,FALSE),"")</f>
        <v/>
      </c>
      <c r="I236" s="29" t="str">
        <f t="shared" si="13"/>
        <v/>
      </c>
      <c r="J236" s="29" t="str">
        <f t="shared" si="14"/>
        <v/>
      </c>
      <c r="K236" s="29" t="str" cm="1">
        <f t="array" ref="K236">IFERROR([2]!CalculateHyphenString(J236),"")</f>
        <v/>
      </c>
      <c r="L236">
        <f t="shared" si="16"/>
        <v>798592</v>
      </c>
    </row>
    <row r="237" spans="1:12" x14ac:dyDescent="0.7">
      <c r="A237" s="3">
        <v>234</v>
      </c>
      <c r="D237" s="49" t="str">
        <f t="shared" si="15"/>
        <v>798592</v>
      </c>
      <c r="E237" s="14" t="str">
        <f>IFERROR(VLOOKUP($A237,TT,10,FALSE),"")</f>
        <v/>
      </c>
      <c r="F237" s="48" t="str" cm="1">
        <f t="array" ref="F237">IFERROR([1]!FeetConvert(E237),"")</f>
        <v/>
      </c>
      <c r="H237" s="29" t="str">
        <f>IFERROR(VLOOKUP(A237,T,1,FALSE),"")</f>
        <v/>
      </c>
      <c r="I237" s="29" t="str">
        <f t="shared" si="13"/>
        <v/>
      </c>
      <c r="J237" s="29" t="str">
        <f t="shared" si="14"/>
        <v/>
      </c>
      <c r="K237" s="29" t="str" cm="1">
        <f t="array" ref="K237">IFERROR([2]!CalculateHyphenString(J237),"")</f>
        <v/>
      </c>
      <c r="L237">
        <f t="shared" si="16"/>
        <v>798592</v>
      </c>
    </row>
    <row r="238" spans="1:12" x14ac:dyDescent="0.7">
      <c r="A238" s="3">
        <v>235</v>
      </c>
      <c r="D238" s="49" t="str">
        <f t="shared" si="15"/>
        <v>798592</v>
      </c>
      <c r="E238" s="14" t="str">
        <f>IFERROR(VLOOKUP($A238,TT,10,FALSE),"")</f>
        <v/>
      </c>
      <c r="F238" s="48" t="str" cm="1">
        <f t="array" ref="F238">IFERROR([1]!FeetConvert(E238),"")</f>
        <v/>
      </c>
      <c r="H238" s="29" t="str">
        <f>IFERROR(VLOOKUP(A238,T,1,FALSE),"")</f>
        <v/>
      </c>
      <c r="I238" s="29" t="str">
        <f t="shared" si="13"/>
        <v/>
      </c>
      <c r="J238" s="29" t="str">
        <f t="shared" si="14"/>
        <v/>
      </c>
      <c r="K238" s="29" t="str" cm="1">
        <f t="array" ref="K238">IFERROR([2]!CalculateHyphenString(J238),"")</f>
        <v/>
      </c>
      <c r="L238">
        <f t="shared" si="16"/>
        <v>798592</v>
      </c>
    </row>
    <row r="239" spans="1:12" x14ac:dyDescent="0.7">
      <c r="A239" s="3">
        <v>236</v>
      </c>
      <c r="D239" s="49" t="str">
        <f t="shared" si="15"/>
        <v>798592</v>
      </c>
      <c r="E239" s="14" t="str">
        <f>IFERROR(VLOOKUP($A239,TT,10,FALSE),"")</f>
        <v/>
      </c>
      <c r="F239" s="48" t="str" cm="1">
        <f t="array" ref="F239">IFERROR([1]!FeetConvert(E239),"")</f>
        <v/>
      </c>
      <c r="H239" s="29" t="str">
        <f>IFERROR(VLOOKUP(A239,T,1,FALSE),"")</f>
        <v/>
      </c>
      <c r="I239" s="29" t="str">
        <f t="shared" si="13"/>
        <v/>
      </c>
      <c r="J239" s="29" t="str">
        <f t="shared" si="14"/>
        <v/>
      </c>
      <c r="K239" s="29" t="str" cm="1">
        <f t="array" ref="K239">IFERROR([2]!CalculateHyphenString(J239),"")</f>
        <v/>
      </c>
      <c r="L239">
        <f t="shared" si="16"/>
        <v>798592</v>
      </c>
    </row>
    <row r="240" spans="1:12" x14ac:dyDescent="0.7">
      <c r="A240" s="3">
        <v>237</v>
      </c>
      <c r="D240" s="49" t="str">
        <f t="shared" si="15"/>
        <v>798592</v>
      </c>
      <c r="E240" s="14" t="str">
        <f>IFERROR(VLOOKUP($A240,TT,10,FALSE),"")</f>
        <v/>
      </c>
      <c r="F240" s="48" t="str" cm="1">
        <f t="array" ref="F240">IFERROR([1]!FeetConvert(E240),"")</f>
        <v/>
      </c>
      <c r="H240" s="29" t="str">
        <f>IFERROR(VLOOKUP(A240,T,1,FALSE),"")</f>
        <v/>
      </c>
      <c r="I240" s="29" t="str">
        <f t="shared" si="13"/>
        <v/>
      </c>
      <c r="J240" s="29" t="str">
        <f t="shared" si="14"/>
        <v/>
      </c>
      <c r="K240" s="29" t="str" cm="1">
        <f t="array" ref="K240">IFERROR([2]!CalculateHyphenString(J240),"")</f>
        <v/>
      </c>
      <c r="L240">
        <f t="shared" si="16"/>
        <v>798592</v>
      </c>
    </row>
    <row r="241" spans="1:12" x14ac:dyDescent="0.7">
      <c r="A241" s="3">
        <v>238</v>
      </c>
      <c r="D241" s="49" t="str">
        <f t="shared" si="15"/>
        <v>798592</v>
      </c>
      <c r="E241" s="14" t="str">
        <f>IFERROR(VLOOKUP($A241,TT,10,FALSE),"")</f>
        <v/>
      </c>
      <c r="F241" s="48" t="str" cm="1">
        <f t="array" ref="F241">IFERROR([1]!FeetConvert(E241),"")</f>
        <v/>
      </c>
      <c r="H241" s="29" t="str">
        <f>IFERROR(VLOOKUP(A241,T,1,FALSE),"")</f>
        <v/>
      </c>
      <c r="I241" s="29" t="str">
        <f t="shared" si="13"/>
        <v/>
      </c>
      <c r="J241" s="29" t="str">
        <f t="shared" si="14"/>
        <v/>
      </c>
      <c r="K241" s="29" t="str" cm="1">
        <f t="array" ref="K241">IFERROR([2]!CalculateHyphenString(J241),"")</f>
        <v/>
      </c>
      <c r="L241">
        <f t="shared" si="16"/>
        <v>798592</v>
      </c>
    </row>
    <row r="242" spans="1:12" x14ac:dyDescent="0.7">
      <c r="A242" s="3">
        <v>239</v>
      </c>
      <c r="D242" s="49" t="str">
        <f t="shared" si="15"/>
        <v>798592</v>
      </c>
      <c r="E242" s="14" t="str">
        <f>IFERROR(VLOOKUP($A242,TT,10,FALSE),"")</f>
        <v/>
      </c>
      <c r="F242" s="48" t="str" cm="1">
        <f t="array" ref="F242">IFERROR([1]!FeetConvert(E242),"")</f>
        <v/>
      </c>
      <c r="H242" s="29" t="str">
        <f>IFERROR(VLOOKUP(A242,T,1,FALSE),"")</f>
        <v/>
      </c>
      <c r="I242" s="29" t="str">
        <f t="shared" si="13"/>
        <v/>
      </c>
      <c r="J242" s="29" t="str">
        <f t="shared" si="14"/>
        <v/>
      </c>
      <c r="K242" s="29" t="str" cm="1">
        <f t="array" ref="K242">IFERROR([2]!CalculateHyphenString(J242),"")</f>
        <v/>
      </c>
      <c r="L242">
        <f t="shared" si="16"/>
        <v>798592</v>
      </c>
    </row>
    <row r="243" spans="1:12" x14ac:dyDescent="0.7">
      <c r="A243" s="3">
        <v>240</v>
      </c>
      <c r="D243" s="49" t="str">
        <f t="shared" si="15"/>
        <v>798592</v>
      </c>
      <c r="E243" s="14" t="str">
        <f>IFERROR(VLOOKUP($A243,TT,10,FALSE),"")</f>
        <v/>
      </c>
      <c r="F243" s="48" t="str" cm="1">
        <f t="array" ref="F243">IFERROR([1]!FeetConvert(E243),"")</f>
        <v/>
      </c>
      <c r="H243" s="29" t="str">
        <f>IFERROR(VLOOKUP(A243,T,1,FALSE),"")</f>
        <v/>
      </c>
      <c r="I243" s="29" t="str">
        <f t="shared" si="13"/>
        <v/>
      </c>
      <c r="J243" s="29" t="str">
        <f t="shared" si="14"/>
        <v/>
      </c>
      <c r="K243" s="29" t="str" cm="1">
        <f t="array" ref="K243">IFERROR([2]!CalculateHyphenString(J243),"")</f>
        <v/>
      </c>
      <c r="L243">
        <f t="shared" si="16"/>
        <v>798592</v>
      </c>
    </row>
    <row r="244" spans="1:12" x14ac:dyDescent="0.7">
      <c r="A244" s="3">
        <v>241</v>
      </c>
      <c r="D244" s="49" t="str">
        <f t="shared" si="15"/>
        <v>798592</v>
      </c>
      <c r="E244" s="14" t="str">
        <f>IFERROR(VLOOKUP($A244,TT,10,FALSE),"")</f>
        <v/>
      </c>
      <c r="F244" s="48" t="str" cm="1">
        <f t="array" ref="F244">IFERROR([1]!FeetConvert(E244),"")</f>
        <v/>
      </c>
      <c r="H244" s="29" t="str">
        <f>IFERROR(VLOOKUP(A244,T,1,FALSE),"")</f>
        <v/>
      </c>
      <c r="I244" s="29" t="str">
        <f t="shared" si="13"/>
        <v/>
      </c>
      <c r="J244" s="29" t="str">
        <f t="shared" si="14"/>
        <v/>
      </c>
      <c r="K244" s="29" t="str" cm="1">
        <f t="array" ref="K244">IFERROR([2]!CalculateHyphenString(J244),"")</f>
        <v/>
      </c>
      <c r="L244">
        <f t="shared" si="16"/>
        <v>798592</v>
      </c>
    </row>
    <row r="245" spans="1:12" x14ac:dyDescent="0.7">
      <c r="A245" s="3">
        <v>242</v>
      </c>
      <c r="D245" s="49" t="str">
        <f t="shared" si="15"/>
        <v>798592</v>
      </c>
      <c r="E245" s="14" t="str">
        <f>IFERROR(VLOOKUP($A245,TT,10,FALSE),"")</f>
        <v/>
      </c>
      <c r="F245" s="48" t="str" cm="1">
        <f t="array" ref="F245">IFERROR([1]!FeetConvert(E245),"")</f>
        <v/>
      </c>
      <c r="H245" s="29" t="str">
        <f>IFERROR(VLOOKUP(A245,T,1,FALSE),"")</f>
        <v/>
      </c>
      <c r="I245" s="29" t="str">
        <f t="shared" si="13"/>
        <v/>
      </c>
      <c r="J245" s="29" t="str">
        <f t="shared" si="14"/>
        <v/>
      </c>
      <c r="K245" s="29" t="str" cm="1">
        <f t="array" ref="K245">IFERROR([2]!CalculateHyphenString(J245),"")</f>
        <v/>
      </c>
      <c r="L245">
        <f t="shared" si="16"/>
        <v>798592</v>
      </c>
    </row>
    <row r="246" spans="1:12" x14ac:dyDescent="0.7">
      <c r="A246" s="3">
        <v>243</v>
      </c>
      <c r="D246" s="49" t="str">
        <f t="shared" si="15"/>
        <v>798592</v>
      </c>
      <c r="E246" s="14" t="str">
        <f>IFERROR(VLOOKUP($A246,TT,10,FALSE),"")</f>
        <v/>
      </c>
      <c r="F246" s="48" t="str" cm="1">
        <f t="array" ref="F246">IFERROR([1]!FeetConvert(E246),"")</f>
        <v/>
      </c>
      <c r="H246" s="29" t="str">
        <f>IFERROR(VLOOKUP(A246,T,1,FALSE),"")</f>
        <v/>
      </c>
      <c r="I246" s="29" t="str">
        <f t="shared" si="13"/>
        <v/>
      </c>
      <c r="J246" s="29" t="str">
        <f t="shared" si="14"/>
        <v/>
      </c>
      <c r="K246" s="29" t="str" cm="1">
        <f t="array" ref="K246">IFERROR([2]!CalculateHyphenString(J246),"")</f>
        <v/>
      </c>
      <c r="L246">
        <f t="shared" si="16"/>
        <v>798592</v>
      </c>
    </row>
    <row r="247" spans="1:12" x14ac:dyDescent="0.7">
      <c r="A247" s="3">
        <v>244</v>
      </c>
      <c r="D247" s="49" t="str">
        <f t="shared" si="15"/>
        <v>798592</v>
      </c>
      <c r="E247" s="14" t="str">
        <f>IFERROR(VLOOKUP($A247,TT,10,FALSE),"")</f>
        <v/>
      </c>
      <c r="F247" s="48" t="str" cm="1">
        <f t="array" ref="F247">IFERROR([1]!FeetConvert(E247),"")</f>
        <v/>
      </c>
      <c r="H247" s="29" t="str">
        <f>IFERROR(VLOOKUP(A247,T,1,FALSE),"")</f>
        <v/>
      </c>
      <c r="I247" s="29" t="str">
        <f t="shared" si="13"/>
        <v/>
      </c>
      <c r="J247" s="29" t="str">
        <f t="shared" si="14"/>
        <v/>
      </c>
      <c r="K247" s="29" t="str" cm="1">
        <f t="array" ref="K247">IFERROR([2]!CalculateHyphenString(J247),"")</f>
        <v/>
      </c>
      <c r="L247">
        <f t="shared" si="16"/>
        <v>798592</v>
      </c>
    </row>
    <row r="248" spans="1:12" x14ac:dyDescent="0.7">
      <c r="A248" s="3">
        <v>245</v>
      </c>
      <c r="D248" s="49" t="str">
        <f t="shared" si="15"/>
        <v>798592</v>
      </c>
      <c r="E248" s="14" t="str">
        <f>IFERROR(VLOOKUP($A248,TT,10,FALSE),"")</f>
        <v/>
      </c>
      <c r="F248" s="48" t="str" cm="1">
        <f t="array" ref="F248">IFERROR([1]!FeetConvert(E248),"")</f>
        <v/>
      </c>
      <c r="H248" s="29" t="str">
        <f>IFERROR(VLOOKUP(A248,T,1,FALSE),"")</f>
        <v/>
      </c>
      <c r="I248" s="29" t="str">
        <f t="shared" si="13"/>
        <v/>
      </c>
      <c r="J248" s="29" t="str">
        <f t="shared" si="14"/>
        <v/>
      </c>
      <c r="K248" s="29" t="str" cm="1">
        <f t="array" ref="K248">IFERROR([2]!CalculateHyphenString(J248),"")</f>
        <v/>
      </c>
      <c r="L248">
        <f t="shared" si="16"/>
        <v>798592</v>
      </c>
    </row>
    <row r="249" spans="1:12" x14ac:dyDescent="0.7">
      <c r="A249" s="3">
        <v>246</v>
      </c>
      <c r="D249" s="49" t="str">
        <f t="shared" si="15"/>
        <v>798592</v>
      </c>
      <c r="E249" s="14" t="str">
        <f>IFERROR(VLOOKUP($A249,TT,10,FALSE),"")</f>
        <v/>
      </c>
      <c r="F249" s="48" t="str" cm="1">
        <f t="array" ref="F249">IFERROR([1]!FeetConvert(E249),"")</f>
        <v/>
      </c>
      <c r="H249" s="29" t="str">
        <f>IFERROR(VLOOKUP(A249,T,1,FALSE),"")</f>
        <v/>
      </c>
      <c r="I249" s="29" t="str">
        <f t="shared" si="13"/>
        <v/>
      </c>
      <c r="J249" s="29" t="str">
        <f t="shared" si="14"/>
        <v/>
      </c>
      <c r="K249" s="29" t="str" cm="1">
        <f t="array" ref="K249">IFERROR([2]!CalculateHyphenString(J249),"")</f>
        <v/>
      </c>
      <c r="L249">
        <f t="shared" si="16"/>
        <v>798592</v>
      </c>
    </row>
    <row r="250" spans="1:12" x14ac:dyDescent="0.7">
      <c r="A250" s="3">
        <v>247</v>
      </c>
      <c r="D250" s="49" t="str">
        <f t="shared" si="15"/>
        <v>798592</v>
      </c>
      <c r="E250" s="14" t="str">
        <f>IFERROR(VLOOKUP($A250,TT,10,FALSE),"")</f>
        <v/>
      </c>
      <c r="F250" s="48" t="str" cm="1">
        <f t="array" ref="F250">IFERROR([1]!FeetConvert(E250),"")</f>
        <v/>
      </c>
      <c r="H250" s="29" t="str">
        <f>IFERROR(VLOOKUP(A250,T,1,FALSE),"")</f>
        <v/>
      </c>
      <c r="I250" s="29" t="str">
        <f t="shared" si="13"/>
        <v/>
      </c>
      <c r="J250" s="29" t="str">
        <f t="shared" si="14"/>
        <v/>
      </c>
      <c r="K250" s="29" t="str" cm="1">
        <f t="array" ref="K250">IFERROR([2]!CalculateHyphenString(J250),"")</f>
        <v/>
      </c>
      <c r="L250">
        <f t="shared" si="16"/>
        <v>798592</v>
      </c>
    </row>
    <row r="251" spans="1:12" x14ac:dyDescent="0.7">
      <c r="A251" s="3">
        <v>248</v>
      </c>
      <c r="D251" s="49" t="str">
        <f t="shared" si="15"/>
        <v>798592</v>
      </c>
      <c r="E251" s="14" t="str">
        <f>IFERROR(VLOOKUP($A251,TT,10,FALSE),"")</f>
        <v/>
      </c>
      <c r="F251" s="48" t="str" cm="1">
        <f t="array" ref="F251">IFERROR([1]!FeetConvert(E251),"")</f>
        <v/>
      </c>
      <c r="H251" s="29" t="str">
        <f>IFERROR(VLOOKUP(A251,T,1,FALSE),"")</f>
        <v/>
      </c>
      <c r="I251" s="29" t="str">
        <f t="shared" si="13"/>
        <v/>
      </c>
      <c r="J251" s="29" t="str">
        <f t="shared" si="14"/>
        <v/>
      </c>
      <c r="K251" s="29" t="str" cm="1">
        <f t="array" ref="K251">IFERROR([2]!CalculateHyphenString(J251),"")</f>
        <v/>
      </c>
      <c r="L251">
        <f t="shared" si="16"/>
        <v>798592</v>
      </c>
    </row>
    <row r="252" spans="1:12" x14ac:dyDescent="0.7">
      <c r="A252" s="3">
        <v>249</v>
      </c>
      <c r="D252" s="49" t="str">
        <f t="shared" si="15"/>
        <v>798592</v>
      </c>
      <c r="E252" s="14" t="str">
        <f>IFERROR(VLOOKUP($A252,TT,10,FALSE),"")</f>
        <v/>
      </c>
      <c r="F252" s="48" t="str" cm="1">
        <f t="array" ref="F252">IFERROR([1]!FeetConvert(E252),"")</f>
        <v/>
      </c>
      <c r="H252" s="29" t="str">
        <f>IFERROR(VLOOKUP(A252,T,1,FALSE),"")</f>
        <v/>
      </c>
      <c r="I252" s="29" t="str">
        <f t="shared" si="13"/>
        <v/>
      </c>
      <c r="J252" s="29" t="str">
        <f t="shared" si="14"/>
        <v/>
      </c>
      <c r="K252" s="29" t="str" cm="1">
        <f t="array" ref="K252">IFERROR([2]!CalculateHyphenString(J252),"")</f>
        <v/>
      </c>
      <c r="L252">
        <f t="shared" si="16"/>
        <v>798592</v>
      </c>
    </row>
    <row r="253" spans="1:12" x14ac:dyDescent="0.7">
      <c r="A253" s="3">
        <v>250</v>
      </c>
      <c r="D253" s="49" t="str">
        <f t="shared" si="15"/>
        <v>798592</v>
      </c>
      <c r="E253" s="14" t="str">
        <f>IFERROR(VLOOKUP($A253,TT,10,FALSE),"")</f>
        <v/>
      </c>
      <c r="F253" s="48" t="str" cm="1">
        <f t="array" ref="F253">IFERROR([1]!FeetConvert(E253),"")</f>
        <v/>
      </c>
      <c r="H253" s="29" t="str">
        <f>IFERROR(VLOOKUP(A253,T,1,FALSE),"")</f>
        <v/>
      </c>
      <c r="I253" s="29" t="str">
        <f t="shared" si="13"/>
        <v/>
      </c>
      <c r="J253" s="29" t="str">
        <f t="shared" si="14"/>
        <v/>
      </c>
      <c r="K253" s="29" t="str" cm="1">
        <f t="array" ref="K253">IFERROR([2]!CalculateHyphenString(J253),"")</f>
        <v/>
      </c>
      <c r="L253">
        <f t="shared" si="16"/>
        <v>798592</v>
      </c>
    </row>
    <row r="254" spans="1:12" x14ac:dyDescent="0.7">
      <c r="A254" s="3">
        <v>251</v>
      </c>
      <c r="D254" s="49" t="str">
        <f t="shared" si="15"/>
        <v>798592</v>
      </c>
      <c r="E254" s="14" t="str">
        <f>IFERROR(VLOOKUP($A254,TT,10,FALSE),"")</f>
        <v/>
      </c>
      <c r="F254" s="48" t="str" cm="1">
        <f t="array" ref="F254">IFERROR([1]!FeetConvert(E254),"")</f>
        <v/>
      </c>
      <c r="H254" s="29" t="str">
        <f>IFERROR(VLOOKUP(A254,T,1,FALSE),"")</f>
        <v/>
      </c>
      <c r="I254" s="29" t="str">
        <f t="shared" si="13"/>
        <v/>
      </c>
      <c r="J254" s="29" t="str">
        <f t="shared" si="14"/>
        <v/>
      </c>
      <c r="K254" s="29" t="str" cm="1">
        <f t="array" ref="K254">IFERROR([2]!CalculateHyphenString(J254),"")</f>
        <v/>
      </c>
      <c r="L254">
        <f t="shared" si="16"/>
        <v>798592</v>
      </c>
    </row>
    <row r="255" spans="1:12" x14ac:dyDescent="0.7">
      <c r="A255" s="3">
        <v>252</v>
      </c>
      <c r="D255" s="49" t="str">
        <f t="shared" si="15"/>
        <v>798592</v>
      </c>
      <c r="E255" s="14" t="str">
        <f>IFERROR(VLOOKUP($A255,TT,10,FALSE),"")</f>
        <v/>
      </c>
      <c r="F255" s="48" t="str" cm="1">
        <f t="array" ref="F255">IFERROR([1]!FeetConvert(E255),"")</f>
        <v/>
      </c>
      <c r="H255" s="29" t="str">
        <f>IFERROR(VLOOKUP(A255,T,1,FALSE),"")</f>
        <v/>
      </c>
      <c r="I255" s="29" t="str">
        <f t="shared" si="13"/>
        <v/>
      </c>
      <c r="J255" s="29" t="str">
        <f t="shared" si="14"/>
        <v/>
      </c>
      <c r="K255" s="29" t="str" cm="1">
        <f t="array" ref="K255">IFERROR([2]!CalculateHyphenString(J255),"")</f>
        <v/>
      </c>
      <c r="L255">
        <f t="shared" si="16"/>
        <v>798592</v>
      </c>
    </row>
    <row r="256" spans="1:12" x14ac:dyDescent="0.7">
      <c r="A256" s="3">
        <v>253</v>
      </c>
      <c r="D256" s="49" t="str">
        <f t="shared" si="15"/>
        <v>798592</v>
      </c>
      <c r="E256" s="14" t="str">
        <f>IFERROR(VLOOKUP($A256,TT,10,FALSE),"")</f>
        <v/>
      </c>
      <c r="F256" s="48" t="str" cm="1">
        <f t="array" ref="F256">IFERROR([1]!FeetConvert(E256),"")</f>
        <v/>
      </c>
      <c r="H256" s="29" t="str">
        <f>IFERROR(VLOOKUP(A256,T,1,FALSE),"")</f>
        <v/>
      </c>
      <c r="I256" s="29" t="str">
        <f t="shared" si="13"/>
        <v/>
      </c>
      <c r="J256" s="29" t="str">
        <f t="shared" si="14"/>
        <v/>
      </c>
      <c r="K256" s="29" t="str" cm="1">
        <f t="array" ref="K256">IFERROR([2]!CalculateHyphenString(J256),"")</f>
        <v/>
      </c>
      <c r="L256">
        <f t="shared" si="16"/>
        <v>798592</v>
      </c>
    </row>
    <row r="257" spans="1:12" x14ac:dyDescent="0.7">
      <c r="A257" s="3">
        <v>254</v>
      </c>
      <c r="D257" s="49" t="str">
        <f t="shared" si="15"/>
        <v>798592</v>
      </c>
      <c r="E257" s="14" t="str">
        <f>IFERROR(VLOOKUP($A257,TT,10,FALSE),"")</f>
        <v/>
      </c>
      <c r="F257" s="48" t="str" cm="1">
        <f t="array" ref="F257">IFERROR([1]!FeetConvert(E257),"")</f>
        <v/>
      </c>
      <c r="H257" s="29" t="str">
        <f>IFERROR(VLOOKUP(A257,T,1,FALSE),"")</f>
        <v/>
      </c>
      <c r="I257" s="29" t="str">
        <f t="shared" si="13"/>
        <v/>
      </c>
      <c r="J257" s="29" t="str">
        <f t="shared" si="14"/>
        <v/>
      </c>
      <c r="K257" s="29" t="str" cm="1">
        <f t="array" ref="K257">IFERROR([2]!CalculateHyphenString(J257),"")</f>
        <v/>
      </c>
      <c r="L257">
        <f t="shared" si="16"/>
        <v>798592</v>
      </c>
    </row>
    <row r="258" spans="1:12" x14ac:dyDescent="0.7">
      <c r="A258" s="3">
        <v>255</v>
      </c>
      <c r="D258" s="49" t="str">
        <f t="shared" si="15"/>
        <v>798592</v>
      </c>
      <c r="E258" s="14" t="str">
        <f>IFERROR(VLOOKUP($A258,TT,10,FALSE),"")</f>
        <v/>
      </c>
      <c r="F258" s="48" t="str" cm="1">
        <f t="array" ref="F258">IFERROR([1]!FeetConvert(E258),"")</f>
        <v/>
      </c>
      <c r="H258" s="29" t="str">
        <f>IFERROR(VLOOKUP(A258,T,1,FALSE),"")</f>
        <v/>
      </c>
      <c r="I258" s="29" t="str">
        <f t="shared" si="13"/>
        <v/>
      </c>
      <c r="J258" s="29" t="str">
        <f t="shared" si="14"/>
        <v/>
      </c>
      <c r="K258" s="29" t="str" cm="1">
        <f t="array" ref="K258">IFERROR([2]!CalculateHyphenString(J258),"")</f>
        <v/>
      </c>
      <c r="L258">
        <f t="shared" si="16"/>
        <v>798592</v>
      </c>
    </row>
    <row r="259" spans="1:12" x14ac:dyDescent="0.7">
      <c r="A259" s="3">
        <v>256</v>
      </c>
      <c r="D259" s="49" t="str">
        <f t="shared" si="15"/>
        <v>798592</v>
      </c>
      <c r="E259" s="14" t="str">
        <f>IFERROR(VLOOKUP($A259,TT,10,FALSE),"")</f>
        <v/>
      </c>
      <c r="F259" s="48" t="str" cm="1">
        <f t="array" ref="F259">IFERROR([1]!FeetConvert(E259),"")</f>
        <v/>
      </c>
      <c r="H259" s="29" t="str">
        <f>IFERROR(VLOOKUP(A259,T,1,FALSE),"")</f>
        <v/>
      </c>
      <c r="I259" s="29" t="str">
        <f t="shared" si="13"/>
        <v/>
      </c>
      <c r="J259" s="29" t="str">
        <f t="shared" si="14"/>
        <v/>
      </c>
      <c r="K259" s="29" t="str" cm="1">
        <f t="array" ref="K259">IFERROR([2]!CalculateHyphenString(J259),"")</f>
        <v/>
      </c>
      <c r="L259">
        <f t="shared" si="16"/>
        <v>798592</v>
      </c>
    </row>
    <row r="260" spans="1:12" x14ac:dyDescent="0.7">
      <c r="A260" s="3">
        <v>257</v>
      </c>
      <c r="D260" s="49" t="str">
        <f t="shared" si="15"/>
        <v>798592</v>
      </c>
      <c r="E260" s="14" t="str">
        <f>IFERROR(VLOOKUP($A260,TT,10,FALSE),"")</f>
        <v/>
      </c>
      <c r="F260" s="48" t="str" cm="1">
        <f t="array" ref="F260">IFERROR([1]!FeetConvert(E260),"")</f>
        <v/>
      </c>
      <c r="H260" s="29" t="str">
        <f>IFERROR(VLOOKUP(A260,T,1,FALSE),"")</f>
        <v/>
      </c>
      <c r="I260" s="29" t="str">
        <f t="shared" ref="I260:I323" si="17">IFERROR(VLOOKUP(A260,T,2,FALSE),"")</f>
        <v/>
      </c>
      <c r="J260" s="29" t="str">
        <f t="shared" ref="J260:J323" si="18">IFERROR(VLOOKUP(A260,T,3,FALSE),"")</f>
        <v/>
      </c>
      <c r="K260" s="29" t="str" cm="1">
        <f t="array" ref="K260">IFERROR([2]!CalculateHyphenString(J260),"")</f>
        <v/>
      </c>
      <c r="L260">
        <f t="shared" si="16"/>
        <v>798592</v>
      </c>
    </row>
    <row r="261" spans="1:12" x14ac:dyDescent="0.7">
      <c r="A261" s="3">
        <v>258</v>
      </c>
      <c r="D261" s="49" t="str">
        <f t="shared" ref="D261:D324" si="19">_xlfn.TEXTJOIN("/",TRUE,E261,L261)</f>
        <v>798592</v>
      </c>
      <c r="E261" s="14" t="str">
        <f>IFERROR(VLOOKUP($A261,TT,10,FALSE),"")</f>
        <v/>
      </c>
      <c r="F261" s="48" t="str" cm="1">
        <f t="array" ref="F261">IFERROR([1]!FeetConvert(E261),"")</f>
        <v/>
      </c>
      <c r="H261" s="29" t="str">
        <f>IFERROR(VLOOKUP(A261,T,1,FALSE),"")</f>
        <v/>
      </c>
      <c r="I261" s="29" t="str">
        <f t="shared" si="17"/>
        <v/>
      </c>
      <c r="J261" s="29" t="str">
        <f t="shared" si="18"/>
        <v/>
      </c>
      <c r="K261" s="29" t="str" cm="1">
        <f t="array" ref="K261">IFERROR([2]!CalculateHyphenString(J261),"")</f>
        <v/>
      </c>
      <c r="L261">
        <f t="shared" ref="L261:L324" si="20">$E$2</f>
        <v>798592</v>
      </c>
    </row>
    <row r="262" spans="1:12" x14ac:dyDescent="0.7">
      <c r="A262" s="3">
        <v>259</v>
      </c>
      <c r="D262" s="49" t="str">
        <f t="shared" si="19"/>
        <v>798592</v>
      </c>
      <c r="E262" s="14" t="str">
        <f>IFERROR(VLOOKUP($A262,TT,10,FALSE),"")</f>
        <v/>
      </c>
      <c r="F262" s="48" t="str" cm="1">
        <f t="array" ref="F262">IFERROR([1]!FeetConvert(E262),"")</f>
        <v/>
      </c>
      <c r="H262" s="29" t="str">
        <f>IFERROR(VLOOKUP(A262,T,1,FALSE),"")</f>
        <v/>
      </c>
      <c r="I262" s="29" t="str">
        <f t="shared" si="17"/>
        <v/>
      </c>
      <c r="J262" s="29" t="str">
        <f t="shared" si="18"/>
        <v/>
      </c>
      <c r="K262" s="29" t="str" cm="1">
        <f t="array" ref="K262">IFERROR([2]!CalculateHyphenString(J262),"")</f>
        <v/>
      </c>
      <c r="L262">
        <f t="shared" si="20"/>
        <v>798592</v>
      </c>
    </row>
    <row r="263" spans="1:12" x14ac:dyDescent="0.7">
      <c r="A263" s="3">
        <v>260</v>
      </c>
      <c r="D263" s="49" t="str">
        <f t="shared" si="19"/>
        <v>798592</v>
      </c>
      <c r="E263" s="14" t="str">
        <f>IFERROR(VLOOKUP($A263,TT,10,FALSE),"")</f>
        <v/>
      </c>
      <c r="F263" s="48" t="str" cm="1">
        <f t="array" ref="F263">IFERROR([1]!FeetConvert(E263),"")</f>
        <v/>
      </c>
      <c r="H263" s="29" t="str">
        <f>IFERROR(VLOOKUP(A263,T,1,FALSE),"")</f>
        <v/>
      </c>
      <c r="I263" s="29" t="str">
        <f t="shared" si="17"/>
        <v/>
      </c>
      <c r="J263" s="29" t="str">
        <f t="shared" si="18"/>
        <v/>
      </c>
      <c r="K263" s="29" t="str" cm="1">
        <f t="array" ref="K263">IFERROR([2]!CalculateHyphenString(J263),"")</f>
        <v/>
      </c>
      <c r="L263">
        <f t="shared" si="20"/>
        <v>798592</v>
      </c>
    </row>
    <row r="264" spans="1:12" x14ac:dyDescent="0.7">
      <c r="A264" s="3">
        <v>261</v>
      </c>
      <c r="D264" s="49" t="str">
        <f t="shared" si="19"/>
        <v>798592</v>
      </c>
      <c r="E264" s="14" t="str">
        <f>IFERROR(VLOOKUP($A264,TT,10,FALSE),"")</f>
        <v/>
      </c>
      <c r="F264" s="48" t="str" cm="1">
        <f t="array" ref="F264">IFERROR([1]!FeetConvert(E264),"")</f>
        <v/>
      </c>
      <c r="H264" s="29" t="str">
        <f>IFERROR(VLOOKUP(A264,T,1,FALSE),"")</f>
        <v/>
      </c>
      <c r="I264" s="29" t="str">
        <f t="shared" si="17"/>
        <v/>
      </c>
      <c r="J264" s="29" t="str">
        <f t="shared" si="18"/>
        <v/>
      </c>
      <c r="K264" s="29" t="str" cm="1">
        <f t="array" ref="K264">IFERROR([2]!CalculateHyphenString(J264),"")</f>
        <v/>
      </c>
      <c r="L264">
        <f t="shared" si="20"/>
        <v>798592</v>
      </c>
    </row>
    <row r="265" spans="1:12" x14ac:dyDescent="0.7">
      <c r="A265" s="3">
        <v>262</v>
      </c>
      <c r="D265" s="49" t="str">
        <f t="shared" si="19"/>
        <v>798592</v>
      </c>
      <c r="E265" s="14" t="str">
        <f>IFERROR(VLOOKUP($A265,TT,10,FALSE),"")</f>
        <v/>
      </c>
      <c r="F265" s="48" t="str" cm="1">
        <f t="array" ref="F265">IFERROR([1]!FeetConvert(E265),"")</f>
        <v/>
      </c>
      <c r="H265" s="29" t="str">
        <f>IFERROR(VLOOKUP(A265,T,1,FALSE),"")</f>
        <v/>
      </c>
      <c r="I265" s="29" t="str">
        <f t="shared" si="17"/>
        <v/>
      </c>
      <c r="J265" s="29" t="str">
        <f t="shared" si="18"/>
        <v/>
      </c>
      <c r="K265" s="29" t="str" cm="1">
        <f t="array" ref="K265">IFERROR([2]!CalculateHyphenString(J265),"")</f>
        <v/>
      </c>
      <c r="L265">
        <f t="shared" si="20"/>
        <v>798592</v>
      </c>
    </row>
    <row r="266" spans="1:12" x14ac:dyDescent="0.7">
      <c r="A266" s="3">
        <v>263</v>
      </c>
      <c r="D266" s="49" t="str">
        <f t="shared" si="19"/>
        <v>798592</v>
      </c>
      <c r="E266" s="14" t="str">
        <f>IFERROR(VLOOKUP($A266,TT,10,FALSE),"")</f>
        <v/>
      </c>
      <c r="F266" s="48" t="str" cm="1">
        <f t="array" ref="F266">IFERROR([1]!FeetConvert(E266),"")</f>
        <v/>
      </c>
      <c r="H266" s="29" t="str">
        <f>IFERROR(VLOOKUP(A266,T,1,FALSE),"")</f>
        <v/>
      </c>
      <c r="I266" s="29" t="str">
        <f t="shared" si="17"/>
        <v/>
      </c>
      <c r="J266" s="29" t="str">
        <f t="shared" si="18"/>
        <v/>
      </c>
      <c r="K266" s="29" t="str" cm="1">
        <f t="array" ref="K266">IFERROR([2]!CalculateHyphenString(J266),"")</f>
        <v/>
      </c>
      <c r="L266">
        <f t="shared" si="20"/>
        <v>798592</v>
      </c>
    </row>
    <row r="267" spans="1:12" x14ac:dyDescent="0.7">
      <c r="A267" s="3">
        <v>264</v>
      </c>
      <c r="D267" s="49" t="str">
        <f t="shared" si="19"/>
        <v>798592</v>
      </c>
      <c r="E267" s="14" t="str">
        <f>IFERROR(VLOOKUP($A267,TT,10,FALSE),"")</f>
        <v/>
      </c>
      <c r="F267" s="48" t="str" cm="1">
        <f t="array" ref="F267">IFERROR([1]!FeetConvert(E267),"")</f>
        <v/>
      </c>
      <c r="H267" s="29" t="str">
        <f>IFERROR(VLOOKUP(A267,T,1,FALSE),"")</f>
        <v/>
      </c>
      <c r="I267" s="29" t="str">
        <f t="shared" si="17"/>
        <v/>
      </c>
      <c r="J267" s="29" t="str">
        <f t="shared" si="18"/>
        <v/>
      </c>
      <c r="K267" s="29" t="str" cm="1">
        <f t="array" ref="K267">IFERROR([2]!CalculateHyphenString(J267),"")</f>
        <v/>
      </c>
      <c r="L267">
        <f t="shared" si="20"/>
        <v>798592</v>
      </c>
    </row>
    <row r="268" spans="1:12" x14ac:dyDescent="0.7">
      <c r="A268" s="3">
        <v>265</v>
      </c>
      <c r="D268" s="49" t="str">
        <f t="shared" si="19"/>
        <v>798592</v>
      </c>
      <c r="E268" s="14" t="str">
        <f>IFERROR(VLOOKUP($A268,TT,10,FALSE),"")</f>
        <v/>
      </c>
      <c r="F268" s="48" t="str" cm="1">
        <f t="array" ref="F268">IFERROR([1]!FeetConvert(E268),"")</f>
        <v/>
      </c>
      <c r="H268" s="29" t="str">
        <f>IFERROR(VLOOKUP(A268,T,1,FALSE),"")</f>
        <v/>
      </c>
      <c r="I268" s="29" t="str">
        <f t="shared" si="17"/>
        <v/>
      </c>
      <c r="J268" s="29" t="str">
        <f t="shared" si="18"/>
        <v/>
      </c>
      <c r="K268" s="29" t="str" cm="1">
        <f t="array" ref="K268">IFERROR([2]!CalculateHyphenString(J268),"")</f>
        <v/>
      </c>
      <c r="L268">
        <f t="shared" si="20"/>
        <v>798592</v>
      </c>
    </row>
    <row r="269" spans="1:12" x14ac:dyDescent="0.7">
      <c r="A269" s="3">
        <v>266</v>
      </c>
      <c r="D269" s="49" t="str">
        <f t="shared" si="19"/>
        <v>798592</v>
      </c>
      <c r="E269" s="14" t="str">
        <f>IFERROR(VLOOKUP($A269,TT,10,FALSE),"")</f>
        <v/>
      </c>
      <c r="F269" s="48" t="str" cm="1">
        <f t="array" ref="F269">IFERROR([1]!FeetConvert(E269),"")</f>
        <v/>
      </c>
      <c r="H269" s="29" t="str">
        <f>IFERROR(VLOOKUP(A269,T,1,FALSE),"")</f>
        <v/>
      </c>
      <c r="I269" s="29" t="str">
        <f t="shared" si="17"/>
        <v/>
      </c>
      <c r="J269" s="29" t="str">
        <f t="shared" si="18"/>
        <v/>
      </c>
      <c r="K269" s="29" t="str" cm="1">
        <f t="array" ref="K269">IFERROR([2]!CalculateHyphenString(J269),"")</f>
        <v/>
      </c>
      <c r="L269">
        <f t="shared" si="20"/>
        <v>798592</v>
      </c>
    </row>
    <row r="270" spans="1:12" x14ac:dyDescent="0.7">
      <c r="A270" s="3">
        <v>267</v>
      </c>
      <c r="D270" s="49" t="str">
        <f t="shared" si="19"/>
        <v>798592</v>
      </c>
      <c r="E270" s="14" t="str">
        <f>IFERROR(VLOOKUP($A270,TT,10,FALSE),"")</f>
        <v/>
      </c>
      <c r="F270" s="48" t="str" cm="1">
        <f t="array" ref="F270">IFERROR([1]!FeetConvert(E270),"")</f>
        <v/>
      </c>
      <c r="H270" s="29" t="str">
        <f>IFERROR(VLOOKUP(A270,T,1,FALSE),"")</f>
        <v/>
      </c>
      <c r="I270" s="29" t="str">
        <f t="shared" si="17"/>
        <v/>
      </c>
      <c r="J270" s="29" t="str">
        <f t="shared" si="18"/>
        <v/>
      </c>
      <c r="K270" s="29" t="str" cm="1">
        <f t="array" ref="K270">IFERROR([2]!CalculateHyphenString(J270),"")</f>
        <v/>
      </c>
      <c r="L270">
        <f t="shared" si="20"/>
        <v>798592</v>
      </c>
    </row>
    <row r="271" spans="1:12" x14ac:dyDescent="0.7">
      <c r="A271" s="3">
        <v>268</v>
      </c>
      <c r="D271" s="49" t="str">
        <f t="shared" si="19"/>
        <v>798592</v>
      </c>
      <c r="E271" s="14" t="str">
        <f>IFERROR(VLOOKUP($A271,TT,10,FALSE),"")</f>
        <v/>
      </c>
      <c r="F271" s="48" t="str" cm="1">
        <f t="array" ref="F271">IFERROR([1]!FeetConvert(E271),"")</f>
        <v/>
      </c>
      <c r="H271" s="29" t="str">
        <f>IFERROR(VLOOKUP(A271,T,1,FALSE),"")</f>
        <v/>
      </c>
      <c r="I271" s="29" t="str">
        <f t="shared" si="17"/>
        <v/>
      </c>
      <c r="J271" s="29" t="str">
        <f t="shared" si="18"/>
        <v/>
      </c>
      <c r="K271" s="29" t="str" cm="1">
        <f t="array" ref="K271">IFERROR([2]!CalculateHyphenString(J271),"")</f>
        <v/>
      </c>
      <c r="L271">
        <f t="shared" si="20"/>
        <v>798592</v>
      </c>
    </row>
    <row r="272" spans="1:12" x14ac:dyDescent="0.7">
      <c r="A272" s="3">
        <v>269</v>
      </c>
      <c r="D272" s="49" t="str">
        <f t="shared" si="19"/>
        <v>798592</v>
      </c>
      <c r="E272" s="14" t="str">
        <f>IFERROR(VLOOKUP($A272,TT,10,FALSE),"")</f>
        <v/>
      </c>
      <c r="F272" s="48" t="str" cm="1">
        <f t="array" ref="F272">IFERROR([1]!FeetConvert(E272),"")</f>
        <v/>
      </c>
      <c r="H272" s="29" t="str">
        <f>IFERROR(VLOOKUP(A272,T,1,FALSE),"")</f>
        <v/>
      </c>
      <c r="I272" s="29" t="str">
        <f t="shared" si="17"/>
        <v/>
      </c>
      <c r="J272" s="29" t="str">
        <f t="shared" si="18"/>
        <v/>
      </c>
      <c r="K272" s="29" t="str" cm="1">
        <f t="array" ref="K272">IFERROR([2]!CalculateHyphenString(J272),"")</f>
        <v/>
      </c>
      <c r="L272">
        <f t="shared" si="20"/>
        <v>798592</v>
      </c>
    </row>
    <row r="273" spans="1:12" x14ac:dyDescent="0.7">
      <c r="A273" s="3">
        <v>270</v>
      </c>
      <c r="D273" s="49" t="str">
        <f t="shared" si="19"/>
        <v>798592</v>
      </c>
      <c r="E273" s="14" t="str">
        <f>IFERROR(VLOOKUP($A273,TT,10,FALSE),"")</f>
        <v/>
      </c>
      <c r="F273" s="48" t="str" cm="1">
        <f t="array" ref="F273">IFERROR([1]!FeetConvert(E273),"")</f>
        <v/>
      </c>
      <c r="H273" s="29" t="str">
        <f>IFERROR(VLOOKUP(A273,T,1,FALSE),"")</f>
        <v/>
      </c>
      <c r="I273" s="29" t="str">
        <f t="shared" si="17"/>
        <v/>
      </c>
      <c r="J273" s="29" t="str">
        <f t="shared" si="18"/>
        <v/>
      </c>
      <c r="K273" s="29" t="str" cm="1">
        <f t="array" ref="K273">IFERROR([2]!CalculateHyphenString(J273),"")</f>
        <v/>
      </c>
      <c r="L273">
        <f t="shared" si="20"/>
        <v>798592</v>
      </c>
    </row>
    <row r="274" spans="1:12" x14ac:dyDescent="0.7">
      <c r="A274" s="3">
        <v>271</v>
      </c>
      <c r="D274" s="49" t="str">
        <f t="shared" si="19"/>
        <v>798592</v>
      </c>
      <c r="E274" s="14" t="str">
        <f>IFERROR(VLOOKUP($A274,TT,10,FALSE),"")</f>
        <v/>
      </c>
      <c r="F274" s="48" t="str" cm="1">
        <f t="array" ref="F274">IFERROR([1]!FeetConvert(E274),"")</f>
        <v/>
      </c>
      <c r="H274" s="29" t="str">
        <f>IFERROR(VLOOKUP(A274,T,1,FALSE),"")</f>
        <v/>
      </c>
      <c r="I274" s="29" t="str">
        <f t="shared" si="17"/>
        <v/>
      </c>
      <c r="J274" s="29" t="str">
        <f t="shared" si="18"/>
        <v/>
      </c>
      <c r="K274" s="29" t="str" cm="1">
        <f t="array" ref="K274">IFERROR([2]!CalculateHyphenString(J274),"")</f>
        <v/>
      </c>
      <c r="L274">
        <f t="shared" si="20"/>
        <v>798592</v>
      </c>
    </row>
    <row r="275" spans="1:12" x14ac:dyDescent="0.7">
      <c r="A275" s="3">
        <v>272</v>
      </c>
      <c r="D275" s="49" t="str">
        <f t="shared" si="19"/>
        <v>798592</v>
      </c>
      <c r="E275" s="14" t="str">
        <f>IFERROR(VLOOKUP($A275,TT,10,FALSE),"")</f>
        <v/>
      </c>
      <c r="F275" s="48" t="str" cm="1">
        <f t="array" ref="F275">IFERROR([1]!FeetConvert(E275),"")</f>
        <v/>
      </c>
      <c r="H275" s="29" t="str">
        <f>IFERROR(VLOOKUP(A275,T,1,FALSE),"")</f>
        <v/>
      </c>
      <c r="I275" s="29" t="str">
        <f t="shared" si="17"/>
        <v/>
      </c>
      <c r="J275" s="29" t="str">
        <f t="shared" si="18"/>
        <v/>
      </c>
      <c r="K275" s="29" t="str" cm="1">
        <f t="array" ref="K275">IFERROR([2]!CalculateHyphenString(J275),"")</f>
        <v/>
      </c>
      <c r="L275">
        <f t="shared" si="20"/>
        <v>798592</v>
      </c>
    </row>
    <row r="276" spans="1:12" x14ac:dyDescent="0.7">
      <c r="A276" s="3">
        <v>273</v>
      </c>
      <c r="D276" s="49" t="str">
        <f t="shared" si="19"/>
        <v>798592</v>
      </c>
      <c r="E276" s="14" t="str">
        <f>IFERROR(VLOOKUP($A276,TT,10,FALSE),"")</f>
        <v/>
      </c>
      <c r="F276" s="48" t="str" cm="1">
        <f t="array" ref="F276">IFERROR([1]!FeetConvert(E276),"")</f>
        <v/>
      </c>
      <c r="H276" s="29" t="str">
        <f>IFERROR(VLOOKUP(A276,T,1,FALSE),"")</f>
        <v/>
      </c>
      <c r="I276" s="29" t="str">
        <f t="shared" si="17"/>
        <v/>
      </c>
      <c r="J276" s="29" t="str">
        <f t="shared" si="18"/>
        <v/>
      </c>
      <c r="K276" s="29" t="str" cm="1">
        <f t="array" ref="K276">IFERROR([2]!CalculateHyphenString(J276),"")</f>
        <v/>
      </c>
      <c r="L276">
        <f t="shared" si="20"/>
        <v>798592</v>
      </c>
    </row>
    <row r="277" spans="1:12" x14ac:dyDescent="0.7">
      <c r="A277" s="3">
        <v>274</v>
      </c>
      <c r="D277" s="49" t="str">
        <f t="shared" si="19"/>
        <v>798592</v>
      </c>
      <c r="E277" s="14" t="str">
        <f>IFERROR(VLOOKUP($A277,TT,10,FALSE),"")</f>
        <v/>
      </c>
      <c r="F277" s="48" t="str" cm="1">
        <f t="array" ref="F277">IFERROR([1]!FeetConvert(E277),"")</f>
        <v/>
      </c>
      <c r="H277" s="29" t="str">
        <f>IFERROR(VLOOKUP(A277,T,1,FALSE),"")</f>
        <v/>
      </c>
      <c r="I277" s="29" t="str">
        <f t="shared" si="17"/>
        <v/>
      </c>
      <c r="J277" s="29" t="str">
        <f t="shared" si="18"/>
        <v/>
      </c>
      <c r="K277" s="29" t="str" cm="1">
        <f t="array" ref="K277">IFERROR([2]!CalculateHyphenString(J277),"")</f>
        <v/>
      </c>
      <c r="L277">
        <f t="shared" si="20"/>
        <v>798592</v>
      </c>
    </row>
    <row r="278" spans="1:12" x14ac:dyDescent="0.7">
      <c r="A278" s="3">
        <v>275</v>
      </c>
      <c r="D278" s="49" t="str">
        <f t="shared" si="19"/>
        <v>798592</v>
      </c>
      <c r="E278" s="14" t="str">
        <f>IFERROR(VLOOKUP($A278,TT,10,FALSE),"")</f>
        <v/>
      </c>
      <c r="F278" s="48" t="str" cm="1">
        <f t="array" ref="F278">IFERROR([1]!FeetConvert(E278),"")</f>
        <v/>
      </c>
      <c r="H278" s="29" t="str">
        <f>IFERROR(VLOOKUP(A278,T,1,FALSE),"")</f>
        <v/>
      </c>
      <c r="I278" s="29" t="str">
        <f t="shared" si="17"/>
        <v/>
      </c>
      <c r="J278" s="29" t="str">
        <f t="shared" si="18"/>
        <v/>
      </c>
      <c r="K278" s="29" t="str" cm="1">
        <f t="array" ref="K278">IFERROR([2]!CalculateHyphenString(J278),"")</f>
        <v/>
      </c>
      <c r="L278">
        <f t="shared" si="20"/>
        <v>798592</v>
      </c>
    </row>
    <row r="279" spans="1:12" x14ac:dyDescent="0.7">
      <c r="A279" s="3">
        <v>276</v>
      </c>
      <c r="D279" s="49" t="str">
        <f t="shared" si="19"/>
        <v>798592</v>
      </c>
      <c r="E279" s="14" t="str">
        <f>IFERROR(VLOOKUP($A279,TT,10,FALSE),"")</f>
        <v/>
      </c>
      <c r="F279" s="48" t="str" cm="1">
        <f t="array" ref="F279">IFERROR([1]!FeetConvert(E279),"")</f>
        <v/>
      </c>
      <c r="H279" s="29" t="str">
        <f>IFERROR(VLOOKUP(A279,T,1,FALSE),"")</f>
        <v/>
      </c>
      <c r="I279" s="29" t="str">
        <f t="shared" si="17"/>
        <v/>
      </c>
      <c r="J279" s="29" t="str">
        <f t="shared" si="18"/>
        <v/>
      </c>
      <c r="K279" s="29" t="str" cm="1">
        <f t="array" ref="K279">IFERROR([2]!CalculateHyphenString(J279),"")</f>
        <v/>
      </c>
      <c r="L279">
        <f t="shared" si="20"/>
        <v>798592</v>
      </c>
    </row>
    <row r="280" spans="1:12" x14ac:dyDescent="0.7">
      <c r="A280" s="3">
        <v>277</v>
      </c>
      <c r="D280" s="49" t="str">
        <f t="shared" si="19"/>
        <v>798592</v>
      </c>
      <c r="E280" s="14" t="str">
        <f>IFERROR(VLOOKUP($A280,TT,10,FALSE),"")</f>
        <v/>
      </c>
      <c r="F280" s="48" t="str" cm="1">
        <f t="array" ref="F280">IFERROR([1]!FeetConvert(E280),"")</f>
        <v/>
      </c>
      <c r="H280" s="29" t="str">
        <f>IFERROR(VLOOKUP(A280,T,1,FALSE),"")</f>
        <v/>
      </c>
      <c r="I280" s="29" t="str">
        <f t="shared" si="17"/>
        <v/>
      </c>
      <c r="J280" s="29" t="str">
        <f t="shared" si="18"/>
        <v/>
      </c>
      <c r="K280" s="29" t="str" cm="1">
        <f t="array" ref="K280">IFERROR([2]!CalculateHyphenString(J280),"")</f>
        <v/>
      </c>
      <c r="L280">
        <f t="shared" si="20"/>
        <v>798592</v>
      </c>
    </row>
    <row r="281" spans="1:12" x14ac:dyDescent="0.7">
      <c r="A281" s="3">
        <v>278</v>
      </c>
      <c r="D281" s="49" t="str">
        <f t="shared" si="19"/>
        <v>798592</v>
      </c>
      <c r="E281" s="14" t="str">
        <f>IFERROR(VLOOKUP($A281,TT,10,FALSE),"")</f>
        <v/>
      </c>
      <c r="F281" s="48" t="str" cm="1">
        <f t="array" ref="F281">IFERROR([1]!FeetConvert(E281),"")</f>
        <v/>
      </c>
      <c r="H281" s="29" t="str">
        <f>IFERROR(VLOOKUP(A281,T,1,FALSE),"")</f>
        <v/>
      </c>
      <c r="I281" s="29" t="str">
        <f t="shared" si="17"/>
        <v/>
      </c>
      <c r="J281" s="29" t="str">
        <f t="shared" si="18"/>
        <v/>
      </c>
      <c r="K281" s="29" t="str" cm="1">
        <f t="array" ref="K281">IFERROR([2]!CalculateHyphenString(J281),"")</f>
        <v/>
      </c>
      <c r="L281">
        <f t="shared" si="20"/>
        <v>798592</v>
      </c>
    </row>
    <row r="282" spans="1:12" x14ac:dyDescent="0.7">
      <c r="A282" s="3">
        <v>279</v>
      </c>
      <c r="D282" s="49" t="str">
        <f t="shared" si="19"/>
        <v>798592</v>
      </c>
      <c r="E282" s="14" t="str">
        <f>IFERROR(VLOOKUP($A282,TT,10,FALSE),"")</f>
        <v/>
      </c>
      <c r="F282" s="48" t="str" cm="1">
        <f t="array" ref="F282">IFERROR([1]!FeetConvert(E282),"")</f>
        <v/>
      </c>
      <c r="H282" s="29" t="str">
        <f>IFERROR(VLOOKUP(A282,T,1,FALSE),"")</f>
        <v/>
      </c>
      <c r="I282" s="29" t="str">
        <f t="shared" si="17"/>
        <v/>
      </c>
      <c r="J282" s="29" t="str">
        <f t="shared" si="18"/>
        <v/>
      </c>
      <c r="K282" s="29" t="str" cm="1">
        <f t="array" ref="K282">IFERROR([2]!CalculateHyphenString(J282),"")</f>
        <v/>
      </c>
      <c r="L282">
        <f t="shared" si="20"/>
        <v>798592</v>
      </c>
    </row>
    <row r="283" spans="1:12" x14ac:dyDescent="0.7">
      <c r="A283" s="3">
        <v>280</v>
      </c>
      <c r="D283" s="49" t="str">
        <f t="shared" si="19"/>
        <v>798592</v>
      </c>
      <c r="E283" s="14" t="str">
        <f>IFERROR(VLOOKUP($A283,TT,10,FALSE),"")</f>
        <v/>
      </c>
      <c r="F283" s="48" t="str" cm="1">
        <f t="array" ref="F283">IFERROR([1]!FeetConvert(E283),"")</f>
        <v/>
      </c>
      <c r="H283" s="29" t="str">
        <f>IFERROR(VLOOKUP(A283,T,1,FALSE),"")</f>
        <v/>
      </c>
      <c r="I283" s="29" t="str">
        <f t="shared" si="17"/>
        <v/>
      </c>
      <c r="J283" s="29" t="str">
        <f t="shared" si="18"/>
        <v/>
      </c>
      <c r="K283" s="29" t="str" cm="1">
        <f t="array" ref="K283">IFERROR([2]!CalculateHyphenString(J283),"")</f>
        <v/>
      </c>
      <c r="L283">
        <f t="shared" si="20"/>
        <v>798592</v>
      </c>
    </row>
    <row r="284" spans="1:12" x14ac:dyDescent="0.7">
      <c r="A284" s="3">
        <v>281</v>
      </c>
      <c r="D284" s="49" t="str">
        <f t="shared" si="19"/>
        <v>798592</v>
      </c>
      <c r="E284" s="14" t="str">
        <f>IFERROR(VLOOKUP($A284,TT,10,FALSE),"")</f>
        <v/>
      </c>
      <c r="F284" s="48" t="str" cm="1">
        <f t="array" ref="F284">IFERROR([1]!FeetConvert(E284),"")</f>
        <v/>
      </c>
      <c r="H284" s="29" t="str">
        <f>IFERROR(VLOOKUP(A284,T,1,FALSE),"")</f>
        <v/>
      </c>
      <c r="I284" s="29" t="str">
        <f t="shared" si="17"/>
        <v/>
      </c>
      <c r="J284" s="29" t="str">
        <f t="shared" si="18"/>
        <v/>
      </c>
      <c r="K284" s="29" t="str" cm="1">
        <f t="array" ref="K284">IFERROR([2]!CalculateHyphenString(J284),"")</f>
        <v/>
      </c>
      <c r="L284">
        <f t="shared" si="20"/>
        <v>798592</v>
      </c>
    </row>
    <row r="285" spans="1:12" x14ac:dyDescent="0.7">
      <c r="A285" s="3">
        <v>282</v>
      </c>
      <c r="D285" s="49" t="str">
        <f t="shared" si="19"/>
        <v>798592</v>
      </c>
      <c r="E285" s="14" t="str">
        <f>IFERROR(VLOOKUP($A285,TT,10,FALSE),"")</f>
        <v/>
      </c>
      <c r="F285" s="48" t="str" cm="1">
        <f t="array" ref="F285">IFERROR([1]!FeetConvert(E285),"")</f>
        <v/>
      </c>
      <c r="H285" s="29" t="str">
        <f>IFERROR(VLOOKUP(A285,T,1,FALSE),"")</f>
        <v/>
      </c>
      <c r="I285" s="29" t="str">
        <f t="shared" si="17"/>
        <v/>
      </c>
      <c r="J285" s="29" t="str">
        <f t="shared" si="18"/>
        <v/>
      </c>
      <c r="K285" s="29" t="str" cm="1">
        <f t="array" ref="K285">IFERROR([2]!CalculateHyphenString(J285),"")</f>
        <v/>
      </c>
      <c r="L285">
        <f t="shared" si="20"/>
        <v>798592</v>
      </c>
    </row>
    <row r="286" spans="1:12" x14ac:dyDescent="0.7">
      <c r="A286" s="3">
        <v>283</v>
      </c>
      <c r="D286" s="49" t="str">
        <f t="shared" si="19"/>
        <v>798592</v>
      </c>
      <c r="E286" s="14" t="str">
        <f>IFERROR(VLOOKUP($A286,TT,10,FALSE),"")</f>
        <v/>
      </c>
      <c r="F286" s="48" t="str" cm="1">
        <f t="array" ref="F286">IFERROR([1]!FeetConvert(E286),"")</f>
        <v/>
      </c>
      <c r="H286" s="29" t="str">
        <f>IFERROR(VLOOKUP(A286,T,1,FALSE),"")</f>
        <v/>
      </c>
      <c r="I286" s="29" t="str">
        <f t="shared" si="17"/>
        <v/>
      </c>
      <c r="J286" s="29" t="str">
        <f t="shared" si="18"/>
        <v/>
      </c>
      <c r="K286" s="29" t="str" cm="1">
        <f t="array" ref="K286">IFERROR([2]!CalculateHyphenString(J286),"")</f>
        <v/>
      </c>
      <c r="L286">
        <f t="shared" si="20"/>
        <v>798592</v>
      </c>
    </row>
    <row r="287" spans="1:12" x14ac:dyDescent="0.7">
      <c r="A287" s="3">
        <v>284</v>
      </c>
      <c r="D287" s="49" t="str">
        <f t="shared" si="19"/>
        <v>798592</v>
      </c>
      <c r="E287" s="14" t="str">
        <f>IFERROR(VLOOKUP($A287,TT,10,FALSE),"")</f>
        <v/>
      </c>
      <c r="F287" s="48" t="str" cm="1">
        <f t="array" ref="F287">IFERROR([1]!FeetConvert(E287),"")</f>
        <v/>
      </c>
      <c r="H287" s="29" t="str">
        <f>IFERROR(VLOOKUP(A287,T,1,FALSE),"")</f>
        <v/>
      </c>
      <c r="I287" s="29" t="str">
        <f t="shared" si="17"/>
        <v/>
      </c>
      <c r="J287" s="29" t="str">
        <f t="shared" si="18"/>
        <v/>
      </c>
      <c r="K287" s="29" t="str" cm="1">
        <f t="array" ref="K287">IFERROR([2]!CalculateHyphenString(J287),"")</f>
        <v/>
      </c>
      <c r="L287">
        <f t="shared" si="20"/>
        <v>798592</v>
      </c>
    </row>
    <row r="288" spans="1:12" x14ac:dyDescent="0.7">
      <c r="A288" s="3">
        <v>285</v>
      </c>
      <c r="D288" s="49" t="str">
        <f t="shared" si="19"/>
        <v>798592</v>
      </c>
      <c r="E288" s="14" t="str">
        <f>IFERROR(VLOOKUP($A288,TT,10,FALSE),"")</f>
        <v/>
      </c>
      <c r="F288" s="48" t="str" cm="1">
        <f t="array" ref="F288">IFERROR([1]!FeetConvert(E288),"")</f>
        <v/>
      </c>
      <c r="H288" s="29" t="str">
        <f>IFERROR(VLOOKUP(A288,T,1,FALSE),"")</f>
        <v/>
      </c>
      <c r="I288" s="29" t="str">
        <f t="shared" si="17"/>
        <v/>
      </c>
      <c r="J288" s="29" t="str">
        <f t="shared" si="18"/>
        <v/>
      </c>
      <c r="K288" s="29" t="str" cm="1">
        <f t="array" ref="K288">IFERROR([2]!CalculateHyphenString(J288),"")</f>
        <v/>
      </c>
      <c r="L288">
        <f t="shared" si="20"/>
        <v>798592</v>
      </c>
    </row>
    <row r="289" spans="1:12" x14ac:dyDescent="0.7">
      <c r="A289" s="3">
        <v>286</v>
      </c>
      <c r="D289" s="49" t="str">
        <f t="shared" si="19"/>
        <v>798592</v>
      </c>
      <c r="E289" s="14" t="str">
        <f>IFERROR(VLOOKUP($A289,TT,10,FALSE),"")</f>
        <v/>
      </c>
      <c r="F289" s="48" t="str" cm="1">
        <f t="array" ref="F289">IFERROR([1]!FeetConvert(E289),"")</f>
        <v/>
      </c>
      <c r="H289" s="29" t="str">
        <f>IFERROR(VLOOKUP(A289,T,1,FALSE),"")</f>
        <v/>
      </c>
      <c r="I289" s="29" t="str">
        <f t="shared" si="17"/>
        <v/>
      </c>
      <c r="J289" s="29" t="str">
        <f t="shared" si="18"/>
        <v/>
      </c>
      <c r="K289" s="29" t="str" cm="1">
        <f t="array" ref="K289">IFERROR([2]!CalculateHyphenString(J289),"")</f>
        <v/>
      </c>
      <c r="L289">
        <f t="shared" si="20"/>
        <v>798592</v>
      </c>
    </row>
    <row r="290" spans="1:12" x14ac:dyDescent="0.7">
      <c r="A290" s="3">
        <v>287</v>
      </c>
      <c r="D290" s="49" t="str">
        <f t="shared" si="19"/>
        <v>798592</v>
      </c>
      <c r="E290" s="14" t="str">
        <f>IFERROR(VLOOKUP($A290,TT,10,FALSE),"")</f>
        <v/>
      </c>
      <c r="F290" s="48" t="str" cm="1">
        <f t="array" ref="F290">IFERROR([1]!FeetConvert(E290),"")</f>
        <v/>
      </c>
      <c r="H290" s="29" t="str">
        <f>IFERROR(VLOOKUP(A290,T,1,FALSE),"")</f>
        <v/>
      </c>
      <c r="I290" s="29" t="str">
        <f t="shared" si="17"/>
        <v/>
      </c>
      <c r="J290" s="29" t="str">
        <f t="shared" si="18"/>
        <v/>
      </c>
      <c r="K290" s="29" t="str" cm="1">
        <f t="array" ref="K290">IFERROR([2]!CalculateHyphenString(J290),"")</f>
        <v/>
      </c>
      <c r="L290">
        <f t="shared" si="20"/>
        <v>798592</v>
      </c>
    </row>
    <row r="291" spans="1:12" x14ac:dyDescent="0.7">
      <c r="A291" s="3">
        <v>288</v>
      </c>
      <c r="D291" s="49" t="str">
        <f t="shared" si="19"/>
        <v>798592</v>
      </c>
      <c r="E291" s="14" t="str">
        <f>IFERROR(VLOOKUP($A291,TT,10,FALSE),"")</f>
        <v/>
      </c>
      <c r="F291" s="48" t="str" cm="1">
        <f t="array" ref="F291">IFERROR([1]!FeetConvert(E291),"")</f>
        <v/>
      </c>
      <c r="H291" s="29" t="str">
        <f>IFERROR(VLOOKUP(A291,T,1,FALSE),"")</f>
        <v/>
      </c>
      <c r="I291" s="29" t="str">
        <f t="shared" si="17"/>
        <v/>
      </c>
      <c r="J291" s="29" t="str">
        <f t="shared" si="18"/>
        <v/>
      </c>
      <c r="K291" s="29" t="str" cm="1">
        <f t="array" ref="K291">IFERROR([2]!CalculateHyphenString(J291),"")</f>
        <v/>
      </c>
      <c r="L291">
        <f t="shared" si="20"/>
        <v>798592</v>
      </c>
    </row>
    <row r="292" spans="1:12" x14ac:dyDescent="0.7">
      <c r="A292" s="3">
        <v>289</v>
      </c>
      <c r="D292" s="49" t="str">
        <f t="shared" si="19"/>
        <v>798592</v>
      </c>
      <c r="E292" s="14" t="str">
        <f>IFERROR(VLOOKUP($A292,TT,10,FALSE),"")</f>
        <v/>
      </c>
      <c r="F292" s="48" t="str" cm="1">
        <f t="array" ref="F292">IFERROR([1]!FeetConvert(E292),"")</f>
        <v/>
      </c>
      <c r="H292" s="29" t="str">
        <f>IFERROR(VLOOKUP(A292,T,1,FALSE),"")</f>
        <v/>
      </c>
      <c r="I292" s="29" t="str">
        <f t="shared" si="17"/>
        <v/>
      </c>
      <c r="J292" s="29" t="str">
        <f t="shared" si="18"/>
        <v/>
      </c>
      <c r="K292" s="29" t="str" cm="1">
        <f t="array" ref="K292">IFERROR([2]!CalculateHyphenString(J292),"")</f>
        <v/>
      </c>
      <c r="L292">
        <f t="shared" si="20"/>
        <v>798592</v>
      </c>
    </row>
    <row r="293" spans="1:12" x14ac:dyDescent="0.7">
      <c r="A293" s="3">
        <v>290</v>
      </c>
      <c r="D293" s="49" t="str">
        <f t="shared" si="19"/>
        <v>798592</v>
      </c>
      <c r="E293" s="14" t="str">
        <f>IFERROR(VLOOKUP($A293,TT,10,FALSE),"")</f>
        <v/>
      </c>
      <c r="F293" s="48" t="str" cm="1">
        <f t="array" ref="F293">IFERROR([1]!FeetConvert(E293),"")</f>
        <v/>
      </c>
      <c r="H293" s="29" t="str">
        <f>IFERROR(VLOOKUP(A293,T,1,FALSE),"")</f>
        <v/>
      </c>
      <c r="I293" s="29" t="str">
        <f t="shared" si="17"/>
        <v/>
      </c>
      <c r="J293" s="29" t="str">
        <f t="shared" si="18"/>
        <v/>
      </c>
      <c r="K293" s="29" t="str" cm="1">
        <f t="array" ref="K293">IFERROR([2]!CalculateHyphenString(J293),"")</f>
        <v/>
      </c>
      <c r="L293">
        <f t="shared" si="20"/>
        <v>798592</v>
      </c>
    </row>
    <row r="294" spans="1:12" x14ac:dyDescent="0.7">
      <c r="A294" s="3">
        <v>291</v>
      </c>
      <c r="D294" s="49" t="str">
        <f t="shared" si="19"/>
        <v>798592</v>
      </c>
      <c r="E294" s="14" t="str">
        <f>IFERROR(VLOOKUP($A294,TT,10,FALSE),"")</f>
        <v/>
      </c>
      <c r="F294" s="48" t="str" cm="1">
        <f t="array" ref="F294">IFERROR([1]!FeetConvert(E294),"")</f>
        <v/>
      </c>
      <c r="H294" s="29" t="str">
        <f>IFERROR(VLOOKUP(A294,T,1,FALSE),"")</f>
        <v/>
      </c>
      <c r="I294" s="29" t="str">
        <f t="shared" si="17"/>
        <v/>
      </c>
      <c r="J294" s="29" t="str">
        <f t="shared" si="18"/>
        <v/>
      </c>
      <c r="K294" s="29" t="str" cm="1">
        <f t="array" ref="K294">IFERROR([2]!CalculateHyphenString(J294),"")</f>
        <v/>
      </c>
      <c r="L294">
        <f t="shared" si="20"/>
        <v>798592</v>
      </c>
    </row>
    <row r="295" spans="1:12" x14ac:dyDescent="0.7">
      <c r="A295" s="3">
        <v>292</v>
      </c>
      <c r="D295" s="49" t="str">
        <f t="shared" si="19"/>
        <v>798592</v>
      </c>
      <c r="E295" s="14" t="str">
        <f>IFERROR(VLOOKUP($A295,TT,10,FALSE),"")</f>
        <v/>
      </c>
      <c r="F295" s="48" t="str" cm="1">
        <f t="array" ref="F295">IFERROR([1]!FeetConvert(E295),"")</f>
        <v/>
      </c>
      <c r="H295" s="29" t="str">
        <f>IFERROR(VLOOKUP(A295,T,1,FALSE),"")</f>
        <v/>
      </c>
      <c r="I295" s="29" t="str">
        <f t="shared" si="17"/>
        <v/>
      </c>
      <c r="J295" s="29" t="str">
        <f t="shared" si="18"/>
        <v/>
      </c>
      <c r="K295" s="29" t="str" cm="1">
        <f t="array" ref="K295">IFERROR([2]!CalculateHyphenString(J295),"")</f>
        <v/>
      </c>
      <c r="L295">
        <f t="shared" si="20"/>
        <v>798592</v>
      </c>
    </row>
    <row r="296" spans="1:12" x14ac:dyDescent="0.7">
      <c r="A296" s="3">
        <v>293</v>
      </c>
      <c r="D296" s="49" t="str">
        <f t="shared" si="19"/>
        <v>798592</v>
      </c>
      <c r="E296" s="14" t="str">
        <f>IFERROR(VLOOKUP($A296,TT,10,FALSE),"")</f>
        <v/>
      </c>
      <c r="F296" s="48" t="str" cm="1">
        <f t="array" ref="F296">IFERROR([1]!FeetConvert(E296),"")</f>
        <v/>
      </c>
      <c r="H296" s="29" t="str">
        <f>IFERROR(VLOOKUP(A296,T,1,FALSE),"")</f>
        <v/>
      </c>
      <c r="I296" s="29" t="str">
        <f t="shared" si="17"/>
        <v/>
      </c>
      <c r="J296" s="29" t="str">
        <f t="shared" si="18"/>
        <v/>
      </c>
      <c r="K296" s="29" t="str" cm="1">
        <f t="array" ref="K296">IFERROR([2]!CalculateHyphenString(J296),"")</f>
        <v/>
      </c>
      <c r="L296">
        <f t="shared" si="20"/>
        <v>798592</v>
      </c>
    </row>
    <row r="297" spans="1:12" x14ac:dyDescent="0.7">
      <c r="A297" s="3">
        <v>294</v>
      </c>
      <c r="D297" s="49" t="str">
        <f t="shared" si="19"/>
        <v>798592</v>
      </c>
      <c r="E297" s="14" t="str">
        <f>IFERROR(VLOOKUP($A297,TT,10,FALSE),"")</f>
        <v/>
      </c>
      <c r="F297" s="48" t="str" cm="1">
        <f t="array" ref="F297">IFERROR([1]!FeetConvert(E297),"")</f>
        <v/>
      </c>
      <c r="H297" s="29" t="str">
        <f>IFERROR(VLOOKUP(A297,T,1,FALSE),"")</f>
        <v/>
      </c>
      <c r="I297" s="29" t="str">
        <f t="shared" si="17"/>
        <v/>
      </c>
      <c r="J297" s="29" t="str">
        <f t="shared" si="18"/>
        <v/>
      </c>
      <c r="K297" s="29" t="str" cm="1">
        <f t="array" ref="K297">IFERROR([2]!CalculateHyphenString(J297),"")</f>
        <v/>
      </c>
      <c r="L297">
        <f t="shared" si="20"/>
        <v>798592</v>
      </c>
    </row>
    <row r="298" spans="1:12" x14ac:dyDescent="0.7">
      <c r="A298" s="3">
        <v>295</v>
      </c>
      <c r="D298" s="49" t="str">
        <f t="shared" si="19"/>
        <v>798592</v>
      </c>
      <c r="E298" s="14" t="str">
        <f>IFERROR(VLOOKUP($A298,TT,10,FALSE),"")</f>
        <v/>
      </c>
      <c r="F298" s="48" t="str" cm="1">
        <f t="array" ref="F298">IFERROR([1]!FeetConvert(E298),"")</f>
        <v/>
      </c>
      <c r="H298" s="29" t="str">
        <f>IFERROR(VLOOKUP(A298,T,1,FALSE),"")</f>
        <v/>
      </c>
      <c r="I298" s="29" t="str">
        <f t="shared" si="17"/>
        <v/>
      </c>
      <c r="J298" s="29" t="str">
        <f t="shared" si="18"/>
        <v/>
      </c>
      <c r="K298" s="29" t="str" cm="1">
        <f t="array" ref="K298">IFERROR([2]!CalculateHyphenString(J298),"")</f>
        <v/>
      </c>
      <c r="L298">
        <f t="shared" si="20"/>
        <v>798592</v>
      </c>
    </row>
    <row r="299" spans="1:12" x14ac:dyDescent="0.7">
      <c r="A299" s="3">
        <v>296</v>
      </c>
      <c r="D299" s="49" t="str">
        <f t="shared" si="19"/>
        <v>798592</v>
      </c>
      <c r="E299" s="14" t="str">
        <f>IFERROR(VLOOKUP($A299,TT,10,FALSE),"")</f>
        <v/>
      </c>
      <c r="F299" s="48" t="str" cm="1">
        <f t="array" ref="F299">IFERROR([1]!FeetConvert(E299),"")</f>
        <v/>
      </c>
      <c r="H299" s="29" t="str">
        <f>IFERROR(VLOOKUP(A299,T,1,FALSE),"")</f>
        <v/>
      </c>
      <c r="I299" s="29" t="str">
        <f t="shared" si="17"/>
        <v/>
      </c>
      <c r="J299" s="29" t="str">
        <f t="shared" si="18"/>
        <v/>
      </c>
      <c r="K299" s="29" t="str" cm="1">
        <f t="array" ref="K299">IFERROR([2]!CalculateHyphenString(J299),"")</f>
        <v/>
      </c>
      <c r="L299">
        <f t="shared" si="20"/>
        <v>798592</v>
      </c>
    </row>
    <row r="300" spans="1:12" x14ac:dyDescent="0.7">
      <c r="A300" s="3">
        <v>297</v>
      </c>
      <c r="D300" s="49" t="str">
        <f t="shared" si="19"/>
        <v>798592</v>
      </c>
      <c r="E300" s="14" t="str">
        <f>IFERROR(VLOOKUP($A300,TT,10,FALSE),"")</f>
        <v/>
      </c>
      <c r="F300" s="48" t="str" cm="1">
        <f t="array" ref="F300">IFERROR([1]!FeetConvert(E300),"")</f>
        <v/>
      </c>
      <c r="H300" s="29" t="str">
        <f>IFERROR(VLOOKUP(A300,T,1,FALSE),"")</f>
        <v/>
      </c>
      <c r="I300" s="29" t="str">
        <f t="shared" si="17"/>
        <v/>
      </c>
      <c r="J300" s="29" t="str">
        <f t="shared" si="18"/>
        <v/>
      </c>
      <c r="K300" s="29" t="str" cm="1">
        <f t="array" ref="K300">IFERROR([2]!CalculateHyphenString(J300),"")</f>
        <v/>
      </c>
      <c r="L300">
        <f t="shared" si="20"/>
        <v>798592</v>
      </c>
    </row>
    <row r="301" spans="1:12" x14ac:dyDescent="0.7">
      <c r="A301" s="3">
        <v>298</v>
      </c>
      <c r="D301" s="49" t="str">
        <f t="shared" si="19"/>
        <v>798592</v>
      </c>
      <c r="E301" s="14" t="str">
        <f>IFERROR(VLOOKUP($A301,TT,10,FALSE),"")</f>
        <v/>
      </c>
      <c r="F301" s="48" t="str" cm="1">
        <f t="array" ref="F301">IFERROR([1]!FeetConvert(E301),"")</f>
        <v/>
      </c>
      <c r="H301" s="29" t="str">
        <f>IFERROR(VLOOKUP(A301,T,1,FALSE),"")</f>
        <v/>
      </c>
      <c r="I301" s="29" t="str">
        <f t="shared" si="17"/>
        <v/>
      </c>
      <c r="J301" s="29" t="str">
        <f t="shared" si="18"/>
        <v/>
      </c>
      <c r="K301" s="29" t="str" cm="1">
        <f t="array" ref="K301">IFERROR([2]!CalculateHyphenString(J301),"")</f>
        <v/>
      </c>
      <c r="L301">
        <f t="shared" si="20"/>
        <v>798592</v>
      </c>
    </row>
    <row r="302" spans="1:12" x14ac:dyDescent="0.7">
      <c r="A302" s="3">
        <v>299</v>
      </c>
      <c r="D302" s="49" t="str">
        <f t="shared" si="19"/>
        <v>798592</v>
      </c>
      <c r="E302" s="14" t="str">
        <f>IFERROR(VLOOKUP($A302,TT,10,FALSE),"")</f>
        <v/>
      </c>
      <c r="F302" s="48" t="str" cm="1">
        <f t="array" ref="F302">IFERROR([1]!FeetConvert(E302),"")</f>
        <v/>
      </c>
      <c r="H302" s="29" t="str">
        <f>IFERROR(VLOOKUP(A302,T,1,FALSE),"")</f>
        <v/>
      </c>
      <c r="I302" s="29" t="str">
        <f t="shared" si="17"/>
        <v/>
      </c>
      <c r="J302" s="29" t="str">
        <f t="shared" si="18"/>
        <v/>
      </c>
      <c r="K302" s="29" t="str" cm="1">
        <f t="array" ref="K302">IFERROR([2]!CalculateHyphenString(J302),"")</f>
        <v/>
      </c>
      <c r="L302">
        <f t="shared" si="20"/>
        <v>798592</v>
      </c>
    </row>
    <row r="303" spans="1:12" x14ac:dyDescent="0.7">
      <c r="A303" s="3">
        <v>300</v>
      </c>
      <c r="D303" s="49" t="str">
        <f t="shared" si="19"/>
        <v>798592</v>
      </c>
      <c r="E303" s="14" t="str">
        <f>IFERROR(VLOOKUP($A303,TT,10,FALSE),"")</f>
        <v/>
      </c>
      <c r="F303" s="48" t="str" cm="1">
        <f t="array" ref="F303">IFERROR([1]!FeetConvert(E303),"")</f>
        <v/>
      </c>
      <c r="H303" s="29" t="str">
        <f>IFERROR(VLOOKUP(A303,T,1,FALSE),"")</f>
        <v/>
      </c>
      <c r="I303" s="29" t="str">
        <f t="shared" si="17"/>
        <v/>
      </c>
      <c r="J303" s="29" t="str">
        <f t="shared" si="18"/>
        <v/>
      </c>
      <c r="K303" s="29" t="str" cm="1">
        <f t="array" ref="K303">IFERROR([2]!CalculateHyphenString(J303),"")</f>
        <v/>
      </c>
      <c r="L303">
        <f t="shared" si="20"/>
        <v>798592</v>
      </c>
    </row>
    <row r="304" spans="1:12" x14ac:dyDescent="0.7">
      <c r="A304" s="3">
        <v>301</v>
      </c>
      <c r="D304" s="49" t="str">
        <f t="shared" si="19"/>
        <v>798592</v>
      </c>
      <c r="E304" s="14" t="str">
        <f>IFERROR(VLOOKUP($A304,TT,10,FALSE),"")</f>
        <v/>
      </c>
      <c r="F304" s="48" t="str" cm="1">
        <f t="array" ref="F304">IFERROR([1]!FeetConvert(E304),"")</f>
        <v/>
      </c>
      <c r="H304" s="29" t="str">
        <f>IFERROR(VLOOKUP(A304,T,1,FALSE),"")</f>
        <v/>
      </c>
      <c r="I304" s="29" t="str">
        <f t="shared" si="17"/>
        <v/>
      </c>
      <c r="J304" s="29" t="str">
        <f t="shared" si="18"/>
        <v/>
      </c>
      <c r="K304" s="29" t="str" cm="1">
        <f t="array" ref="K304">IFERROR([2]!CalculateHyphenString(J304),"")</f>
        <v/>
      </c>
      <c r="L304">
        <f t="shared" si="20"/>
        <v>798592</v>
      </c>
    </row>
    <row r="305" spans="1:12" x14ac:dyDescent="0.7">
      <c r="A305" s="3">
        <v>302</v>
      </c>
      <c r="D305" s="49" t="str">
        <f t="shared" si="19"/>
        <v>798592</v>
      </c>
      <c r="E305" s="14" t="str">
        <f>IFERROR(VLOOKUP($A305,TT,10,FALSE),"")</f>
        <v/>
      </c>
      <c r="F305" s="48" t="str" cm="1">
        <f t="array" ref="F305">IFERROR([1]!FeetConvert(E305),"")</f>
        <v/>
      </c>
      <c r="H305" s="29" t="str">
        <f>IFERROR(VLOOKUP(A305,T,1,FALSE),"")</f>
        <v/>
      </c>
      <c r="I305" s="29" t="str">
        <f t="shared" si="17"/>
        <v/>
      </c>
      <c r="J305" s="29" t="str">
        <f t="shared" si="18"/>
        <v/>
      </c>
      <c r="K305" s="29" t="str" cm="1">
        <f t="array" ref="K305">IFERROR([2]!CalculateHyphenString(J305),"")</f>
        <v/>
      </c>
      <c r="L305">
        <f t="shared" si="20"/>
        <v>798592</v>
      </c>
    </row>
    <row r="306" spans="1:12" x14ac:dyDescent="0.7">
      <c r="A306" s="3">
        <v>303</v>
      </c>
      <c r="D306" s="49" t="str">
        <f t="shared" si="19"/>
        <v>798592</v>
      </c>
      <c r="E306" s="14" t="str">
        <f>IFERROR(VLOOKUP($A306,TT,10,FALSE),"")</f>
        <v/>
      </c>
      <c r="F306" s="48" t="str" cm="1">
        <f t="array" ref="F306">IFERROR([1]!FeetConvert(E306),"")</f>
        <v/>
      </c>
      <c r="H306" s="29" t="str">
        <f>IFERROR(VLOOKUP(A306,T,1,FALSE),"")</f>
        <v/>
      </c>
      <c r="I306" s="29" t="str">
        <f t="shared" si="17"/>
        <v/>
      </c>
      <c r="J306" s="29" t="str">
        <f t="shared" si="18"/>
        <v/>
      </c>
      <c r="K306" s="29" t="str" cm="1">
        <f t="array" ref="K306">IFERROR([2]!CalculateHyphenString(J306),"")</f>
        <v/>
      </c>
      <c r="L306">
        <f t="shared" si="20"/>
        <v>798592</v>
      </c>
    </row>
    <row r="307" spans="1:12" x14ac:dyDescent="0.7">
      <c r="A307" s="3">
        <v>304</v>
      </c>
      <c r="D307" s="49" t="str">
        <f t="shared" si="19"/>
        <v>798592</v>
      </c>
      <c r="E307" s="14" t="str">
        <f>IFERROR(VLOOKUP($A307,TT,10,FALSE),"")</f>
        <v/>
      </c>
      <c r="F307" s="48" t="str" cm="1">
        <f t="array" ref="F307">IFERROR([1]!FeetConvert(E307),"")</f>
        <v/>
      </c>
      <c r="H307" s="29" t="str">
        <f>IFERROR(VLOOKUP(A307,T,1,FALSE),"")</f>
        <v/>
      </c>
      <c r="I307" s="29" t="str">
        <f t="shared" si="17"/>
        <v/>
      </c>
      <c r="J307" s="29" t="str">
        <f t="shared" si="18"/>
        <v/>
      </c>
      <c r="K307" s="29" t="str" cm="1">
        <f t="array" ref="K307">IFERROR([2]!CalculateHyphenString(J307),"")</f>
        <v/>
      </c>
      <c r="L307">
        <f t="shared" si="20"/>
        <v>798592</v>
      </c>
    </row>
    <row r="308" spans="1:12" x14ac:dyDescent="0.7">
      <c r="A308" s="3">
        <v>305</v>
      </c>
      <c r="D308" s="49" t="str">
        <f t="shared" si="19"/>
        <v>798592</v>
      </c>
      <c r="E308" s="14" t="str">
        <f>IFERROR(VLOOKUP($A308,TT,10,FALSE),"")</f>
        <v/>
      </c>
      <c r="F308" s="48" t="str" cm="1">
        <f t="array" ref="F308">IFERROR([1]!FeetConvert(E308),"")</f>
        <v/>
      </c>
      <c r="H308" s="29" t="str">
        <f>IFERROR(VLOOKUP(A308,T,1,FALSE),"")</f>
        <v/>
      </c>
      <c r="I308" s="29" t="str">
        <f t="shared" si="17"/>
        <v/>
      </c>
      <c r="J308" s="29" t="str">
        <f t="shared" si="18"/>
        <v/>
      </c>
      <c r="K308" s="29" t="str" cm="1">
        <f t="array" ref="K308">IFERROR([2]!CalculateHyphenString(J308),"")</f>
        <v/>
      </c>
      <c r="L308">
        <f t="shared" si="20"/>
        <v>798592</v>
      </c>
    </row>
    <row r="309" spans="1:12" x14ac:dyDescent="0.7">
      <c r="A309" s="3">
        <v>306</v>
      </c>
      <c r="D309" s="49" t="str">
        <f t="shared" si="19"/>
        <v>798592</v>
      </c>
      <c r="E309" s="14" t="str">
        <f>IFERROR(VLOOKUP($A309,TT,10,FALSE),"")</f>
        <v/>
      </c>
      <c r="F309" s="48" t="str" cm="1">
        <f t="array" ref="F309">IFERROR([1]!FeetConvert(E309),"")</f>
        <v/>
      </c>
      <c r="H309" s="29" t="str">
        <f>IFERROR(VLOOKUP(A309,T,1,FALSE),"")</f>
        <v/>
      </c>
      <c r="I309" s="29" t="str">
        <f t="shared" si="17"/>
        <v/>
      </c>
      <c r="J309" s="29" t="str">
        <f t="shared" si="18"/>
        <v/>
      </c>
      <c r="K309" s="29" t="str" cm="1">
        <f t="array" ref="K309">IFERROR([2]!CalculateHyphenString(J309),"")</f>
        <v/>
      </c>
      <c r="L309">
        <f t="shared" si="20"/>
        <v>798592</v>
      </c>
    </row>
    <row r="310" spans="1:12" x14ac:dyDescent="0.7">
      <c r="A310" s="3">
        <v>307</v>
      </c>
      <c r="D310" s="49" t="str">
        <f t="shared" si="19"/>
        <v>798592</v>
      </c>
      <c r="E310" s="14" t="str">
        <f>IFERROR(VLOOKUP($A310,TT,10,FALSE),"")</f>
        <v/>
      </c>
      <c r="F310" s="48" t="str" cm="1">
        <f t="array" ref="F310">IFERROR([1]!FeetConvert(E310),"")</f>
        <v/>
      </c>
      <c r="H310" s="29" t="str">
        <f>IFERROR(VLOOKUP(A310,T,1,FALSE),"")</f>
        <v/>
      </c>
      <c r="I310" s="29" t="str">
        <f t="shared" si="17"/>
        <v/>
      </c>
      <c r="J310" s="29" t="str">
        <f t="shared" si="18"/>
        <v/>
      </c>
      <c r="K310" s="29" t="str" cm="1">
        <f t="array" ref="K310">IFERROR([2]!CalculateHyphenString(J310),"")</f>
        <v/>
      </c>
      <c r="L310">
        <f t="shared" si="20"/>
        <v>798592</v>
      </c>
    </row>
    <row r="311" spans="1:12" x14ac:dyDescent="0.7">
      <c r="A311" s="3">
        <v>308</v>
      </c>
      <c r="D311" s="49" t="str">
        <f t="shared" si="19"/>
        <v>798592</v>
      </c>
      <c r="E311" s="14" t="str">
        <f>IFERROR(VLOOKUP($A311,TT,10,FALSE),"")</f>
        <v/>
      </c>
      <c r="F311" s="48" t="str" cm="1">
        <f t="array" ref="F311">IFERROR([1]!FeetConvert(E311),"")</f>
        <v/>
      </c>
      <c r="H311" s="29" t="str">
        <f>IFERROR(VLOOKUP(A311,T,1,FALSE),"")</f>
        <v/>
      </c>
      <c r="I311" s="29" t="str">
        <f t="shared" si="17"/>
        <v/>
      </c>
      <c r="J311" s="29" t="str">
        <f t="shared" si="18"/>
        <v/>
      </c>
      <c r="K311" s="29" t="str" cm="1">
        <f t="array" ref="K311">IFERROR([2]!CalculateHyphenString(J311),"")</f>
        <v/>
      </c>
      <c r="L311">
        <f t="shared" si="20"/>
        <v>798592</v>
      </c>
    </row>
    <row r="312" spans="1:12" x14ac:dyDescent="0.7">
      <c r="A312" s="3">
        <v>309</v>
      </c>
      <c r="D312" s="49" t="str">
        <f t="shared" si="19"/>
        <v>798592</v>
      </c>
      <c r="E312" s="14" t="str">
        <f>IFERROR(VLOOKUP($A312,TT,10,FALSE),"")</f>
        <v/>
      </c>
      <c r="F312" s="48" t="str" cm="1">
        <f t="array" ref="F312">IFERROR([1]!FeetConvert(E312),"")</f>
        <v/>
      </c>
      <c r="H312" s="29" t="str">
        <f>IFERROR(VLOOKUP(A312,T,1,FALSE),"")</f>
        <v/>
      </c>
      <c r="I312" s="29" t="str">
        <f t="shared" si="17"/>
        <v/>
      </c>
      <c r="J312" s="29" t="str">
        <f t="shared" si="18"/>
        <v/>
      </c>
      <c r="K312" s="29" t="str" cm="1">
        <f t="array" ref="K312">IFERROR([2]!CalculateHyphenString(J312),"")</f>
        <v/>
      </c>
      <c r="L312">
        <f t="shared" si="20"/>
        <v>798592</v>
      </c>
    </row>
    <row r="313" spans="1:12" x14ac:dyDescent="0.7">
      <c r="A313" s="3">
        <v>310</v>
      </c>
      <c r="D313" s="49" t="str">
        <f t="shared" si="19"/>
        <v>798592</v>
      </c>
      <c r="E313" s="14" t="str">
        <f>IFERROR(VLOOKUP($A313,TT,10,FALSE),"")</f>
        <v/>
      </c>
      <c r="F313" s="48" t="str" cm="1">
        <f t="array" ref="F313">IFERROR([1]!FeetConvert(E313),"")</f>
        <v/>
      </c>
      <c r="H313" s="29" t="str">
        <f>IFERROR(VLOOKUP(A313,T,1,FALSE),"")</f>
        <v/>
      </c>
      <c r="I313" s="29" t="str">
        <f t="shared" si="17"/>
        <v/>
      </c>
      <c r="J313" s="29" t="str">
        <f t="shared" si="18"/>
        <v/>
      </c>
      <c r="K313" s="29" t="str" cm="1">
        <f t="array" ref="K313">IFERROR([2]!CalculateHyphenString(J313),"")</f>
        <v/>
      </c>
      <c r="L313">
        <f t="shared" si="20"/>
        <v>798592</v>
      </c>
    </row>
    <row r="314" spans="1:12" x14ac:dyDescent="0.7">
      <c r="A314" s="3">
        <v>311</v>
      </c>
      <c r="D314" s="49" t="str">
        <f t="shared" si="19"/>
        <v>798592</v>
      </c>
      <c r="E314" s="14" t="str">
        <f>IFERROR(VLOOKUP($A314,TT,10,FALSE),"")</f>
        <v/>
      </c>
      <c r="F314" s="48" t="str" cm="1">
        <f t="array" ref="F314">IFERROR([1]!FeetConvert(E314),"")</f>
        <v/>
      </c>
      <c r="H314" s="29" t="str">
        <f>IFERROR(VLOOKUP(A314,T,1,FALSE),"")</f>
        <v/>
      </c>
      <c r="I314" s="29" t="str">
        <f t="shared" si="17"/>
        <v/>
      </c>
      <c r="J314" s="29" t="str">
        <f t="shared" si="18"/>
        <v/>
      </c>
      <c r="K314" s="29" t="str" cm="1">
        <f t="array" ref="K314">IFERROR([2]!CalculateHyphenString(J314),"")</f>
        <v/>
      </c>
      <c r="L314">
        <f t="shared" si="20"/>
        <v>798592</v>
      </c>
    </row>
    <row r="315" spans="1:12" x14ac:dyDescent="0.7">
      <c r="A315" s="3">
        <v>312</v>
      </c>
      <c r="D315" s="49" t="str">
        <f t="shared" si="19"/>
        <v>798592</v>
      </c>
      <c r="E315" s="14" t="str">
        <f>IFERROR(VLOOKUP($A315,TT,10,FALSE),"")</f>
        <v/>
      </c>
      <c r="F315" s="48" t="str" cm="1">
        <f t="array" ref="F315">IFERROR([1]!FeetConvert(E315),"")</f>
        <v/>
      </c>
      <c r="H315" s="29" t="str">
        <f>IFERROR(VLOOKUP(A315,T,1,FALSE),"")</f>
        <v/>
      </c>
      <c r="I315" s="29" t="str">
        <f t="shared" si="17"/>
        <v/>
      </c>
      <c r="J315" s="29" t="str">
        <f t="shared" si="18"/>
        <v/>
      </c>
      <c r="K315" s="29" t="str" cm="1">
        <f t="array" ref="K315">IFERROR([2]!CalculateHyphenString(J315),"")</f>
        <v/>
      </c>
      <c r="L315">
        <f t="shared" si="20"/>
        <v>798592</v>
      </c>
    </row>
    <row r="316" spans="1:12" x14ac:dyDescent="0.7">
      <c r="A316" s="3">
        <v>313</v>
      </c>
      <c r="D316" s="49" t="str">
        <f t="shared" si="19"/>
        <v>798592</v>
      </c>
      <c r="E316" s="14" t="str">
        <f>IFERROR(VLOOKUP($A316,TT,10,FALSE),"")</f>
        <v/>
      </c>
      <c r="F316" s="48" t="str" cm="1">
        <f t="array" ref="F316">IFERROR([1]!FeetConvert(E316),"")</f>
        <v/>
      </c>
      <c r="H316" s="29" t="str">
        <f>IFERROR(VLOOKUP(A316,T,1,FALSE),"")</f>
        <v/>
      </c>
      <c r="I316" s="29" t="str">
        <f t="shared" si="17"/>
        <v/>
      </c>
      <c r="J316" s="29" t="str">
        <f t="shared" si="18"/>
        <v/>
      </c>
      <c r="K316" s="29" t="str" cm="1">
        <f t="array" ref="K316">IFERROR([2]!CalculateHyphenString(J316),"")</f>
        <v/>
      </c>
      <c r="L316">
        <f t="shared" si="20"/>
        <v>798592</v>
      </c>
    </row>
    <row r="317" spans="1:12" x14ac:dyDescent="0.7">
      <c r="A317" s="3">
        <v>314</v>
      </c>
      <c r="D317" s="49" t="str">
        <f t="shared" si="19"/>
        <v>798592</v>
      </c>
      <c r="E317" s="14" t="str">
        <f>IFERROR(VLOOKUP($A317,TT,10,FALSE),"")</f>
        <v/>
      </c>
      <c r="F317" s="48" t="str" cm="1">
        <f t="array" ref="F317">IFERROR([1]!FeetConvert(E317),"")</f>
        <v/>
      </c>
      <c r="H317" s="29" t="str">
        <f>IFERROR(VLOOKUP(A317,T,1,FALSE),"")</f>
        <v/>
      </c>
      <c r="I317" s="29" t="str">
        <f t="shared" si="17"/>
        <v/>
      </c>
      <c r="J317" s="29" t="str">
        <f t="shared" si="18"/>
        <v/>
      </c>
      <c r="K317" s="29" t="str" cm="1">
        <f t="array" ref="K317">IFERROR([2]!CalculateHyphenString(J317),"")</f>
        <v/>
      </c>
      <c r="L317">
        <f t="shared" si="20"/>
        <v>798592</v>
      </c>
    </row>
    <row r="318" spans="1:12" x14ac:dyDescent="0.7">
      <c r="A318" s="3">
        <v>315</v>
      </c>
      <c r="D318" s="49" t="str">
        <f t="shared" si="19"/>
        <v>798592</v>
      </c>
      <c r="E318" s="14" t="str">
        <f>IFERROR(VLOOKUP($A318,TT,10,FALSE),"")</f>
        <v/>
      </c>
      <c r="F318" s="48" t="str" cm="1">
        <f t="array" ref="F318">IFERROR([1]!FeetConvert(E318),"")</f>
        <v/>
      </c>
      <c r="H318" s="29" t="str">
        <f>IFERROR(VLOOKUP(A318,T,1,FALSE),"")</f>
        <v/>
      </c>
      <c r="I318" s="29" t="str">
        <f t="shared" si="17"/>
        <v/>
      </c>
      <c r="J318" s="29" t="str">
        <f t="shared" si="18"/>
        <v/>
      </c>
      <c r="K318" s="29" t="str" cm="1">
        <f t="array" ref="K318">IFERROR([2]!CalculateHyphenString(J318),"")</f>
        <v/>
      </c>
      <c r="L318">
        <f t="shared" si="20"/>
        <v>798592</v>
      </c>
    </row>
    <row r="319" spans="1:12" x14ac:dyDescent="0.7">
      <c r="A319" s="3">
        <v>316</v>
      </c>
      <c r="D319" s="49" t="str">
        <f t="shared" si="19"/>
        <v>798592</v>
      </c>
      <c r="E319" s="14" t="str">
        <f>IFERROR(VLOOKUP($A319,TT,10,FALSE),"")</f>
        <v/>
      </c>
      <c r="F319" s="48" t="str" cm="1">
        <f t="array" ref="F319">IFERROR([1]!FeetConvert(E319),"")</f>
        <v/>
      </c>
      <c r="H319" s="29" t="str">
        <f>IFERROR(VLOOKUP(A319,T,1,FALSE),"")</f>
        <v/>
      </c>
      <c r="I319" s="29" t="str">
        <f t="shared" si="17"/>
        <v/>
      </c>
      <c r="J319" s="29" t="str">
        <f t="shared" si="18"/>
        <v/>
      </c>
      <c r="K319" s="29" t="str" cm="1">
        <f t="array" ref="K319">IFERROR([2]!CalculateHyphenString(J319),"")</f>
        <v/>
      </c>
      <c r="L319">
        <f t="shared" si="20"/>
        <v>798592</v>
      </c>
    </row>
    <row r="320" spans="1:12" x14ac:dyDescent="0.7">
      <c r="A320" s="3">
        <v>317</v>
      </c>
      <c r="D320" s="49" t="str">
        <f t="shared" si="19"/>
        <v>798592</v>
      </c>
      <c r="E320" s="14" t="str">
        <f>IFERROR(VLOOKUP($A320,TT,10,FALSE),"")</f>
        <v/>
      </c>
      <c r="F320" s="48" t="str" cm="1">
        <f t="array" ref="F320">IFERROR([1]!FeetConvert(E320),"")</f>
        <v/>
      </c>
      <c r="H320" s="29" t="str">
        <f>IFERROR(VLOOKUP(A320,T,1,FALSE),"")</f>
        <v/>
      </c>
      <c r="I320" s="29" t="str">
        <f t="shared" si="17"/>
        <v/>
      </c>
      <c r="J320" s="29" t="str">
        <f t="shared" si="18"/>
        <v/>
      </c>
      <c r="K320" s="29" t="str" cm="1">
        <f t="array" ref="K320">IFERROR([2]!CalculateHyphenString(J320),"")</f>
        <v/>
      </c>
      <c r="L320">
        <f t="shared" si="20"/>
        <v>798592</v>
      </c>
    </row>
    <row r="321" spans="1:12" x14ac:dyDescent="0.7">
      <c r="A321" s="3">
        <v>318</v>
      </c>
      <c r="D321" s="49" t="str">
        <f t="shared" si="19"/>
        <v>798592</v>
      </c>
      <c r="E321" s="14" t="str">
        <f>IFERROR(VLOOKUP($A321,TT,10,FALSE),"")</f>
        <v/>
      </c>
      <c r="F321" s="48" t="str" cm="1">
        <f t="array" ref="F321">IFERROR([1]!FeetConvert(E321),"")</f>
        <v/>
      </c>
      <c r="H321" s="29" t="str">
        <f>IFERROR(VLOOKUP(A321,T,1,FALSE),"")</f>
        <v/>
      </c>
      <c r="I321" s="29" t="str">
        <f t="shared" si="17"/>
        <v/>
      </c>
      <c r="J321" s="29" t="str">
        <f t="shared" si="18"/>
        <v/>
      </c>
      <c r="K321" s="29" t="str" cm="1">
        <f t="array" ref="K321">IFERROR([2]!CalculateHyphenString(J321),"")</f>
        <v/>
      </c>
      <c r="L321">
        <f t="shared" si="20"/>
        <v>798592</v>
      </c>
    </row>
    <row r="322" spans="1:12" x14ac:dyDescent="0.7">
      <c r="A322" s="3">
        <v>319</v>
      </c>
      <c r="D322" s="49" t="str">
        <f t="shared" si="19"/>
        <v>798592</v>
      </c>
      <c r="E322" s="14" t="str">
        <f>IFERROR(VLOOKUP($A322,TT,10,FALSE),"")</f>
        <v/>
      </c>
      <c r="F322" s="48" t="str" cm="1">
        <f t="array" ref="F322">IFERROR([1]!FeetConvert(E322),"")</f>
        <v/>
      </c>
      <c r="H322" s="29" t="str">
        <f>IFERROR(VLOOKUP(A322,T,1,FALSE),"")</f>
        <v/>
      </c>
      <c r="I322" s="29" t="str">
        <f t="shared" si="17"/>
        <v/>
      </c>
      <c r="J322" s="29" t="str">
        <f t="shared" si="18"/>
        <v/>
      </c>
      <c r="K322" s="29" t="str" cm="1">
        <f t="array" ref="K322">IFERROR([2]!CalculateHyphenString(J322),"")</f>
        <v/>
      </c>
      <c r="L322">
        <f t="shared" si="20"/>
        <v>798592</v>
      </c>
    </row>
    <row r="323" spans="1:12" x14ac:dyDescent="0.7">
      <c r="A323" s="3">
        <v>320</v>
      </c>
      <c r="D323" s="49" t="str">
        <f t="shared" si="19"/>
        <v>798592</v>
      </c>
      <c r="E323" s="14" t="str">
        <f>IFERROR(VLOOKUP($A323,TT,10,FALSE),"")</f>
        <v/>
      </c>
      <c r="F323" s="48" t="str" cm="1">
        <f t="array" ref="F323">IFERROR([1]!FeetConvert(E323),"")</f>
        <v/>
      </c>
      <c r="H323" s="29" t="str">
        <f>IFERROR(VLOOKUP(A323,T,1,FALSE),"")</f>
        <v/>
      </c>
      <c r="I323" s="29" t="str">
        <f t="shared" si="17"/>
        <v/>
      </c>
      <c r="J323" s="29" t="str">
        <f t="shared" si="18"/>
        <v/>
      </c>
      <c r="K323" s="29" t="str" cm="1">
        <f t="array" ref="K323">IFERROR([2]!CalculateHyphenString(J323),"")</f>
        <v/>
      </c>
      <c r="L323">
        <f t="shared" si="20"/>
        <v>798592</v>
      </c>
    </row>
    <row r="324" spans="1:12" x14ac:dyDescent="0.7">
      <c r="A324" s="3">
        <v>321</v>
      </c>
      <c r="D324" s="49" t="str">
        <f t="shared" si="19"/>
        <v>798592</v>
      </c>
      <c r="E324" s="14" t="str">
        <f>IFERROR(VLOOKUP($A324,TT,10,FALSE),"")</f>
        <v/>
      </c>
      <c r="F324" s="48" t="str" cm="1">
        <f t="array" ref="F324">IFERROR([1]!FeetConvert(E324),"")</f>
        <v/>
      </c>
      <c r="H324" s="29" t="str">
        <f>IFERROR(VLOOKUP(A324,T,1,FALSE),"")</f>
        <v/>
      </c>
      <c r="I324" s="29" t="str">
        <f t="shared" ref="I324:I387" si="21">IFERROR(VLOOKUP(A324,T,2,FALSE),"")</f>
        <v/>
      </c>
      <c r="J324" s="29" t="str">
        <f t="shared" ref="J324:J387" si="22">IFERROR(VLOOKUP(A324,T,3,FALSE),"")</f>
        <v/>
      </c>
      <c r="K324" s="29" t="str" cm="1">
        <f t="array" ref="K324">IFERROR([2]!CalculateHyphenString(J324),"")</f>
        <v/>
      </c>
      <c r="L324">
        <f t="shared" si="20"/>
        <v>798592</v>
      </c>
    </row>
    <row r="325" spans="1:12" x14ac:dyDescent="0.7">
      <c r="A325" s="3">
        <v>322</v>
      </c>
      <c r="D325" s="49" t="str">
        <f t="shared" ref="D325:D388" si="23">_xlfn.TEXTJOIN("/",TRUE,E325,L325)</f>
        <v>798592</v>
      </c>
      <c r="E325" s="14" t="str">
        <f>IFERROR(VLOOKUP($A325,TT,10,FALSE),"")</f>
        <v/>
      </c>
      <c r="F325" s="48" t="str" cm="1">
        <f t="array" ref="F325">IFERROR([1]!FeetConvert(E325),"")</f>
        <v/>
      </c>
      <c r="H325" s="29" t="str">
        <f>IFERROR(VLOOKUP(A325,T,1,FALSE),"")</f>
        <v/>
      </c>
      <c r="I325" s="29" t="str">
        <f t="shared" si="21"/>
        <v/>
      </c>
      <c r="J325" s="29" t="str">
        <f t="shared" si="22"/>
        <v/>
      </c>
      <c r="K325" s="29" t="str" cm="1">
        <f t="array" ref="K325">IFERROR([2]!CalculateHyphenString(J325),"")</f>
        <v/>
      </c>
      <c r="L325">
        <f t="shared" ref="L325:L388" si="24">$E$2</f>
        <v>798592</v>
      </c>
    </row>
    <row r="326" spans="1:12" x14ac:dyDescent="0.7">
      <c r="A326" s="3">
        <v>323</v>
      </c>
      <c r="D326" s="49" t="str">
        <f t="shared" si="23"/>
        <v>798592</v>
      </c>
      <c r="E326" s="14" t="str">
        <f>IFERROR(VLOOKUP($A326,TT,10,FALSE),"")</f>
        <v/>
      </c>
      <c r="F326" s="48" t="str" cm="1">
        <f t="array" ref="F326">IFERROR([1]!FeetConvert(E326),"")</f>
        <v/>
      </c>
      <c r="H326" s="29" t="str">
        <f>IFERROR(VLOOKUP(A326,T,1,FALSE),"")</f>
        <v/>
      </c>
      <c r="I326" s="29" t="str">
        <f t="shared" si="21"/>
        <v/>
      </c>
      <c r="J326" s="29" t="str">
        <f t="shared" si="22"/>
        <v/>
      </c>
      <c r="K326" s="29" t="str" cm="1">
        <f t="array" ref="K326">IFERROR([2]!CalculateHyphenString(J326),"")</f>
        <v/>
      </c>
      <c r="L326">
        <f t="shared" si="24"/>
        <v>798592</v>
      </c>
    </row>
    <row r="327" spans="1:12" x14ac:dyDescent="0.7">
      <c r="A327" s="3">
        <v>324</v>
      </c>
      <c r="D327" s="49" t="str">
        <f t="shared" si="23"/>
        <v>798592</v>
      </c>
      <c r="E327" s="14" t="str">
        <f>IFERROR(VLOOKUP($A327,TT,10,FALSE),"")</f>
        <v/>
      </c>
      <c r="F327" s="48" t="str" cm="1">
        <f t="array" ref="F327">IFERROR([1]!FeetConvert(E327),"")</f>
        <v/>
      </c>
      <c r="H327" s="29" t="str">
        <f>IFERROR(VLOOKUP(A327,T,1,FALSE),"")</f>
        <v/>
      </c>
      <c r="I327" s="29" t="str">
        <f t="shared" si="21"/>
        <v/>
      </c>
      <c r="J327" s="29" t="str">
        <f t="shared" si="22"/>
        <v/>
      </c>
      <c r="K327" s="29" t="str" cm="1">
        <f t="array" ref="K327">IFERROR([2]!CalculateHyphenString(J327),"")</f>
        <v/>
      </c>
      <c r="L327">
        <f t="shared" si="24"/>
        <v>798592</v>
      </c>
    </row>
    <row r="328" spans="1:12" x14ac:dyDescent="0.7">
      <c r="A328" s="3">
        <v>325</v>
      </c>
      <c r="D328" s="49" t="str">
        <f t="shared" si="23"/>
        <v>798592</v>
      </c>
      <c r="E328" s="14" t="str">
        <f>IFERROR(VLOOKUP($A328,TT,10,FALSE),"")</f>
        <v/>
      </c>
      <c r="F328" s="48" t="str" cm="1">
        <f t="array" ref="F328">IFERROR([1]!FeetConvert(E328),"")</f>
        <v/>
      </c>
      <c r="H328" s="29" t="str">
        <f>IFERROR(VLOOKUP(A328,T,1,FALSE),"")</f>
        <v/>
      </c>
      <c r="I328" s="29" t="str">
        <f t="shared" si="21"/>
        <v/>
      </c>
      <c r="J328" s="29" t="str">
        <f t="shared" si="22"/>
        <v/>
      </c>
      <c r="K328" s="29" t="str" cm="1">
        <f t="array" ref="K328">IFERROR([2]!CalculateHyphenString(J328),"")</f>
        <v/>
      </c>
      <c r="L328">
        <f t="shared" si="24"/>
        <v>798592</v>
      </c>
    </row>
    <row r="329" spans="1:12" x14ac:dyDescent="0.7">
      <c r="A329" s="3">
        <v>326</v>
      </c>
      <c r="D329" s="49" t="str">
        <f t="shared" si="23"/>
        <v>798592</v>
      </c>
      <c r="E329" s="14" t="str">
        <f>IFERROR(VLOOKUP($A329,TT,10,FALSE),"")</f>
        <v/>
      </c>
      <c r="F329" s="48" t="str" cm="1">
        <f t="array" ref="F329">IFERROR([1]!FeetConvert(E329),"")</f>
        <v/>
      </c>
      <c r="H329" s="29" t="str">
        <f>IFERROR(VLOOKUP(A329,T,1,FALSE),"")</f>
        <v/>
      </c>
      <c r="I329" s="29" t="str">
        <f t="shared" si="21"/>
        <v/>
      </c>
      <c r="J329" s="29" t="str">
        <f t="shared" si="22"/>
        <v/>
      </c>
      <c r="K329" s="29" t="str" cm="1">
        <f t="array" ref="K329">IFERROR([2]!CalculateHyphenString(J329),"")</f>
        <v/>
      </c>
      <c r="L329">
        <f t="shared" si="24"/>
        <v>798592</v>
      </c>
    </row>
    <row r="330" spans="1:12" x14ac:dyDescent="0.7">
      <c r="A330" s="3">
        <v>327</v>
      </c>
      <c r="D330" s="49" t="str">
        <f t="shared" si="23"/>
        <v>798592</v>
      </c>
      <c r="E330" s="14" t="str">
        <f>IFERROR(VLOOKUP($A330,TT,10,FALSE),"")</f>
        <v/>
      </c>
      <c r="F330" s="48" t="str" cm="1">
        <f t="array" ref="F330">IFERROR([1]!FeetConvert(E330),"")</f>
        <v/>
      </c>
      <c r="H330" s="29" t="str">
        <f>IFERROR(VLOOKUP(A330,T,1,FALSE),"")</f>
        <v/>
      </c>
      <c r="I330" s="29" t="str">
        <f t="shared" si="21"/>
        <v/>
      </c>
      <c r="J330" s="29" t="str">
        <f t="shared" si="22"/>
        <v/>
      </c>
      <c r="K330" s="29" t="str" cm="1">
        <f t="array" ref="K330">IFERROR([2]!CalculateHyphenString(J330),"")</f>
        <v/>
      </c>
      <c r="L330">
        <f t="shared" si="24"/>
        <v>798592</v>
      </c>
    </row>
    <row r="331" spans="1:12" x14ac:dyDescent="0.7">
      <c r="A331" s="3">
        <v>328</v>
      </c>
      <c r="D331" s="49" t="str">
        <f t="shared" si="23"/>
        <v>798592</v>
      </c>
      <c r="E331" s="14" t="str">
        <f>IFERROR(VLOOKUP($A331,TT,10,FALSE),"")</f>
        <v/>
      </c>
      <c r="F331" s="48" t="str" cm="1">
        <f t="array" ref="F331">IFERROR([1]!FeetConvert(E331),"")</f>
        <v/>
      </c>
      <c r="H331" s="29" t="str">
        <f>IFERROR(VLOOKUP(A331,T,1,FALSE),"")</f>
        <v/>
      </c>
      <c r="I331" s="29" t="str">
        <f t="shared" si="21"/>
        <v/>
      </c>
      <c r="J331" s="29" t="str">
        <f t="shared" si="22"/>
        <v/>
      </c>
      <c r="K331" s="29" t="str" cm="1">
        <f t="array" ref="K331">IFERROR([2]!CalculateHyphenString(J331),"")</f>
        <v/>
      </c>
      <c r="L331">
        <f t="shared" si="24"/>
        <v>798592</v>
      </c>
    </row>
    <row r="332" spans="1:12" x14ac:dyDescent="0.7">
      <c r="A332" s="3">
        <v>329</v>
      </c>
      <c r="D332" s="49" t="str">
        <f t="shared" si="23"/>
        <v>798592</v>
      </c>
      <c r="E332" s="14" t="str">
        <f>IFERROR(VLOOKUP($A332,TT,10,FALSE),"")</f>
        <v/>
      </c>
      <c r="F332" s="48" t="str" cm="1">
        <f t="array" ref="F332">IFERROR([1]!FeetConvert(E332),"")</f>
        <v/>
      </c>
      <c r="H332" s="29" t="str">
        <f>IFERROR(VLOOKUP(A332,T,1,FALSE),"")</f>
        <v/>
      </c>
      <c r="I332" s="29" t="str">
        <f t="shared" si="21"/>
        <v/>
      </c>
      <c r="J332" s="29" t="str">
        <f t="shared" si="22"/>
        <v/>
      </c>
      <c r="K332" s="29" t="str" cm="1">
        <f t="array" ref="K332">IFERROR([2]!CalculateHyphenString(J332),"")</f>
        <v/>
      </c>
      <c r="L332">
        <f t="shared" si="24"/>
        <v>798592</v>
      </c>
    </row>
    <row r="333" spans="1:12" x14ac:dyDescent="0.7">
      <c r="A333" s="3">
        <v>330</v>
      </c>
      <c r="D333" s="49" t="str">
        <f t="shared" si="23"/>
        <v>798592</v>
      </c>
      <c r="E333" s="14" t="str">
        <f>IFERROR(VLOOKUP($A333,TT,10,FALSE),"")</f>
        <v/>
      </c>
      <c r="F333" s="48" t="str" cm="1">
        <f t="array" ref="F333">IFERROR([1]!FeetConvert(E333),"")</f>
        <v/>
      </c>
      <c r="H333" s="29" t="str">
        <f>IFERROR(VLOOKUP(A333,T,1,FALSE),"")</f>
        <v/>
      </c>
      <c r="I333" s="29" t="str">
        <f t="shared" si="21"/>
        <v/>
      </c>
      <c r="J333" s="29" t="str">
        <f t="shared" si="22"/>
        <v/>
      </c>
      <c r="K333" s="29" t="str" cm="1">
        <f t="array" ref="K333">IFERROR([2]!CalculateHyphenString(J333),"")</f>
        <v/>
      </c>
      <c r="L333">
        <f t="shared" si="24"/>
        <v>798592</v>
      </c>
    </row>
    <row r="334" spans="1:12" x14ac:dyDescent="0.7">
      <c r="A334" s="3">
        <v>331</v>
      </c>
      <c r="D334" s="49" t="str">
        <f t="shared" si="23"/>
        <v>798592</v>
      </c>
      <c r="E334" s="14" t="str">
        <f>IFERROR(VLOOKUP($A334,TT,10,FALSE),"")</f>
        <v/>
      </c>
      <c r="F334" s="48" t="str" cm="1">
        <f t="array" ref="F334">IFERROR([1]!FeetConvert(E334),"")</f>
        <v/>
      </c>
      <c r="H334" s="29" t="str">
        <f>IFERROR(VLOOKUP(A334,T,1,FALSE),"")</f>
        <v/>
      </c>
      <c r="I334" s="29" t="str">
        <f t="shared" si="21"/>
        <v/>
      </c>
      <c r="J334" s="29" t="str">
        <f t="shared" si="22"/>
        <v/>
      </c>
      <c r="K334" s="29" t="str" cm="1">
        <f t="array" ref="K334">IFERROR([2]!CalculateHyphenString(J334),"")</f>
        <v/>
      </c>
      <c r="L334">
        <f t="shared" si="24"/>
        <v>798592</v>
      </c>
    </row>
    <row r="335" spans="1:12" x14ac:dyDescent="0.7">
      <c r="A335" s="3">
        <v>332</v>
      </c>
      <c r="D335" s="49" t="str">
        <f t="shared" si="23"/>
        <v>798592</v>
      </c>
      <c r="E335" s="14" t="str">
        <f>IFERROR(VLOOKUP($A335,TT,10,FALSE),"")</f>
        <v/>
      </c>
      <c r="F335" s="48" t="str" cm="1">
        <f t="array" ref="F335">IFERROR([1]!FeetConvert(E335),"")</f>
        <v/>
      </c>
      <c r="H335" s="29" t="str">
        <f>IFERROR(VLOOKUP(A335,T,1,FALSE),"")</f>
        <v/>
      </c>
      <c r="I335" s="29" t="str">
        <f t="shared" si="21"/>
        <v/>
      </c>
      <c r="J335" s="29" t="str">
        <f t="shared" si="22"/>
        <v/>
      </c>
      <c r="K335" s="29" t="str" cm="1">
        <f t="array" ref="K335">IFERROR([2]!CalculateHyphenString(J335),"")</f>
        <v/>
      </c>
      <c r="L335">
        <f t="shared" si="24"/>
        <v>798592</v>
      </c>
    </row>
    <row r="336" spans="1:12" x14ac:dyDescent="0.7">
      <c r="A336" s="3">
        <v>333</v>
      </c>
      <c r="D336" s="49" t="str">
        <f t="shared" si="23"/>
        <v>798592</v>
      </c>
      <c r="E336" s="14" t="str">
        <f>IFERROR(VLOOKUP($A336,TT,10,FALSE),"")</f>
        <v/>
      </c>
      <c r="F336" s="48" t="str" cm="1">
        <f t="array" ref="F336">IFERROR([1]!FeetConvert(E336),"")</f>
        <v/>
      </c>
      <c r="H336" s="29" t="str">
        <f>IFERROR(VLOOKUP(A336,T,1,FALSE),"")</f>
        <v/>
      </c>
      <c r="I336" s="29" t="str">
        <f t="shared" si="21"/>
        <v/>
      </c>
      <c r="J336" s="29" t="str">
        <f t="shared" si="22"/>
        <v/>
      </c>
      <c r="K336" s="29" t="str" cm="1">
        <f t="array" ref="K336">IFERROR([2]!CalculateHyphenString(J336),"")</f>
        <v/>
      </c>
      <c r="L336">
        <f t="shared" si="24"/>
        <v>798592</v>
      </c>
    </row>
    <row r="337" spans="1:12" x14ac:dyDescent="0.7">
      <c r="A337" s="3">
        <v>334</v>
      </c>
      <c r="D337" s="49" t="str">
        <f t="shared" si="23"/>
        <v>798592</v>
      </c>
      <c r="E337" s="14" t="str">
        <f>IFERROR(VLOOKUP($A337,TT,10,FALSE),"")</f>
        <v/>
      </c>
      <c r="F337" s="48" t="str" cm="1">
        <f t="array" ref="F337">IFERROR([1]!FeetConvert(E337),"")</f>
        <v/>
      </c>
      <c r="H337" s="29" t="str">
        <f>IFERROR(VLOOKUP(A337,T,1,FALSE),"")</f>
        <v/>
      </c>
      <c r="I337" s="29" t="str">
        <f t="shared" si="21"/>
        <v/>
      </c>
      <c r="J337" s="29" t="str">
        <f t="shared" si="22"/>
        <v/>
      </c>
      <c r="K337" s="29" t="str" cm="1">
        <f t="array" ref="K337">IFERROR([2]!CalculateHyphenString(J337),"")</f>
        <v/>
      </c>
      <c r="L337">
        <f t="shared" si="24"/>
        <v>798592</v>
      </c>
    </row>
    <row r="338" spans="1:12" x14ac:dyDescent="0.7">
      <c r="A338" s="3">
        <v>335</v>
      </c>
      <c r="D338" s="49" t="str">
        <f t="shared" si="23"/>
        <v>798592</v>
      </c>
      <c r="E338" s="14" t="str">
        <f>IFERROR(VLOOKUP($A338,TT,10,FALSE),"")</f>
        <v/>
      </c>
      <c r="F338" s="48" t="str" cm="1">
        <f t="array" ref="F338">IFERROR([1]!FeetConvert(E338),"")</f>
        <v/>
      </c>
      <c r="H338" s="29" t="str">
        <f>IFERROR(VLOOKUP(A338,T,1,FALSE),"")</f>
        <v/>
      </c>
      <c r="I338" s="29" t="str">
        <f t="shared" si="21"/>
        <v/>
      </c>
      <c r="J338" s="29" t="str">
        <f t="shared" si="22"/>
        <v/>
      </c>
      <c r="K338" s="29" t="str" cm="1">
        <f t="array" ref="K338">IFERROR([2]!CalculateHyphenString(J338),"")</f>
        <v/>
      </c>
      <c r="L338">
        <f t="shared" si="24"/>
        <v>798592</v>
      </c>
    </row>
    <row r="339" spans="1:12" x14ac:dyDescent="0.7">
      <c r="A339" s="3">
        <v>336</v>
      </c>
      <c r="D339" s="49" t="str">
        <f t="shared" si="23"/>
        <v>798592</v>
      </c>
      <c r="E339" s="14" t="str">
        <f>IFERROR(VLOOKUP($A339,TT,10,FALSE),"")</f>
        <v/>
      </c>
      <c r="F339" s="48" t="str" cm="1">
        <f t="array" ref="F339">IFERROR([1]!FeetConvert(E339),"")</f>
        <v/>
      </c>
      <c r="H339" s="29" t="str">
        <f>IFERROR(VLOOKUP(A339,T,1,FALSE),"")</f>
        <v/>
      </c>
      <c r="I339" s="29" t="str">
        <f t="shared" si="21"/>
        <v/>
      </c>
      <c r="J339" s="29" t="str">
        <f t="shared" si="22"/>
        <v/>
      </c>
      <c r="K339" s="29" t="str" cm="1">
        <f t="array" ref="K339">IFERROR([2]!CalculateHyphenString(J339),"")</f>
        <v/>
      </c>
      <c r="L339">
        <f t="shared" si="24"/>
        <v>798592</v>
      </c>
    </row>
    <row r="340" spans="1:12" x14ac:dyDescent="0.7">
      <c r="A340" s="3">
        <v>337</v>
      </c>
      <c r="D340" s="49" t="str">
        <f t="shared" si="23"/>
        <v>798592</v>
      </c>
      <c r="E340" s="14" t="str">
        <f>IFERROR(VLOOKUP($A340,TT,10,FALSE),"")</f>
        <v/>
      </c>
      <c r="F340" s="48" t="str" cm="1">
        <f t="array" ref="F340">IFERROR([1]!FeetConvert(E340),"")</f>
        <v/>
      </c>
      <c r="H340" s="29" t="str">
        <f>IFERROR(VLOOKUP(A340,T,1,FALSE),"")</f>
        <v/>
      </c>
      <c r="I340" s="29" t="str">
        <f t="shared" si="21"/>
        <v/>
      </c>
      <c r="J340" s="29" t="str">
        <f t="shared" si="22"/>
        <v/>
      </c>
      <c r="K340" s="29" t="str" cm="1">
        <f t="array" ref="K340">IFERROR([2]!CalculateHyphenString(J340),"")</f>
        <v/>
      </c>
      <c r="L340">
        <f t="shared" si="24"/>
        <v>798592</v>
      </c>
    </row>
    <row r="341" spans="1:12" x14ac:dyDescent="0.7">
      <c r="A341" s="3">
        <v>338</v>
      </c>
      <c r="D341" s="49" t="str">
        <f t="shared" si="23"/>
        <v>798592</v>
      </c>
      <c r="E341" s="14" t="str">
        <f>IFERROR(VLOOKUP($A341,TT,10,FALSE),"")</f>
        <v/>
      </c>
      <c r="F341" s="48" t="str" cm="1">
        <f t="array" ref="F341">IFERROR([1]!FeetConvert(E341),"")</f>
        <v/>
      </c>
      <c r="H341" s="29" t="str">
        <f>IFERROR(VLOOKUP(A341,T,1,FALSE),"")</f>
        <v/>
      </c>
      <c r="I341" s="29" t="str">
        <f t="shared" si="21"/>
        <v/>
      </c>
      <c r="J341" s="29" t="str">
        <f t="shared" si="22"/>
        <v/>
      </c>
      <c r="K341" s="29" t="str" cm="1">
        <f t="array" ref="K341">IFERROR([2]!CalculateHyphenString(J341),"")</f>
        <v/>
      </c>
      <c r="L341">
        <f t="shared" si="24"/>
        <v>798592</v>
      </c>
    </row>
    <row r="342" spans="1:12" x14ac:dyDescent="0.7">
      <c r="A342" s="3">
        <v>339</v>
      </c>
      <c r="D342" s="49" t="str">
        <f t="shared" si="23"/>
        <v>798592</v>
      </c>
      <c r="E342" s="14" t="str">
        <f>IFERROR(VLOOKUP($A342,TT,10,FALSE),"")</f>
        <v/>
      </c>
      <c r="F342" s="48" t="str" cm="1">
        <f t="array" ref="F342">IFERROR([1]!FeetConvert(E342),"")</f>
        <v/>
      </c>
      <c r="H342" s="29" t="str">
        <f>IFERROR(VLOOKUP(A342,T,1,FALSE),"")</f>
        <v/>
      </c>
      <c r="I342" s="29" t="str">
        <f t="shared" si="21"/>
        <v/>
      </c>
      <c r="J342" s="29" t="str">
        <f t="shared" si="22"/>
        <v/>
      </c>
      <c r="K342" s="29" t="str" cm="1">
        <f t="array" ref="K342">IFERROR([2]!CalculateHyphenString(J342),"")</f>
        <v/>
      </c>
      <c r="L342">
        <f t="shared" si="24"/>
        <v>798592</v>
      </c>
    </row>
    <row r="343" spans="1:12" x14ac:dyDescent="0.7">
      <c r="A343" s="3">
        <v>340</v>
      </c>
      <c r="D343" s="49" t="str">
        <f t="shared" si="23"/>
        <v>798592</v>
      </c>
      <c r="E343" s="14" t="str">
        <f>IFERROR(VLOOKUP($A343,TT,10,FALSE),"")</f>
        <v/>
      </c>
      <c r="F343" s="48" t="str" cm="1">
        <f t="array" ref="F343">IFERROR([1]!FeetConvert(E343),"")</f>
        <v/>
      </c>
      <c r="H343" s="29" t="str">
        <f>IFERROR(VLOOKUP(A343,T,1,FALSE),"")</f>
        <v/>
      </c>
      <c r="I343" s="29" t="str">
        <f t="shared" si="21"/>
        <v/>
      </c>
      <c r="J343" s="29" t="str">
        <f t="shared" si="22"/>
        <v/>
      </c>
      <c r="K343" s="29" t="str" cm="1">
        <f t="array" ref="K343">IFERROR([2]!CalculateHyphenString(J343),"")</f>
        <v/>
      </c>
      <c r="L343">
        <f t="shared" si="24"/>
        <v>798592</v>
      </c>
    </row>
    <row r="344" spans="1:12" x14ac:dyDescent="0.7">
      <c r="A344" s="3">
        <v>341</v>
      </c>
      <c r="D344" s="49" t="str">
        <f t="shared" si="23"/>
        <v>798592</v>
      </c>
      <c r="E344" s="14" t="str">
        <f>IFERROR(VLOOKUP($A344,TT,10,FALSE),"")</f>
        <v/>
      </c>
      <c r="F344" s="48" t="str" cm="1">
        <f t="array" ref="F344">IFERROR([1]!FeetConvert(E344),"")</f>
        <v/>
      </c>
      <c r="H344" s="29" t="str">
        <f>IFERROR(VLOOKUP(A344,T,1,FALSE),"")</f>
        <v/>
      </c>
      <c r="I344" s="29" t="str">
        <f t="shared" si="21"/>
        <v/>
      </c>
      <c r="J344" s="29" t="str">
        <f t="shared" si="22"/>
        <v/>
      </c>
      <c r="K344" s="29" t="str" cm="1">
        <f t="array" ref="K344">IFERROR([2]!CalculateHyphenString(J344),"")</f>
        <v/>
      </c>
      <c r="L344">
        <f t="shared" si="24"/>
        <v>798592</v>
      </c>
    </row>
    <row r="345" spans="1:12" x14ac:dyDescent="0.7">
      <c r="A345" s="3">
        <v>342</v>
      </c>
      <c r="D345" s="49" t="str">
        <f t="shared" si="23"/>
        <v>798592</v>
      </c>
      <c r="E345" s="14" t="str">
        <f>IFERROR(VLOOKUP($A345,TT,10,FALSE),"")</f>
        <v/>
      </c>
      <c r="F345" s="48" t="str" cm="1">
        <f t="array" ref="F345">IFERROR([1]!FeetConvert(E345),"")</f>
        <v/>
      </c>
      <c r="H345" s="29" t="str">
        <f>IFERROR(VLOOKUP(A345,T,1,FALSE),"")</f>
        <v/>
      </c>
      <c r="I345" s="29" t="str">
        <f t="shared" si="21"/>
        <v/>
      </c>
      <c r="J345" s="29" t="str">
        <f t="shared" si="22"/>
        <v/>
      </c>
      <c r="K345" s="29" t="str" cm="1">
        <f t="array" ref="K345">IFERROR([2]!CalculateHyphenString(J345),"")</f>
        <v/>
      </c>
      <c r="L345">
        <f t="shared" si="24"/>
        <v>798592</v>
      </c>
    </row>
    <row r="346" spans="1:12" x14ac:dyDescent="0.7">
      <c r="A346" s="3">
        <v>343</v>
      </c>
      <c r="D346" s="49" t="str">
        <f t="shared" si="23"/>
        <v>798592</v>
      </c>
      <c r="E346" s="14" t="str">
        <f>IFERROR(VLOOKUP($A346,TT,10,FALSE),"")</f>
        <v/>
      </c>
      <c r="F346" s="48" t="str" cm="1">
        <f t="array" ref="F346">IFERROR([1]!FeetConvert(E346),"")</f>
        <v/>
      </c>
      <c r="H346" s="29" t="str">
        <f>IFERROR(VLOOKUP(A346,T,1,FALSE),"")</f>
        <v/>
      </c>
      <c r="I346" s="29" t="str">
        <f t="shared" si="21"/>
        <v/>
      </c>
      <c r="J346" s="29" t="str">
        <f t="shared" si="22"/>
        <v/>
      </c>
      <c r="K346" s="29" t="str" cm="1">
        <f t="array" ref="K346">IFERROR([2]!CalculateHyphenString(J346),"")</f>
        <v/>
      </c>
      <c r="L346">
        <f t="shared" si="24"/>
        <v>798592</v>
      </c>
    </row>
    <row r="347" spans="1:12" x14ac:dyDescent="0.7">
      <c r="A347" s="3">
        <v>344</v>
      </c>
      <c r="D347" s="49" t="str">
        <f t="shared" si="23"/>
        <v>798592</v>
      </c>
      <c r="E347" s="14" t="str">
        <f>IFERROR(VLOOKUP($A347,TT,10,FALSE),"")</f>
        <v/>
      </c>
      <c r="F347" s="48" t="str" cm="1">
        <f t="array" ref="F347">IFERROR([1]!FeetConvert(E347),"")</f>
        <v/>
      </c>
      <c r="H347" s="29" t="str">
        <f>IFERROR(VLOOKUP(A347,T,1,FALSE),"")</f>
        <v/>
      </c>
      <c r="I347" s="29" t="str">
        <f t="shared" si="21"/>
        <v/>
      </c>
      <c r="J347" s="29" t="str">
        <f t="shared" si="22"/>
        <v/>
      </c>
      <c r="K347" s="29" t="str" cm="1">
        <f t="array" ref="K347">IFERROR([2]!CalculateHyphenString(J347),"")</f>
        <v/>
      </c>
      <c r="L347">
        <f t="shared" si="24"/>
        <v>798592</v>
      </c>
    </row>
    <row r="348" spans="1:12" x14ac:dyDescent="0.7">
      <c r="A348" s="3">
        <v>345</v>
      </c>
      <c r="D348" s="49" t="str">
        <f t="shared" si="23"/>
        <v>798592</v>
      </c>
      <c r="E348" s="14" t="str">
        <f>IFERROR(VLOOKUP($A348,TT,10,FALSE),"")</f>
        <v/>
      </c>
      <c r="F348" s="48" t="str" cm="1">
        <f t="array" ref="F348">IFERROR([1]!FeetConvert(E348),"")</f>
        <v/>
      </c>
      <c r="H348" s="29" t="str">
        <f>IFERROR(VLOOKUP(A348,T,1,FALSE),"")</f>
        <v/>
      </c>
      <c r="I348" s="29" t="str">
        <f t="shared" si="21"/>
        <v/>
      </c>
      <c r="J348" s="29" t="str">
        <f t="shared" si="22"/>
        <v/>
      </c>
      <c r="K348" s="29" t="str" cm="1">
        <f t="array" ref="K348">IFERROR([2]!CalculateHyphenString(J348),"")</f>
        <v/>
      </c>
      <c r="L348">
        <f t="shared" si="24"/>
        <v>798592</v>
      </c>
    </row>
    <row r="349" spans="1:12" x14ac:dyDescent="0.7">
      <c r="A349" s="3">
        <v>346</v>
      </c>
      <c r="D349" s="49" t="str">
        <f t="shared" si="23"/>
        <v>798592</v>
      </c>
      <c r="E349" s="14" t="str">
        <f>IFERROR(VLOOKUP($A349,TT,10,FALSE),"")</f>
        <v/>
      </c>
      <c r="F349" s="48" t="str" cm="1">
        <f t="array" ref="F349">IFERROR([1]!FeetConvert(E349),"")</f>
        <v/>
      </c>
      <c r="H349" s="29" t="str">
        <f>IFERROR(VLOOKUP(A349,T,1,FALSE),"")</f>
        <v/>
      </c>
      <c r="I349" s="29" t="str">
        <f t="shared" si="21"/>
        <v/>
      </c>
      <c r="J349" s="29" t="str">
        <f t="shared" si="22"/>
        <v/>
      </c>
      <c r="K349" s="29" t="str" cm="1">
        <f t="array" ref="K349">IFERROR([2]!CalculateHyphenString(J349),"")</f>
        <v/>
      </c>
      <c r="L349">
        <f t="shared" si="24"/>
        <v>798592</v>
      </c>
    </row>
    <row r="350" spans="1:12" x14ac:dyDescent="0.7">
      <c r="A350" s="3">
        <v>347</v>
      </c>
      <c r="D350" s="49" t="str">
        <f t="shared" si="23"/>
        <v>798592</v>
      </c>
      <c r="E350" s="14" t="str">
        <f>IFERROR(VLOOKUP($A350,TT,10,FALSE),"")</f>
        <v/>
      </c>
      <c r="F350" s="48" t="str" cm="1">
        <f t="array" ref="F350">IFERROR([1]!FeetConvert(E350),"")</f>
        <v/>
      </c>
      <c r="H350" s="29" t="str">
        <f>IFERROR(VLOOKUP(A350,T,1,FALSE),"")</f>
        <v/>
      </c>
      <c r="I350" s="29" t="str">
        <f t="shared" si="21"/>
        <v/>
      </c>
      <c r="J350" s="29" t="str">
        <f t="shared" si="22"/>
        <v/>
      </c>
      <c r="K350" s="29" t="str" cm="1">
        <f t="array" ref="K350">IFERROR([2]!CalculateHyphenString(J350),"")</f>
        <v/>
      </c>
      <c r="L350">
        <f t="shared" si="24"/>
        <v>798592</v>
      </c>
    </row>
    <row r="351" spans="1:12" x14ac:dyDescent="0.7">
      <c r="A351" s="3">
        <v>348</v>
      </c>
      <c r="D351" s="49" t="str">
        <f t="shared" si="23"/>
        <v>798592</v>
      </c>
      <c r="E351" s="14" t="str">
        <f>IFERROR(VLOOKUP($A351,TT,10,FALSE),"")</f>
        <v/>
      </c>
      <c r="F351" s="48" t="str" cm="1">
        <f t="array" ref="F351">IFERROR([1]!FeetConvert(E351),"")</f>
        <v/>
      </c>
      <c r="H351" s="29" t="str">
        <f>IFERROR(VLOOKUP(A351,T,1,FALSE),"")</f>
        <v/>
      </c>
      <c r="I351" s="29" t="str">
        <f t="shared" si="21"/>
        <v/>
      </c>
      <c r="J351" s="29" t="str">
        <f t="shared" si="22"/>
        <v/>
      </c>
      <c r="K351" s="29" t="str" cm="1">
        <f t="array" ref="K351">IFERROR([2]!CalculateHyphenString(J351),"")</f>
        <v/>
      </c>
      <c r="L351">
        <f t="shared" si="24"/>
        <v>798592</v>
      </c>
    </row>
    <row r="352" spans="1:12" x14ac:dyDescent="0.7">
      <c r="A352" s="3">
        <v>349</v>
      </c>
      <c r="D352" s="49" t="str">
        <f t="shared" si="23"/>
        <v>798592</v>
      </c>
      <c r="E352" s="14" t="str">
        <f>IFERROR(VLOOKUP($A352,TT,10,FALSE),"")</f>
        <v/>
      </c>
      <c r="F352" s="48" t="str" cm="1">
        <f t="array" ref="F352">IFERROR([1]!FeetConvert(E352),"")</f>
        <v/>
      </c>
      <c r="H352" s="29" t="str">
        <f>IFERROR(VLOOKUP(A352,T,1,FALSE),"")</f>
        <v/>
      </c>
      <c r="I352" s="29" t="str">
        <f t="shared" si="21"/>
        <v/>
      </c>
      <c r="J352" s="29" t="str">
        <f t="shared" si="22"/>
        <v/>
      </c>
      <c r="K352" s="29" t="str" cm="1">
        <f t="array" ref="K352">IFERROR([2]!CalculateHyphenString(J352),"")</f>
        <v/>
      </c>
      <c r="L352">
        <f t="shared" si="24"/>
        <v>798592</v>
      </c>
    </row>
    <row r="353" spans="1:12" x14ac:dyDescent="0.7">
      <c r="A353" s="3">
        <v>350</v>
      </c>
      <c r="D353" s="49" t="str">
        <f t="shared" si="23"/>
        <v>798592</v>
      </c>
      <c r="E353" s="14" t="str">
        <f>IFERROR(VLOOKUP($A353,TT,10,FALSE),"")</f>
        <v/>
      </c>
      <c r="F353" s="48" t="str" cm="1">
        <f t="array" ref="F353">IFERROR([1]!FeetConvert(E353),"")</f>
        <v/>
      </c>
      <c r="H353" s="29" t="str">
        <f>IFERROR(VLOOKUP(A353,T,1,FALSE),"")</f>
        <v/>
      </c>
      <c r="I353" s="29" t="str">
        <f t="shared" si="21"/>
        <v/>
      </c>
      <c r="J353" s="29" t="str">
        <f t="shared" si="22"/>
        <v/>
      </c>
      <c r="K353" s="29" t="str" cm="1">
        <f t="array" ref="K353">IFERROR([2]!CalculateHyphenString(J353),"")</f>
        <v/>
      </c>
      <c r="L353">
        <f t="shared" si="24"/>
        <v>798592</v>
      </c>
    </row>
    <row r="354" spans="1:12" x14ac:dyDescent="0.7">
      <c r="A354" s="3">
        <v>351</v>
      </c>
      <c r="D354" s="49" t="str">
        <f t="shared" si="23"/>
        <v>798592</v>
      </c>
      <c r="E354" s="14" t="str">
        <f>IFERROR(VLOOKUP($A354,TT,10,FALSE),"")</f>
        <v/>
      </c>
      <c r="F354" s="48" t="str" cm="1">
        <f t="array" ref="F354">IFERROR([1]!FeetConvert(E354),"")</f>
        <v/>
      </c>
      <c r="H354" s="29" t="str">
        <f>IFERROR(VLOOKUP(A354,T,1,FALSE),"")</f>
        <v/>
      </c>
      <c r="I354" s="29" t="str">
        <f t="shared" si="21"/>
        <v/>
      </c>
      <c r="J354" s="29" t="str">
        <f t="shared" si="22"/>
        <v/>
      </c>
      <c r="K354" s="29" t="str" cm="1">
        <f t="array" ref="K354">IFERROR([2]!CalculateHyphenString(J354),"")</f>
        <v/>
      </c>
      <c r="L354">
        <f t="shared" si="24"/>
        <v>798592</v>
      </c>
    </row>
    <row r="355" spans="1:12" x14ac:dyDescent="0.7">
      <c r="A355" s="3">
        <v>352</v>
      </c>
      <c r="D355" s="49" t="str">
        <f t="shared" si="23"/>
        <v>798592</v>
      </c>
      <c r="E355" s="14" t="str">
        <f>IFERROR(VLOOKUP($A355,TT,10,FALSE),"")</f>
        <v/>
      </c>
      <c r="F355" s="48" t="str" cm="1">
        <f t="array" ref="F355">IFERROR([1]!FeetConvert(E355),"")</f>
        <v/>
      </c>
      <c r="H355" s="29" t="str">
        <f>IFERROR(VLOOKUP(A355,T,1,FALSE),"")</f>
        <v/>
      </c>
      <c r="I355" s="29" t="str">
        <f t="shared" si="21"/>
        <v/>
      </c>
      <c r="J355" s="29" t="str">
        <f t="shared" si="22"/>
        <v/>
      </c>
      <c r="K355" s="29" t="str" cm="1">
        <f t="array" ref="K355">IFERROR([2]!CalculateHyphenString(J355),"")</f>
        <v/>
      </c>
      <c r="L355">
        <f t="shared" si="24"/>
        <v>798592</v>
      </c>
    </row>
    <row r="356" spans="1:12" x14ac:dyDescent="0.7">
      <c r="A356" s="3">
        <v>353</v>
      </c>
      <c r="D356" s="49" t="str">
        <f t="shared" si="23"/>
        <v>798592</v>
      </c>
      <c r="E356" s="14" t="str">
        <f>IFERROR(VLOOKUP($A356,TT,10,FALSE),"")</f>
        <v/>
      </c>
      <c r="F356" s="48" t="str" cm="1">
        <f t="array" ref="F356">IFERROR([1]!FeetConvert(E356),"")</f>
        <v/>
      </c>
      <c r="H356" s="29" t="str">
        <f>IFERROR(VLOOKUP(A356,T,1,FALSE),"")</f>
        <v/>
      </c>
      <c r="I356" s="29" t="str">
        <f t="shared" si="21"/>
        <v/>
      </c>
      <c r="J356" s="29" t="str">
        <f t="shared" si="22"/>
        <v/>
      </c>
      <c r="K356" s="29" t="str" cm="1">
        <f t="array" ref="K356">IFERROR([2]!CalculateHyphenString(J356),"")</f>
        <v/>
      </c>
      <c r="L356">
        <f t="shared" si="24"/>
        <v>798592</v>
      </c>
    </row>
    <row r="357" spans="1:12" x14ac:dyDescent="0.7">
      <c r="A357" s="3">
        <v>354</v>
      </c>
      <c r="D357" s="49" t="str">
        <f t="shared" si="23"/>
        <v>798592</v>
      </c>
      <c r="E357" s="14" t="str">
        <f>IFERROR(VLOOKUP($A357,TT,10,FALSE),"")</f>
        <v/>
      </c>
      <c r="F357" s="48" t="str" cm="1">
        <f t="array" ref="F357">IFERROR([1]!FeetConvert(E357),"")</f>
        <v/>
      </c>
      <c r="H357" s="29" t="str">
        <f>IFERROR(VLOOKUP(A357,T,1,FALSE),"")</f>
        <v/>
      </c>
      <c r="I357" s="29" t="str">
        <f t="shared" si="21"/>
        <v/>
      </c>
      <c r="J357" s="29" t="str">
        <f t="shared" si="22"/>
        <v/>
      </c>
      <c r="K357" s="29" t="str" cm="1">
        <f t="array" ref="K357">IFERROR([2]!CalculateHyphenString(J357),"")</f>
        <v/>
      </c>
      <c r="L357">
        <f t="shared" si="24"/>
        <v>798592</v>
      </c>
    </row>
    <row r="358" spans="1:12" x14ac:dyDescent="0.7">
      <c r="A358" s="3">
        <v>355</v>
      </c>
      <c r="D358" s="49" t="str">
        <f t="shared" si="23"/>
        <v>798592</v>
      </c>
      <c r="E358" s="14" t="str">
        <f>IFERROR(VLOOKUP($A358,TT,10,FALSE),"")</f>
        <v/>
      </c>
      <c r="F358" s="48" t="str" cm="1">
        <f t="array" ref="F358">IFERROR([1]!FeetConvert(E358),"")</f>
        <v/>
      </c>
      <c r="H358" s="29" t="str">
        <f>IFERROR(VLOOKUP(A358,T,1,FALSE),"")</f>
        <v/>
      </c>
      <c r="I358" s="29" t="str">
        <f t="shared" si="21"/>
        <v/>
      </c>
      <c r="J358" s="29" t="str">
        <f t="shared" si="22"/>
        <v/>
      </c>
      <c r="K358" s="29" t="str" cm="1">
        <f t="array" ref="K358">IFERROR([2]!CalculateHyphenString(J358),"")</f>
        <v/>
      </c>
      <c r="L358">
        <f t="shared" si="24"/>
        <v>798592</v>
      </c>
    </row>
    <row r="359" spans="1:12" x14ac:dyDescent="0.7">
      <c r="A359" s="3">
        <v>356</v>
      </c>
      <c r="D359" s="49" t="str">
        <f t="shared" si="23"/>
        <v>798592</v>
      </c>
      <c r="E359" s="14" t="str">
        <f>IFERROR(VLOOKUP($A359,TT,10,FALSE),"")</f>
        <v/>
      </c>
      <c r="F359" s="48" t="str" cm="1">
        <f t="array" ref="F359">IFERROR([1]!FeetConvert(E359),"")</f>
        <v/>
      </c>
      <c r="H359" s="29" t="str">
        <f>IFERROR(VLOOKUP(A359,T,1,FALSE),"")</f>
        <v/>
      </c>
      <c r="I359" s="29" t="str">
        <f t="shared" si="21"/>
        <v/>
      </c>
      <c r="J359" s="29" t="str">
        <f t="shared" si="22"/>
        <v/>
      </c>
      <c r="K359" s="29" t="str" cm="1">
        <f t="array" ref="K359">IFERROR([2]!CalculateHyphenString(J359),"")</f>
        <v/>
      </c>
      <c r="L359">
        <f t="shared" si="24"/>
        <v>798592</v>
      </c>
    </row>
    <row r="360" spans="1:12" x14ac:dyDescent="0.7">
      <c r="A360" s="3">
        <v>357</v>
      </c>
      <c r="D360" s="49" t="str">
        <f t="shared" si="23"/>
        <v>798592</v>
      </c>
      <c r="E360" s="14" t="str">
        <f>IFERROR(VLOOKUP($A360,TT,10,FALSE),"")</f>
        <v/>
      </c>
      <c r="F360" s="48" t="str" cm="1">
        <f t="array" ref="F360">IFERROR([1]!FeetConvert(E360),"")</f>
        <v/>
      </c>
      <c r="H360" s="29" t="str">
        <f>IFERROR(VLOOKUP(A360,T,1,FALSE),"")</f>
        <v/>
      </c>
      <c r="I360" s="29" t="str">
        <f t="shared" si="21"/>
        <v/>
      </c>
      <c r="J360" s="29" t="str">
        <f t="shared" si="22"/>
        <v/>
      </c>
      <c r="K360" s="29" t="str" cm="1">
        <f t="array" ref="K360">IFERROR([2]!CalculateHyphenString(J360),"")</f>
        <v/>
      </c>
      <c r="L360">
        <f t="shared" si="24"/>
        <v>798592</v>
      </c>
    </row>
    <row r="361" spans="1:12" x14ac:dyDescent="0.7">
      <c r="A361" s="3">
        <v>358</v>
      </c>
      <c r="D361" s="49" t="str">
        <f t="shared" si="23"/>
        <v>798592</v>
      </c>
      <c r="E361" s="14" t="str">
        <f>IFERROR(VLOOKUP($A361,TT,10,FALSE),"")</f>
        <v/>
      </c>
      <c r="F361" s="48" t="str" cm="1">
        <f t="array" ref="F361">IFERROR([1]!FeetConvert(E361),"")</f>
        <v/>
      </c>
      <c r="H361" s="29" t="str">
        <f>IFERROR(VLOOKUP(A361,T,1,FALSE),"")</f>
        <v/>
      </c>
      <c r="I361" s="29" t="str">
        <f t="shared" si="21"/>
        <v/>
      </c>
      <c r="J361" s="29" t="str">
        <f t="shared" si="22"/>
        <v/>
      </c>
      <c r="K361" s="29" t="str" cm="1">
        <f t="array" ref="K361">IFERROR([2]!CalculateHyphenString(J361),"")</f>
        <v/>
      </c>
      <c r="L361">
        <f t="shared" si="24"/>
        <v>798592</v>
      </c>
    </row>
    <row r="362" spans="1:12" x14ac:dyDescent="0.7">
      <c r="A362" s="3">
        <v>359</v>
      </c>
      <c r="D362" s="49" t="str">
        <f t="shared" si="23"/>
        <v>798592</v>
      </c>
      <c r="E362" s="14" t="str">
        <f>IFERROR(VLOOKUP($A362,TT,10,FALSE),"")</f>
        <v/>
      </c>
      <c r="F362" s="48" t="str" cm="1">
        <f t="array" ref="F362">IFERROR([1]!FeetConvert(E362),"")</f>
        <v/>
      </c>
      <c r="H362" s="29" t="str">
        <f>IFERROR(VLOOKUP(A362,T,1,FALSE),"")</f>
        <v/>
      </c>
      <c r="I362" s="29" t="str">
        <f t="shared" si="21"/>
        <v/>
      </c>
      <c r="J362" s="29" t="str">
        <f t="shared" si="22"/>
        <v/>
      </c>
      <c r="K362" s="29" t="str" cm="1">
        <f t="array" ref="K362">IFERROR([2]!CalculateHyphenString(J362),"")</f>
        <v/>
      </c>
      <c r="L362">
        <f t="shared" si="24"/>
        <v>798592</v>
      </c>
    </row>
    <row r="363" spans="1:12" x14ac:dyDescent="0.7">
      <c r="A363" s="3">
        <v>360</v>
      </c>
      <c r="D363" s="49" t="str">
        <f t="shared" si="23"/>
        <v>798592</v>
      </c>
      <c r="E363" s="14" t="str">
        <f>IFERROR(VLOOKUP($A363,TT,10,FALSE),"")</f>
        <v/>
      </c>
      <c r="F363" s="48" t="str" cm="1">
        <f t="array" ref="F363">IFERROR([1]!FeetConvert(E363),"")</f>
        <v/>
      </c>
      <c r="H363" s="29" t="str">
        <f>IFERROR(VLOOKUP(A363,T,1,FALSE),"")</f>
        <v/>
      </c>
      <c r="I363" s="29" t="str">
        <f t="shared" si="21"/>
        <v/>
      </c>
      <c r="J363" s="29" t="str">
        <f t="shared" si="22"/>
        <v/>
      </c>
      <c r="K363" s="29" t="str" cm="1">
        <f t="array" ref="K363">IFERROR([2]!CalculateHyphenString(J363),"")</f>
        <v/>
      </c>
      <c r="L363">
        <f t="shared" si="24"/>
        <v>798592</v>
      </c>
    </row>
    <row r="364" spans="1:12" x14ac:dyDescent="0.7">
      <c r="A364" s="3">
        <v>361</v>
      </c>
      <c r="D364" s="49" t="str">
        <f t="shared" si="23"/>
        <v>798592</v>
      </c>
      <c r="E364" s="14" t="str">
        <f>IFERROR(VLOOKUP($A364,TT,10,FALSE),"")</f>
        <v/>
      </c>
      <c r="F364" s="48" t="str" cm="1">
        <f t="array" ref="F364">IFERROR([1]!FeetConvert(E364),"")</f>
        <v/>
      </c>
      <c r="H364" s="29" t="str">
        <f>IFERROR(VLOOKUP(A364,T,1,FALSE),"")</f>
        <v/>
      </c>
      <c r="I364" s="29" t="str">
        <f t="shared" si="21"/>
        <v/>
      </c>
      <c r="J364" s="29" t="str">
        <f t="shared" si="22"/>
        <v/>
      </c>
      <c r="K364" s="29" t="str" cm="1">
        <f t="array" ref="K364">IFERROR([2]!CalculateHyphenString(J364),"")</f>
        <v/>
      </c>
      <c r="L364">
        <f t="shared" si="24"/>
        <v>798592</v>
      </c>
    </row>
    <row r="365" spans="1:12" x14ac:dyDescent="0.7">
      <c r="A365" s="3">
        <v>362</v>
      </c>
      <c r="D365" s="49" t="str">
        <f t="shared" si="23"/>
        <v>798592</v>
      </c>
      <c r="E365" s="14" t="str">
        <f>IFERROR(VLOOKUP($A365,TT,10,FALSE),"")</f>
        <v/>
      </c>
      <c r="F365" s="48" t="str" cm="1">
        <f t="array" ref="F365">IFERROR([1]!FeetConvert(E365),"")</f>
        <v/>
      </c>
      <c r="H365" s="29" t="str">
        <f>IFERROR(VLOOKUP(A365,T,1,FALSE),"")</f>
        <v/>
      </c>
      <c r="I365" s="29" t="str">
        <f t="shared" si="21"/>
        <v/>
      </c>
      <c r="J365" s="29" t="str">
        <f t="shared" si="22"/>
        <v/>
      </c>
      <c r="K365" s="29" t="str" cm="1">
        <f t="array" ref="K365">IFERROR([2]!CalculateHyphenString(J365),"")</f>
        <v/>
      </c>
      <c r="L365">
        <f t="shared" si="24"/>
        <v>798592</v>
      </c>
    </row>
    <row r="366" spans="1:12" x14ac:dyDescent="0.7">
      <c r="A366" s="3">
        <v>363</v>
      </c>
      <c r="D366" s="49" t="str">
        <f t="shared" si="23"/>
        <v>798592</v>
      </c>
      <c r="E366" s="14" t="str">
        <f>IFERROR(VLOOKUP($A366,TT,10,FALSE),"")</f>
        <v/>
      </c>
      <c r="F366" s="48" t="str" cm="1">
        <f t="array" ref="F366">IFERROR([1]!FeetConvert(E366),"")</f>
        <v/>
      </c>
      <c r="H366" s="29" t="str">
        <f>IFERROR(VLOOKUP(A366,T,1,FALSE),"")</f>
        <v/>
      </c>
      <c r="I366" s="29" t="str">
        <f t="shared" si="21"/>
        <v/>
      </c>
      <c r="J366" s="29" t="str">
        <f t="shared" si="22"/>
        <v/>
      </c>
      <c r="K366" s="29" t="str" cm="1">
        <f t="array" ref="K366">IFERROR([2]!CalculateHyphenString(J366),"")</f>
        <v/>
      </c>
      <c r="L366">
        <f t="shared" si="24"/>
        <v>798592</v>
      </c>
    </row>
    <row r="367" spans="1:12" x14ac:dyDescent="0.7">
      <c r="A367" s="3">
        <v>364</v>
      </c>
      <c r="D367" s="49" t="str">
        <f t="shared" si="23"/>
        <v>798592</v>
      </c>
      <c r="E367" s="14" t="str">
        <f>IFERROR(VLOOKUP($A367,TT,10,FALSE),"")</f>
        <v/>
      </c>
      <c r="F367" s="48" t="str" cm="1">
        <f t="array" ref="F367">IFERROR([1]!FeetConvert(E367),"")</f>
        <v/>
      </c>
      <c r="H367" s="29" t="str">
        <f>IFERROR(VLOOKUP(A367,T,1,FALSE),"")</f>
        <v/>
      </c>
      <c r="I367" s="29" t="str">
        <f t="shared" si="21"/>
        <v/>
      </c>
      <c r="J367" s="29" t="str">
        <f t="shared" si="22"/>
        <v/>
      </c>
      <c r="K367" s="29" t="str" cm="1">
        <f t="array" ref="K367">IFERROR([2]!CalculateHyphenString(J367),"")</f>
        <v/>
      </c>
      <c r="L367">
        <f t="shared" si="24"/>
        <v>798592</v>
      </c>
    </row>
    <row r="368" spans="1:12" x14ac:dyDescent="0.7">
      <c r="A368" s="3">
        <v>365</v>
      </c>
      <c r="D368" s="49" t="str">
        <f t="shared" si="23"/>
        <v>798592</v>
      </c>
      <c r="E368" s="14" t="str">
        <f>IFERROR(VLOOKUP($A368,TT,10,FALSE),"")</f>
        <v/>
      </c>
      <c r="F368" s="48" t="str" cm="1">
        <f t="array" ref="F368">IFERROR([1]!FeetConvert(E368),"")</f>
        <v/>
      </c>
      <c r="H368" s="29" t="str">
        <f>IFERROR(VLOOKUP(A368,T,1,FALSE),"")</f>
        <v/>
      </c>
      <c r="I368" s="29" t="str">
        <f t="shared" si="21"/>
        <v/>
      </c>
      <c r="J368" s="29" t="str">
        <f t="shared" si="22"/>
        <v/>
      </c>
      <c r="K368" s="29" t="str" cm="1">
        <f t="array" ref="K368">IFERROR([2]!CalculateHyphenString(J368),"")</f>
        <v/>
      </c>
      <c r="L368">
        <f t="shared" si="24"/>
        <v>798592</v>
      </c>
    </row>
    <row r="369" spans="1:12" x14ac:dyDescent="0.7">
      <c r="A369" s="3">
        <v>366</v>
      </c>
      <c r="D369" s="49" t="str">
        <f t="shared" si="23"/>
        <v>798592</v>
      </c>
      <c r="E369" s="14" t="str">
        <f>IFERROR(VLOOKUP($A369,TT,10,FALSE),"")</f>
        <v/>
      </c>
      <c r="F369" s="48" t="str" cm="1">
        <f t="array" ref="F369">IFERROR([1]!FeetConvert(E369),"")</f>
        <v/>
      </c>
      <c r="H369" s="29" t="str">
        <f>IFERROR(VLOOKUP(A369,T,1,FALSE),"")</f>
        <v/>
      </c>
      <c r="I369" s="29" t="str">
        <f t="shared" si="21"/>
        <v/>
      </c>
      <c r="J369" s="29" t="str">
        <f t="shared" si="22"/>
        <v/>
      </c>
      <c r="K369" s="29" t="str" cm="1">
        <f t="array" ref="K369">IFERROR([2]!CalculateHyphenString(J369),"")</f>
        <v/>
      </c>
      <c r="L369">
        <f t="shared" si="24"/>
        <v>798592</v>
      </c>
    </row>
    <row r="370" spans="1:12" x14ac:dyDescent="0.7">
      <c r="A370" s="3">
        <v>367</v>
      </c>
      <c r="D370" s="49" t="str">
        <f t="shared" si="23"/>
        <v>798592</v>
      </c>
      <c r="E370" s="14" t="str">
        <f>IFERROR(VLOOKUP($A370,TT,10,FALSE),"")</f>
        <v/>
      </c>
      <c r="F370" s="48" t="str" cm="1">
        <f t="array" ref="F370">IFERROR([1]!FeetConvert(E370),"")</f>
        <v/>
      </c>
      <c r="H370" s="29" t="str">
        <f>IFERROR(VLOOKUP(A370,T,1,FALSE),"")</f>
        <v/>
      </c>
      <c r="I370" s="29" t="str">
        <f t="shared" si="21"/>
        <v/>
      </c>
      <c r="J370" s="29" t="str">
        <f t="shared" si="22"/>
        <v/>
      </c>
      <c r="K370" s="29" t="str" cm="1">
        <f t="array" ref="K370">IFERROR([2]!CalculateHyphenString(J370),"")</f>
        <v/>
      </c>
      <c r="L370">
        <f t="shared" si="24"/>
        <v>798592</v>
      </c>
    </row>
    <row r="371" spans="1:12" x14ac:dyDescent="0.7">
      <c r="A371" s="3">
        <v>368</v>
      </c>
      <c r="D371" s="49" t="str">
        <f t="shared" si="23"/>
        <v>798592</v>
      </c>
      <c r="E371" s="14" t="str">
        <f>IFERROR(VLOOKUP($A371,TT,10,FALSE),"")</f>
        <v/>
      </c>
      <c r="F371" s="48" t="str" cm="1">
        <f t="array" ref="F371">IFERROR([1]!FeetConvert(E371),"")</f>
        <v/>
      </c>
      <c r="H371" s="29" t="str">
        <f>IFERROR(VLOOKUP(A371,T,1,FALSE),"")</f>
        <v/>
      </c>
      <c r="I371" s="29" t="str">
        <f t="shared" si="21"/>
        <v/>
      </c>
      <c r="J371" s="29" t="str">
        <f t="shared" si="22"/>
        <v/>
      </c>
      <c r="K371" s="29" t="str" cm="1">
        <f t="array" ref="K371">IFERROR([2]!CalculateHyphenString(J371),"")</f>
        <v/>
      </c>
      <c r="L371">
        <f t="shared" si="24"/>
        <v>798592</v>
      </c>
    </row>
    <row r="372" spans="1:12" x14ac:dyDescent="0.7">
      <c r="A372" s="3">
        <v>369</v>
      </c>
      <c r="D372" s="49" t="str">
        <f t="shared" si="23"/>
        <v>798592</v>
      </c>
      <c r="E372" s="14" t="str">
        <f>IFERROR(VLOOKUP($A372,TT,10,FALSE),"")</f>
        <v/>
      </c>
      <c r="F372" s="48" t="str" cm="1">
        <f t="array" ref="F372">IFERROR([1]!FeetConvert(E372),"")</f>
        <v/>
      </c>
      <c r="H372" s="29" t="str">
        <f>IFERROR(VLOOKUP(A372,T,1,FALSE),"")</f>
        <v/>
      </c>
      <c r="I372" s="29" t="str">
        <f t="shared" si="21"/>
        <v/>
      </c>
      <c r="J372" s="29" t="str">
        <f t="shared" si="22"/>
        <v/>
      </c>
      <c r="K372" s="29" t="str" cm="1">
        <f t="array" ref="K372">IFERROR([2]!CalculateHyphenString(J372),"")</f>
        <v/>
      </c>
      <c r="L372">
        <f t="shared" si="24"/>
        <v>798592</v>
      </c>
    </row>
    <row r="373" spans="1:12" x14ac:dyDescent="0.7">
      <c r="A373" s="3">
        <v>370</v>
      </c>
      <c r="D373" s="49" t="str">
        <f t="shared" si="23"/>
        <v>798592</v>
      </c>
      <c r="E373" s="14" t="str">
        <f>IFERROR(VLOOKUP($A373,TT,10,FALSE),"")</f>
        <v/>
      </c>
      <c r="F373" s="48" t="str" cm="1">
        <f t="array" ref="F373">IFERROR([1]!FeetConvert(E373),"")</f>
        <v/>
      </c>
      <c r="H373" s="29" t="str">
        <f>IFERROR(VLOOKUP(A373,T,1,FALSE),"")</f>
        <v/>
      </c>
      <c r="I373" s="29" t="str">
        <f t="shared" si="21"/>
        <v/>
      </c>
      <c r="J373" s="29" t="str">
        <f t="shared" si="22"/>
        <v/>
      </c>
      <c r="K373" s="29" t="str" cm="1">
        <f t="array" ref="K373">IFERROR([2]!CalculateHyphenString(J373),"")</f>
        <v/>
      </c>
      <c r="L373">
        <f t="shared" si="24"/>
        <v>798592</v>
      </c>
    </row>
    <row r="374" spans="1:12" x14ac:dyDescent="0.7">
      <c r="A374" s="3">
        <v>371</v>
      </c>
      <c r="D374" s="49" t="str">
        <f t="shared" si="23"/>
        <v>798592</v>
      </c>
      <c r="E374" s="14" t="str">
        <f>IFERROR(VLOOKUP($A374,TT,10,FALSE),"")</f>
        <v/>
      </c>
      <c r="F374" s="48" t="str" cm="1">
        <f t="array" ref="F374">IFERROR([1]!FeetConvert(E374),"")</f>
        <v/>
      </c>
      <c r="H374" s="29" t="str">
        <f>IFERROR(VLOOKUP(A374,T,1,FALSE),"")</f>
        <v/>
      </c>
      <c r="I374" s="29" t="str">
        <f t="shared" si="21"/>
        <v/>
      </c>
      <c r="J374" s="29" t="str">
        <f t="shared" si="22"/>
        <v/>
      </c>
      <c r="K374" s="29" t="str" cm="1">
        <f t="array" ref="K374">IFERROR([2]!CalculateHyphenString(J374),"")</f>
        <v/>
      </c>
      <c r="L374">
        <f t="shared" si="24"/>
        <v>798592</v>
      </c>
    </row>
    <row r="375" spans="1:12" x14ac:dyDescent="0.7">
      <c r="A375" s="3">
        <v>372</v>
      </c>
      <c r="D375" s="49" t="str">
        <f t="shared" si="23"/>
        <v>798592</v>
      </c>
      <c r="E375" s="14" t="str">
        <f>IFERROR(VLOOKUP($A375,TT,10,FALSE),"")</f>
        <v/>
      </c>
      <c r="F375" s="48" t="str" cm="1">
        <f t="array" ref="F375">IFERROR([1]!FeetConvert(E375),"")</f>
        <v/>
      </c>
      <c r="H375" s="29" t="str">
        <f>IFERROR(VLOOKUP(A375,T,1,FALSE),"")</f>
        <v/>
      </c>
      <c r="I375" s="29" t="str">
        <f t="shared" si="21"/>
        <v/>
      </c>
      <c r="J375" s="29" t="str">
        <f t="shared" si="22"/>
        <v/>
      </c>
      <c r="K375" s="29" t="str" cm="1">
        <f t="array" ref="K375">IFERROR([2]!CalculateHyphenString(J375),"")</f>
        <v/>
      </c>
      <c r="L375">
        <f t="shared" si="24"/>
        <v>798592</v>
      </c>
    </row>
    <row r="376" spans="1:12" x14ac:dyDescent="0.7">
      <c r="A376" s="3">
        <v>373</v>
      </c>
      <c r="D376" s="49" t="str">
        <f t="shared" si="23"/>
        <v>798592</v>
      </c>
      <c r="E376" s="14" t="str">
        <f>IFERROR(VLOOKUP($A376,TT,10,FALSE),"")</f>
        <v/>
      </c>
      <c r="F376" s="48" t="str" cm="1">
        <f t="array" ref="F376">IFERROR([1]!FeetConvert(E376),"")</f>
        <v/>
      </c>
      <c r="H376" s="29" t="str">
        <f>IFERROR(VLOOKUP(A376,T,1,FALSE),"")</f>
        <v/>
      </c>
      <c r="I376" s="29" t="str">
        <f t="shared" si="21"/>
        <v/>
      </c>
      <c r="J376" s="29" t="str">
        <f t="shared" si="22"/>
        <v/>
      </c>
      <c r="K376" s="29" t="str" cm="1">
        <f t="array" ref="K376">IFERROR([2]!CalculateHyphenString(J376),"")</f>
        <v/>
      </c>
      <c r="L376">
        <f t="shared" si="24"/>
        <v>798592</v>
      </c>
    </row>
    <row r="377" spans="1:12" x14ac:dyDescent="0.7">
      <c r="A377" s="3">
        <v>374</v>
      </c>
      <c r="D377" s="49" t="str">
        <f t="shared" si="23"/>
        <v>798592</v>
      </c>
      <c r="E377" s="14" t="str">
        <f>IFERROR(VLOOKUP($A377,TT,10,FALSE),"")</f>
        <v/>
      </c>
      <c r="F377" s="48" t="str" cm="1">
        <f t="array" ref="F377">IFERROR([1]!FeetConvert(E377),"")</f>
        <v/>
      </c>
      <c r="H377" s="29" t="str">
        <f>IFERROR(VLOOKUP(A377,T,1,FALSE),"")</f>
        <v/>
      </c>
      <c r="I377" s="29" t="str">
        <f t="shared" si="21"/>
        <v/>
      </c>
      <c r="J377" s="29" t="str">
        <f t="shared" si="22"/>
        <v/>
      </c>
      <c r="K377" s="29" t="str" cm="1">
        <f t="array" ref="K377">IFERROR([2]!CalculateHyphenString(J377),"")</f>
        <v/>
      </c>
      <c r="L377">
        <f t="shared" si="24"/>
        <v>798592</v>
      </c>
    </row>
    <row r="378" spans="1:12" x14ac:dyDescent="0.7">
      <c r="A378" s="3">
        <v>375</v>
      </c>
      <c r="D378" s="49" t="str">
        <f t="shared" si="23"/>
        <v>798592</v>
      </c>
      <c r="E378" s="14" t="str">
        <f>IFERROR(VLOOKUP($A378,TT,10,FALSE),"")</f>
        <v/>
      </c>
      <c r="F378" s="48" t="str" cm="1">
        <f t="array" ref="F378">IFERROR([1]!FeetConvert(E378),"")</f>
        <v/>
      </c>
      <c r="H378" s="29" t="str">
        <f>IFERROR(VLOOKUP(A378,T,1,FALSE),"")</f>
        <v/>
      </c>
      <c r="I378" s="29" t="str">
        <f t="shared" si="21"/>
        <v/>
      </c>
      <c r="J378" s="29" t="str">
        <f t="shared" si="22"/>
        <v/>
      </c>
      <c r="K378" s="29" t="str" cm="1">
        <f t="array" ref="K378">IFERROR([2]!CalculateHyphenString(J378),"")</f>
        <v/>
      </c>
      <c r="L378">
        <f t="shared" si="24"/>
        <v>798592</v>
      </c>
    </row>
    <row r="379" spans="1:12" x14ac:dyDescent="0.7">
      <c r="A379" s="3">
        <v>376</v>
      </c>
      <c r="D379" s="49" t="str">
        <f t="shared" si="23"/>
        <v>798592</v>
      </c>
      <c r="E379" s="14" t="str">
        <f>IFERROR(VLOOKUP($A379,TT,10,FALSE),"")</f>
        <v/>
      </c>
      <c r="F379" s="48" t="str" cm="1">
        <f t="array" ref="F379">IFERROR([1]!FeetConvert(E379),"")</f>
        <v/>
      </c>
      <c r="H379" s="29" t="str">
        <f>IFERROR(VLOOKUP(A379,T,1,FALSE),"")</f>
        <v/>
      </c>
      <c r="I379" s="29" t="str">
        <f t="shared" si="21"/>
        <v/>
      </c>
      <c r="J379" s="29" t="str">
        <f t="shared" si="22"/>
        <v/>
      </c>
      <c r="K379" s="29" t="str" cm="1">
        <f t="array" ref="K379">IFERROR([2]!CalculateHyphenString(J379),"")</f>
        <v/>
      </c>
      <c r="L379">
        <f t="shared" si="24"/>
        <v>798592</v>
      </c>
    </row>
    <row r="380" spans="1:12" x14ac:dyDescent="0.7">
      <c r="A380" s="3">
        <v>377</v>
      </c>
      <c r="D380" s="49" t="str">
        <f t="shared" si="23"/>
        <v>798592</v>
      </c>
      <c r="E380" s="14" t="str">
        <f>IFERROR(VLOOKUP($A380,TT,10,FALSE),"")</f>
        <v/>
      </c>
      <c r="F380" s="48" t="str" cm="1">
        <f t="array" ref="F380">IFERROR([1]!FeetConvert(E380),"")</f>
        <v/>
      </c>
      <c r="H380" s="29" t="str">
        <f>IFERROR(VLOOKUP(A380,T,1,FALSE),"")</f>
        <v/>
      </c>
      <c r="I380" s="29" t="str">
        <f t="shared" si="21"/>
        <v/>
      </c>
      <c r="J380" s="29" t="str">
        <f t="shared" si="22"/>
        <v/>
      </c>
      <c r="K380" s="29" t="str" cm="1">
        <f t="array" ref="K380">IFERROR([2]!CalculateHyphenString(J380),"")</f>
        <v/>
      </c>
      <c r="L380">
        <f t="shared" si="24"/>
        <v>798592</v>
      </c>
    </row>
    <row r="381" spans="1:12" x14ac:dyDescent="0.7">
      <c r="A381" s="3">
        <v>378</v>
      </c>
      <c r="D381" s="49" t="str">
        <f t="shared" si="23"/>
        <v>798592</v>
      </c>
      <c r="E381" s="14" t="str">
        <f>IFERROR(VLOOKUP($A381,TT,10,FALSE),"")</f>
        <v/>
      </c>
      <c r="F381" s="48" t="str" cm="1">
        <f t="array" ref="F381">IFERROR([1]!FeetConvert(E381),"")</f>
        <v/>
      </c>
      <c r="H381" s="29" t="str">
        <f>IFERROR(VLOOKUP(A381,T,1,FALSE),"")</f>
        <v/>
      </c>
      <c r="I381" s="29" t="str">
        <f t="shared" si="21"/>
        <v/>
      </c>
      <c r="J381" s="29" t="str">
        <f t="shared" si="22"/>
        <v/>
      </c>
      <c r="K381" s="29" t="str" cm="1">
        <f t="array" ref="K381">IFERROR([2]!CalculateHyphenString(J381),"")</f>
        <v/>
      </c>
      <c r="L381">
        <f t="shared" si="24"/>
        <v>798592</v>
      </c>
    </row>
    <row r="382" spans="1:12" x14ac:dyDescent="0.7">
      <c r="A382" s="3">
        <v>379</v>
      </c>
      <c r="D382" s="49" t="str">
        <f t="shared" si="23"/>
        <v>798592</v>
      </c>
      <c r="E382" s="14" t="str">
        <f>IFERROR(VLOOKUP($A382,TT,10,FALSE),"")</f>
        <v/>
      </c>
      <c r="F382" s="48" t="str" cm="1">
        <f t="array" ref="F382">IFERROR([1]!FeetConvert(E382),"")</f>
        <v/>
      </c>
      <c r="H382" s="29" t="str">
        <f>IFERROR(VLOOKUP(A382,T,1,FALSE),"")</f>
        <v/>
      </c>
      <c r="I382" s="29" t="str">
        <f t="shared" si="21"/>
        <v/>
      </c>
      <c r="J382" s="29" t="str">
        <f t="shared" si="22"/>
        <v/>
      </c>
      <c r="K382" s="29" t="str" cm="1">
        <f t="array" ref="K382">IFERROR([2]!CalculateHyphenString(J382),"")</f>
        <v/>
      </c>
      <c r="L382">
        <f t="shared" si="24"/>
        <v>798592</v>
      </c>
    </row>
    <row r="383" spans="1:12" x14ac:dyDescent="0.7">
      <c r="A383" s="3">
        <v>380</v>
      </c>
      <c r="D383" s="49" t="str">
        <f t="shared" si="23"/>
        <v>798592</v>
      </c>
      <c r="E383" s="14" t="str">
        <f>IFERROR(VLOOKUP($A383,TT,10,FALSE),"")</f>
        <v/>
      </c>
      <c r="F383" s="48" t="str" cm="1">
        <f t="array" ref="F383">IFERROR([1]!FeetConvert(E383),"")</f>
        <v/>
      </c>
      <c r="H383" s="29" t="str">
        <f>IFERROR(VLOOKUP(A383,T,1,FALSE),"")</f>
        <v/>
      </c>
      <c r="I383" s="29" t="str">
        <f t="shared" si="21"/>
        <v/>
      </c>
      <c r="J383" s="29" t="str">
        <f t="shared" si="22"/>
        <v/>
      </c>
      <c r="K383" s="29" t="str" cm="1">
        <f t="array" ref="K383">IFERROR([2]!CalculateHyphenString(J383),"")</f>
        <v/>
      </c>
      <c r="L383">
        <f t="shared" si="24"/>
        <v>798592</v>
      </c>
    </row>
    <row r="384" spans="1:12" x14ac:dyDescent="0.7">
      <c r="A384" s="3">
        <v>381</v>
      </c>
      <c r="D384" s="49" t="str">
        <f t="shared" si="23"/>
        <v>798592</v>
      </c>
      <c r="E384" s="14" t="str">
        <f>IFERROR(VLOOKUP($A384,TT,10,FALSE),"")</f>
        <v/>
      </c>
      <c r="F384" s="48" t="str" cm="1">
        <f t="array" ref="F384">IFERROR([1]!FeetConvert(E384),"")</f>
        <v/>
      </c>
      <c r="H384" s="29" t="str">
        <f>IFERROR(VLOOKUP(A384,T,1,FALSE),"")</f>
        <v/>
      </c>
      <c r="I384" s="29" t="str">
        <f t="shared" si="21"/>
        <v/>
      </c>
      <c r="J384" s="29" t="str">
        <f t="shared" si="22"/>
        <v/>
      </c>
      <c r="K384" s="29" t="str" cm="1">
        <f t="array" ref="K384">IFERROR([2]!CalculateHyphenString(J384),"")</f>
        <v/>
      </c>
      <c r="L384">
        <f t="shared" si="24"/>
        <v>798592</v>
      </c>
    </row>
    <row r="385" spans="1:12" x14ac:dyDescent="0.7">
      <c r="A385" s="3">
        <v>382</v>
      </c>
      <c r="D385" s="49" t="str">
        <f t="shared" si="23"/>
        <v>798592</v>
      </c>
      <c r="E385" s="14" t="str">
        <f>IFERROR(VLOOKUP($A385,TT,10,FALSE),"")</f>
        <v/>
      </c>
      <c r="F385" s="48" t="str" cm="1">
        <f t="array" ref="F385">IFERROR([1]!FeetConvert(E385),"")</f>
        <v/>
      </c>
      <c r="H385" s="29" t="str">
        <f>IFERROR(VLOOKUP(A385,T,1,FALSE),"")</f>
        <v/>
      </c>
      <c r="I385" s="29" t="str">
        <f t="shared" si="21"/>
        <v/>
      </c>
      <c r="J385" s="29" t="str">
        <f t="shared" si="22"/>
        <v/>
      </c>
      <c r="K385" s="29" t="str" cm="1">
        <f t="array" ref="K385">IFERROR([2]!CalculateHyphenString(J385),"")</f>
        <v/>
      </c>
      <c r="L385">
        <f t="shared" si="24"/>
        <v>798592</v>
      </c>
    </row>
    <row r="386" spans="1:12" x14ac:dyDescent="0.7">
      <c r="A386" s="3">
        <v>383</v>
      </c>
      <c r="D386" s="49" t="str">
        <f t="shared" si="23"/>
        <v>798592</v>
      </c>
      <c r="E386" s="14" t="str">
        <f>IFERROR(VLOOKUP($A386,TT,10,FALSE),"")</f>
        <v/>
      </c>
      <c r="F386" s="48" t="str" cm="1">
        <f t="array" ref="F386">IFERROR([1]!FeetConvert(E386),"")</f>
        <v/>
      </c>
      <c r="H386" s="29" t="str">
        <f>IFERROR(VLOOKUP(A386,T,1,FALSE),"")</f>
        <v/>
      </c>
      <c r="I386" s="29" t="str">
        <f t="shared" si="21"/>
        <v/>
      </c>
      <c r="J386" s="29" t="str">
        <f t="shared" si="22"/>
        <v/>
      </c>
      <c r="K386" s="29" t="str" cm="1">
        <f t="array" ref="K386">IFERROR([2]!CalculateHyphenString(J386),"")</f>
        <v/>
      </c>
      <c r="L386">
        <f t="shared" si="24"/>
        <v>798592</v>
      </c>
    </row>
    <row r="387" spans="1:12" x14ac:dyDescent="0.7">
      <c r="A387" s="3">
        <v>384</v>
      </c>
      <c r="D387" s="49" t="str">
        <f t="shared" si="23"/>
        <v>798592</v>
      </c>
      <c r="E387" s="14" t="str">
        <f>IFERROR(VLOOKUP($A387,TT,10,FALSE),"")</f>
        <v/>
      </c>
      <c r="F387" s="48" t="str" cm="1">
        <f t="array" ref="F387">IFERROR([1]!FeetConvert(E387),"")</f>
        <v/>
      </c>
      <c r="H387" s="29" t="str">
        <f>IFERROR(VLOOKUP(A387,T,1,FALSE),"")</f>
        <v/>
      </c>
      <c r="I387" s="29" t="str">
        <f t="shared" si="21"/>
        <v/>
      </c>
      <c r="J387" s="29" t="str">
        <f t="shared" si="22"/>
        <v/>
      </c>
      <c r="K387" s="29" t="str" cm="1">
        <f t="array" ref="K387">IFERROR([2]!CalculateHyphenString(J387),"")</f>
        <v/>
      </c>
      <c r="L387">
        <f t="shared" si="24"/>
        <v>798592</v>
      </c>
    </row>
    <row r="388" spans="1:12" x14ac:dyDescent="0.7">
      <c r="A388" s="3">
        <v>385</v>
      </c>
      <c r="D388" s="49" t="str">
        <f t="shared" si="23"/>
        <v>798592</v>
      </c>
      <c r="E388" s="14" t="str">
        <f>IFERROR(VLOOKUP($A388,TT,10,FALSE),"")</f>
        <v/>
      </c>
      <c r="F388" s="48" t="str" cm="1">
        <f t="array" ref="F388">IFERROR([1]!FeetConvert(E388),"")</f>
        <v/>
      </c>
      <c r="H388" s="29" t="str">
        <f>IFERROR(VLOOKUP(A388,T,1,FALSE),"")</f>
        <v/>
      </c>
      <c r="I388" s="29" t="str">
        <f t="shared" ref="I388:I451" si="25">IFERROR(VLOOKUP(A388,T,2,FALSE),"")</f>
        <v/>
      </c>
      <c r="J388" s="29" t="str">
        <f t="shared" ref="J388:J451" si="26">IFERROR(VLOOKUP(A388,T,3,FALSE),"")</f>
        <v/>
      </c>
      <c r="K388" s="29" t="str" cm="1">
        <f t="array" ref="K388">IFERROR([2]!CalculateHyphenString(J388),"")</f>
        <v/>
      </c>
      <c r="L388">
        <f t="shared" si="24"/>
        <v>798592</v>
      </c>
    </row>
    <row r="389" spans="1:12" x14ac:dyDescent="0.7">
      <c r="A389" s="3">
        <v>386</v>
      </c>
      <c r="D389" s="49" t="str">
        <f t="shared" ref="D389:D452" si="27">_xlfn.TEXTJOIN("/",TRUE,E389,L389)</f>
        <v>798592</v>
      </c>
      <c r="E389" s="14" t="str">
        <f>IFERROR(VLOOKUP($A389,TT,10,FALSE),"")</f>
        <v/>
      </c>
      <c r="F389" s="48" t="str" cm="1">
        <f t="array" ref="F389">IFERROR([1]!FeetConvert(E389),"")</f>
        <v/>
      </c>
      <c r="H389" s="29" t="str">
        <f>IFERROR(VLOOKUP(A389,T,1,FALSE),"")</f>
        <v/>
      </c>
      <c r="I389" s="29" t="str">
        <f t="shared" si="25"/>
        <v/>
      </c>
      <c r="J389" s="29" t="str">
        <f t="shared" si="26"/>
        <v/>
      </c>
      <c r="K389" s="29" t="str" cm="1">
        <f t="array" ref="K389">IFERROR([2]!CalculateHyphenString(J389),"")</f>
        <v/>
      </c>
      <c r="L389">
        <f t="shared" ref="L389:L452" si="28">$E$2</f>
        <v>798592</v>
      </c>
    </row>
    <row r="390" spans="1:12" x14ac:dyDescent="0.7">
      <c r="A390" s="3">
        <v>387</v>
      </c>
      <c r="D390" s="49" t="str">
        <f t="shared" si="27"/>
        <v>798592</v>
      </c>
      <c r="E390" s="14" t="str">
        <f>IFERROR(VLOOKUP($A390,TT,10,FALSE),"")</f>
        <v/>
      </c>
      <c r="F390" s="48" t="str" cm="1">
        <f t="array" ref="F390">IFERROR([1]!FeetConvert(E390),"")</f>
        <v/>
      </c>
      <c r="H390" s="29" t="str">
        <f>IFERROR(VLOOKUP(A390,T,1,FALSE),"")</f>
        <v/>
      </c>
      <c r="I390" s="29" t="str">
        <f t="shared" si="25"/>
        <v/>
      </c>
      <c r="J390" s="29" t="str">
        <f t="shared" si="26"/>
        <v/>
      </c>
      <c r="K390" s="29" t="str" cm="1">
        <f t="array" ref="K390">IFERROR([2]!CalculateHyphenString(J390),"")</f>
        <v/>
      </c>
      <c r="L390">
        <f t="shared" si="28"/>
        <v>798592</v>
      </c>
    </row>
    <row r="391" spans="1:12" x14ac:dyDescent="0.7">
      <c r="A391" s="3">
        <v>388</v>
      </c>
      <c r="D391" s="49" t="str">
        <f t="shared" si="27"/>
        <v>798592</v>
      </c>
      <c r="E391" s="14" t="str">
        <f>IFERROR(VLOOKUP($A391,TT,10,FALSE),"")</f>
        <v/>
      </c>
      <c r="F391" s="48" t="str" cm="1">
        <f t="array" ref="F391">IFERROR([1]!FeetConvert(E391),"")</f>
        <v/>
      </c>
      <c r="H391" s="29" t="str">
        <f>IFERROR(VLOOKUP(A391,T,1,FALSE),"")</f>
        <v/>
      </c>
      <c r="I391" s="29" t="str">
        <f t="shared" si="25"/>
        <v/>
      </c>
      <c r="J391" s="29" t="str">
        <f t="shared" si="26"/>
        <v/>
      </c>
      <c r="K391" s="29" t="str" cm="1">
        <f t="array" ref="K391">IFERROR([2]!CalculateHyphenString(J391),"")</f>
        <v/>
      </c>
      <c r="L391">
        <f t="shared" si="28"/>
        <v>798592</v>
      </c>
    </row>
    <row r="392" spans="1:12" x14ac:dyDescent="0.7">
      <c r="A392" s="3">
        <v>389</v>
      </c>
      <c r="D392" s="49" t="str">
        <f t="shared" si="27"/>
        <v>798592</v>
      </c>
      <c r="E392" s="14" t="str">
        <f>IFERROR(VLOOKUP($A392,TT,10,FALSE),"")</f>
        <v/>
      </c>
      <c r="F392" s="48" t="str" cm="1">
        <f t="array" ref="F392">IFERROR([1]!FeetConvert(E392),"")</f>
        <v/>
      </c>
      <c r="H392" s="29" t="str">
        <f>IFERROR(VLOOKUP(A392,T,1,FALSE),"")</f>
        <v/>
      </c>
      <c r="I392" s="29" t="str">
        <f t="shared" si="25"/>
        <v/>
      </c>
      <c r="J392" s="29" t="str">
        <f t="shared" si="26"/>
        <v/>
      </c>
      <c r="K392" s="29" t="str" cm="1">
        <f t="array" ref="K392">IFERROR([2]!CalculateHyphenString(J392),"")</f>
        <v/>
      </c>
      <c r="L392">
        <f t="shared" si="28"/>
        <v>798592</v>
      </c>
    </row>
    <row r="393" spans="1:12" x14ac:dyDescent="0.7">
      <c r="A393" s="3">
        <v>390</v>
      </c>
      <c r="D393" s="49" t="str">
        <f t="shared" si="27"/>
        <v>798592</v>
      </c>
      <c r="E393" s="14" t="str">
        <f>IFERROR(VLOOKUP($A393,TT,10,FALSE),"")</f>
        <v/>
      </c>
      <c r="F393" s="48" t="str" cm="1">
        <f t="array" ref="F393">IFERROR([1]!FeetConvert(E393),"")</f>
        <v/>
      </c>
      <c r="H393" s="29" t="str">
        <f>IFERROR(VLOOKUP(A393,T,1,FALSE),"")</f>
        <v/>
      </c>
      <c r="I393" s="29" t="str">
        <f t="shared" si="25"/>
        <v/>
      </c>
      <c r="J393" s="29" t="str">
        <f t="shared" si="26"/>
        <v/>
      </c>
      <c r="K393" s="29" t="str" cm="1">
        <f t="array" ref="K393">IFERROR([2]!CalculateHyphenString(J393),"")</f>
        <v/>
      </c>
      <c r="L393">
        <f t="shared" si="28"/>
        <v>798592</v>
      </c>
    </row>
    <row r="394" spans="1:12" x14ac:dyDescent="0.7">
      <c r="A394" s="3">
        <v>391</v>
      </c>
      <c r="D394" s="49" t="str">
        <f t="shared" si="27"/>
        <v>798592</v>
      </c>
      <c r="E394" s="14" t="str">
        <f>IFERROR(VLOOKUP($A394,TT,10,FALSE),"")</f>
        <v/>
      </c>
      <c r="F394" s="48" t="str" cm="1">
        <f t="array" ref="F394">IFERROR([1]!FeetConvert(E394),"")</f>
        <v/>
      </c>
      <c r="H394" s="29" t="str">
        <f>IFERROR(VLOOKUP(A394,T,1,FALSE),"")</f>
        <v/>
      </c>
      <c r="I394" s="29" t="str">
        <f t="shared" si="25"/>
        <v/>
      </c>
      <c r="J394" s="29" t="str">
        <f t="shared" si="26"/>
        <v/>
      </c>
      <c r="K394" s="29" t="str" cm="1">
        <f t="array" ref="K394">IFERROR([2]!CalculateHyphenString(J394),"")</f>
        <v/>
      </c>
      <c r="L394">
        <f t="shared" si="28"/>
        <v>798592</v>
      </c>
    </row>
    <row r="395" spans="1:12" x14ac:dyDescent="0.7">
      <c r="A395" s="3">
        <v>392</v>
      </c>
      <c r="D395" s="49" t="str">
        <f t="shared" si="27"/>
        <v>798592</v>
      </c>
      <c r="E395" s="14" t="str">
        <f>IFERROR(VLOOKUP($A395,TT,10,FALSE),"")</f>
        <v/>
      </c>
      <c r="F395" s="48" t="str" cm="1">
        <f t="array" ref="F395">IFERROR([1]!FeetConvert(E395),"")</f>
        <v/>
      </c>
      <c r="H395" s="29" t="str">
        <f>IFERROR(VLOOKUP(A395,T,1,FALSE),"")</f>
        <v/>
      </c>
      <c r="I395" s="29" t="str">
        <f t="shared" si="25"/>
        <v/>
      </c>
      <c r="J395" s="29" t="str">
        <f t="shared" si="26"/>
        <v/>
      </c>
      <c r="K395" s="29" t="str" cm="1">
        <f t="array" ref="K395">IFERROR([2]!CalculateHyphenString(J395),"")</f>
        <v/>
      </c>
      <c r="L395">
        <f t="shared" si="28"/>
        <v>798592</v>
      </c>
    </row>
    <row r="396" spans="1:12" x14ac:dyDescent="0.7">
      <c r="A396" s="3">
        <v>393</v>
      </c>
      <c r="D396" s="49" t="str">
        <f t="shared" si="27"/>
        <v>798592</v>
      </c>
      <c r="E396" s="14" t="str">
        <f>IFERROR(VLOOKUP($A396,TT,10,FALSE),"")</f>
        <v/>
      </c>
      <c r="F396" s="48" t="str" cm="1">
        <f t="array" ref="F396">IFERROR([1]!FeetConvert(E396),"")</f>
        <v/>
      </c>
      <c r="H396" s="29" t="str">
        <f>IFERROR(VLOOKUP(A396,T,1,FALSE),"")</f>
        <v/>
      </c>
      <c r="I396" s="29" t="str">
        <f t="shared" si="25"/>
        <v/>
      </c>
      <c r="J396" s="29" t="str">
        <f t="shared" si="26"/>
        <v/>
      </c>
      <c r="K396" s="29" t="str" cm="1">
        <f t="array" ref="K396">IFERROR([2]!CalculateHyphenString(J396),"")</f>
        <v/>
      </c>
      <c r="L396">
        <f t="shared" si="28"/>
        <v>798592</v>
      </c>
    </row>
    <row r="397" spans="1:12" x14ac:dyDescent="0.7">
      <c r="A397" s="3">
        <v>394</v>
      </c>
      <c r="D397" s="49" t="str">
        <f t="shared" si="27"/>
        <v>798592</v>
      </c>
      <c r="E397" s="14" t="str">
        <f>IFERROR(VLOOKUP($A397,TT,10,FALSE),"")</f>
        <v/>
      </c>
      <c r="F397" s="48" t="str" cm="1">
        <f t="array" ref="F397">IFERROR([1]!FeetConvert(E397),"")</f>
        <v/>
      </c>
      <c r="H397" s="29" t="str">
        <f>IFERROR(VLOOKUP(A397,T,1,FALSE),"")</f>
        <v/>
      </c>
      <c r="I397" s="29" t="str">
        <f t="shared" si="25"/>
        <v/>
      </c>
      <c r="J397" s="29" t="str">
        <f t="shared" si="26"/>
        <v/>
      </c>
      <c r="K397" s="29" t="str" cm="1">
        <f t="array" ref="K397">IFERROR([2]!CalculateHyphenString(J397),"")</f>
        <v/>
      </c>
      <c r="L397">
        <f t="shared" si="28"/>
        <v>798592</v>
      </c>
    </row>
    <row r="398" spans="1:12" x14ac:dyDescent="0.7">
      <c r="A398" s="3">
        <v>395</v>
      </c>
      <c r="D398" s="49" t="str">
        <f t="shared" si="27"/>
        <v>798592</v>
      </c>
      <c r="E398" s="14" t="str">
        <f>IFERROR(VLOOKUP($A398,TT,10,FALSE),"")</f>
        <v/>
      </c>
      <c r="F398" s="48" t="str" cm="1">
        <f t="array" ref="F398">IFERROR([1]!FeetConvert(E398),"")</f>
        <v/>
      </c>
      <c r="H398" s="29" t="str">
        <f>IFERROR(VLOOKUP(A398,T,1,FALSE),"")</f>
        <v/>
      </c>
      <c r="I398" s="29" t="str">
        <f t="shared" si="25"/>
        <v/>
      </c>
      <c r="J398" s="29" t="str">
        <f t="shared" si="26"/>
        <v/>
      </c>
      <c r="K398" s="29" t="str" cm="1">
        <f t="array" ref="K398">IFERROR([2]!CalculateHyphenString(J398),"")</f>
        <v/>
      </c>
      <c r="L398">
        <f t="shared" si="28"/>
        <v>798592</v>
      </c>
    </row>
    <row r="399" spans="1:12" x14ac:dyDescent="0.7">
      <c r="A399" s="3">
        <v>396</v>
      </c>
      <c r="D399" s="49" t="str">
        <f t="shared" si="27"/>
        <v>798592</v>
      </c>
      <c r="E399" s="14" t="str">
        <f>IFERROR(VLOOKUP($A399,TT,10,FALSE),"")</f>
        <v/>
      </c>
      <c r="F399" s="48" t="str" cm="1">
        <f t="array" ref="F399">IFERROR([1]!FeetConvert(E399),"")</f>
        <v/>
      </c>
      <c r="H399" s="29" t="str">
        <f>IFERROR(VLOOKUP(A399,T,1,FALSE),"")</f>
        <v/>
      </c>
      <c r="I399" s="29" t="str">
        <f t="shared" si="25"/>
        <v/>
      </c>
      <c r="J399" s="29" t="str">
        <f t="shared" si="26"/>
        <v/>
      </c>
      <c r="K399" s="29" t="str" cm="1">
        <f t="array" ref="K399">IFERROR([2]!CalculateHyphenString(J399),"")</f>
        <v/>
      </c>
      <c r="L399">
        <f t="shared" si="28"/>
        <v>798592</v>
      </c>
    </row>
    <row r="400" spans="1:12" x14ac:dyDescent="0.7">
      <c r="A400" s="3">
        <v>397</v>
      </c>
      <c r="D400" s="49" t="str">
        <f t="shared" si="27"/>
        <v>798592</v>
      </c>
      <c r="E400" s="14" t="str">
        <f>IFERROR(VLOOKUP($A400,TT,10,FALSE),"")</f>
        <v/>
      </c>
      <c r="F400" s="48" t="str" cm="1">
        <f t="array" ref="F400">IFERROR([1]!FeetConvert(E400),"")</f>
        <v/>
      </c>
      <c r="H400" s="29" t="str">
        <f>IFERROR(VLOOKUP(A400,T,1,FALSE),"")</f>
        <v/>
      </c>
      <c r="I400" s="29" t="str">
        <f t="shared" si="25"/>
        <v/>
      </c>
      <c r="J400" s="29" t="str">
        <f t="shared" si="26"/>
        <v/>
      </c>
      <c r="K400" s="29" t="str" cm="1">
        <f t="array" ref="K400">IFERROR([2]!CalculateHyphenString(J400),"")</f>
        <v/>
      </c>
      <c r="L400">
        <f t="shared" si="28"/>
        <v>798592</v>
      </c>
    </row>
    <row r="401" spans="1:12" x14ac:dyDescent="0.7">
      <c r="A401" s="3">
        <v>398</v>
      </c>
      <c r="D401" s="49" t="str">
        <f t="shared" si="27"/>
        <v>798592</v>
      </c>
      <c r="E401" s="14" t="str">
        <f>IFERROR(VLOOKUP($A401,TT,10,FALSE),"")</f>
        <v/>
      </c>
      <c r="F401" s="48" t="str" cm="1">
        <f t="array" ref="F401">IFERROR([1]!FeetConvert(E401),"")</f>
        <v/>
      </c>
      <c r="H401" s="29" t="str">
        <f>IFERROR(VLOOKUP(A401,T,1,FALSE),"")</f>
        <v/>
      </c>
      <c r="I401" s="29" t="str">
        <f t="shared" si="25"/>
        <v/>
      </c>
      <c r="J401" s="29" t="str">
        <f t="shared" si="26"/>
        <v/>
      </c>
      <c r="K401" s="29" t="str" cm="1">
        <f t="array" ref="K401">IFERROR([2]!CalculateHyphenString(J401),"")</f>
        <v/>
      </c>
      <c r="L401">
        <f t="shared" si="28"/>
        <v>798592</v>
      </c>
    </row>
    <row r="402" spans="1:12" x14ac:dyDescent="0.7">
      <c r="A402" s="3">
        <v>399</v>
      </c>
      <c r="D402" s="49" t="str">
        <f t="shared" si="27"/>
        <v>798592</v>
      </c>
      <c r="E402" s="14" t="str">
        <f>IFERROR(VLOOKUP($A402,TT,10,FALSE),"")</f>
        <v/>
      </c>
      <c r="F402" s="48" t="str" cm="1">
        <f t="array" ref="F402">IFERROR([1]!FeetConvert(E402),"")</f>
        <v/>
      </c>
      <c r="H402" s="29" t="str">
        <f>IFERROR(VLOOKUP(A402,T,1,FALSE),"")</f>
        <v/>
      </c>
      <c r="I402" s="29" t="str">
        <f t="shared" si="25"/>
        <v/>
      </c>
      <c r="J402" s="29" t="str">
        <f t="shared" si="26"/>
        <v/>
      </c>
      <c r="K402" s="29" t="str" cm="1">
        <f t="array" ref="K402">IFERROR([2]!CalculateHyphenString(J402),"")</f>
        <v/>
      </c>
      <c r="L402">
        <f t="shared" si="28"/>
        <v>798592</v>
      </c>
    </row>
    <row r="403" spans="1:12" x14ac:dyDescent="0.7">
      <c r="A403" s="3">
        <v>400</v>
      </c>
      <c r="D403" s="49" t="str">
        <f t="shared" si="27"/>
        <v>798592</v>
      </c>
      <c r="E403" s="14" t="str">
        <f>IFERROR(VLOOKUP($A403,TT,10,FALSE),"")</f>
        <v/>
      </c>
      <c r="F403" s="48" t="str" cm="1">
        <f t="array" ref="F403">IFERROR([1]!FeetConvert(E403),"")</f>
        <v/>
      </c>
      <c r="H403" s="29" t="str">
        <f>IFERROR(VLOOKUP(A403,T,1,FALSE),"")</f>
        <v/>
      </c>
      <c r="I403" s="29" t="str">
        <f t="shared" si="25"/>
        <v/>
      </c>
      <c r="J403" s="29" t="str">
        <f t="shared" si="26"/>
        <v/>
      </c>
      <c r="K403" s="29" t="str" cm="1">
        <f t="array" ref="K403">IFERROR([2]!CalculateHyphenString(J403),"")</f>
        <v/>
      </c>
      <c r="L403">
        <f t="shared" si="28"/>
        <v>798592</v>
      </c>
    </row>
    <row r="404" spans="1:12" x14ac:dyDescent="0.7">
      <c r="A404" s="3">
        <v>401</v>
      </c>
      <c r="D404" s="49" t="str">
        <f t="shared" si="27"/>
        <v>798592</v>
      </c>
      <c r="E404" s="14" t="str">
        <f>IFERROR(VLOOKUP($A404,TT,10,FALSE),"")</f>
        <v/>
      </c>
      <c r="F404" s="48" t="str" cm="1">
        <f t="array" ref="F404">IFERROR([1]!FeetConvert(E404),"")</f>
        <v/>
      </c>
      <c r="H404" s="29" t="str">
        <f>IFERROR(VLOOKUP(A404,T,1,FALSE),"")</f>
        <v/>
      </c>
      <c r="I404" s="29" t="str">
        <f t="shared" si="25"/>
        <v/>
      </c>
      <c r="J404" s="29" t="str">
        <f t="shared" si="26"/>
        <v/>
      </c>
      <c r="K404" s="29" t="str" cm="1">
        <f t="array" ref="K404">IFERROR([2]!CalculateHyphenString(J404),"")</f>
        <v/>
      </c>
      <c r="L404">
        <f t="shared" si="28"/>
        <v>798592</v>
      </c>
    </row>
    <row r="405" spans="1:12" x14ac:dyDescent="0.7">
      <c r="A405" s="3">
        <v>402</v>
      </c>
      <c r="D405" s="49" t="str">
        <f t="shared" si="27"/>
        <v>798592</v>
      </c>
      <c r="E405" s="14" t="str">
        <f>IFERROR(VLOOKUP($A405,TT,10,FALSE),"")</f>
        <v/>
      </c>
      <c r="F405" s="48" t="str" cm="1">
        <f t="array" ref="F405">IFERROR([1]!FeetConvert(E405),"")</f>
        <v/>
      </c>
      <c r="H405" s="29" t="str">
        <f>IFERROR(VLOOKUP(A405,T,1,FALSE),"")</f>
        <v/>
      </c>
      <c r="I405" s="29" t="str">
        <f t="shared" si="25"/>
        <v/>
      </c>
      <c r="J405" s="29" t="str">
        <f t="shared" si="26"/>
        <v/>
      </c>
      <c r="K405" s="29" t="str" cm="1">
        <f t="array" ref="K405">IFERROR([2]!CalculateHyphenString(J405),"")</f>
        <v/>
      </c>
      <c r="L405">
        <f t="shared" si="28"/>
        <v>798592</v>
      </c>
    </row>
    <row r="406" spans="1:12" x14ac:dyDescent="0.7">
      <c r="A406" s="3">
        <v>403</v>
      </c>
      <c r="D406" s="49" t="str">
        <f t="shared" si="27"/>
        <v>798592</v>
      </c>
      <c r="E406" s="14" t="str">
        <f>IFERROR(VLOOKUP($A406,TT,10,FALSE),"")</f>
        <v/>
      </c>
      <c r="F406" s="48" t="str" cm="1">
        <f t="array" ref="F406">IFERROR([1]!FeetConvert(E406),"")</f>
        <v/>
      </c>
      <c r="H406" s="29" t="str">
        <f>IFERROR(VLOOKUP(A406,T,1,FALSE),"")</f>
        <v/>
      </c>
      <c r="I406" s="29" t="str">
        <f t="shared" si="25"/>
        <v/>
      </c>
      <c r="J406" s="29" t="str">
        <f t="shared" si="26"/>
        <v/>
      </c>
      <c r="K406" s="29" t="str" cm="1">
        <f t="array" ref="K406">IFERROR([2]!CalculateHyphenString(J406),"")</f>
        <v/>
      </c>
      <c r="L406">
        <f t="shared" si="28"/>
        <v>798592</v>
      </c>
    </row>
    <row r="407" spans="1:12" x14ac:dyDescent="0.7">
      <c r="A407" s="3">
        <v>404</v>
      </c>
      <c r="D407" s="49" t="str">
        <f t="shared" si="27"/>
        <v>798592</v>
      </c>
      <c r="E407" s="14" t="str">
        <f>IFERROR(VLOOKUP($A407,TT,10,FALSE),"")</f>
        <v/>
      </c>
      <c r="F407" s="48" t="str" cm="1">
        <f t="array" ref="F407">IFERROR([1]!FeetConvert(E407),"")</f>
        <v/>
      </c>
      <c r="H407" s="29" t="str">
        <f>IFERROR(VLOOKUP(A407,T,1,FALSE),"")</f>
        <v/>
      </c>
      <c r="I407" s="29" t="str">
        <f t="shared" si="25"/>
        <v/>
      </c>
      <c r="J407" s="29" t="str">
        <f t="shared" si="26"/>
        <v/>
      </c>
      <c r="K407" s="29" t="str" cm="1">
        <f t="array" ref="K407">IFERROR([2]!CalculateHyphenString(J407),"")</f>
        <v/>
      </c>
      <c r="L407">
        <f t="shared" si="28"/>
        <v>798592</v>
      </c>
    </row>
    <row r="408" spans="1:12" x14ac:dyDescent="0.7">
      <c r="A408" s="3">
        <v>405</v>
      </c>
      <c r="D408" s="49" t="str">
        <f t="shared" si="27"/>
        <v>798592</v>
      </c>
      <c r="E408" s="14" t="str">
        <f>IFERROR(VLOOKUP($A408,TT,10,FALSE),"")</f>
        <v/>
      </c>
      <c r="F408" s="48" t="str" cm="1">
        <f t="array" ref="F408">IFERROR([1]!FeetConvert(E408),"")</f>
        <v/>
      </c>
      <c r="H408" s="29" t="str">
        <f>IFERROR(VLOOKUP(A408,T,1,FALSE),"")</f>
        <v/>
      </c>
      <c r="I408" s="29" t="str">
        <f t="shared" si="25"/>
        <v/>
      </c>
      <c r="J408" s="29" t="str">
        <f t="shared" si="26"/>
        <v/>
      </c>
      <c r="K408" s="29" t="str" cm="1">
        <f t="array" ref="K408">IFERROR([2]!CalculateHyphenString(J408),"")</f>
        <v/>
      </c>
      <c r="L408">
        <f t="shared" si="28"/>
        <v>798592</v>
      </c>
    </row>
    <row r="409" spans="1:12" x14ac:dyDescent="0.7">
      <c r="A409" s="3">
        <v>406</v>
      </c>
      <c r="D409" s="49" t="str">
        <f t="shared" si="27"/>
        <v>798592</v>
      </c>
      <c r="E409" s="14" t="str">
        <f>IFERROR(VLOOKUP($A409,TT,10,FALSE),"")</f>
        <v/>
      </c>
      <c r="F409" s="48" t="str" cm="1">
        <f t="array" ref="F409">IFERROR([1]!FeetConvert(E409),"")</f>
        <v/>
      </c>
      <c r="H409" s="29" t="str">
        <f>IFERROR(VLOOKUP(A409,T,1,FALSE),"")</f>
        <v/>
      </c>
      <c r="I409" s="29" t="str">
        <f t="shared" si="25"/>
        <v/>
      </c>
      <c r="J409" s="29" t="str">
        <f t="shared" si="26"/>
        <v/>
      </c>
      <c r="K409" s="29" t="str" cm="1">
        <f t="array" ref="K409">IFERROR([2]!CalculateHyphenString(J409),"")</f>
        <v/>
      </c>
      <c r="L409">
        <f t="shared" si="28"/>
        <v>798592</v>
      </c>
    </row>
    <row r="410" spans="1:12" x14ac:dyDescent="0.7">
      <c r="A410" s="3">
        <v>407</v>
      </c>
      <c r="D410" s="49" t="str">
        <f t="shared" si="27"/>
        <v>798592</v>
      </c>
      <c r="E410" s="14" t="str">
        <f>IFERROR(VLOOKUP($A410,TT,10,FALSE),"")</f>
        <v/>
      </c>
      <c r="F410" s="48" t="str" cm="1">
        <f t="array" ref="F410">IFERROR([1]!FeetConvert(E410),"")</f>
        <v/>
      </c>
      <c r="H410" s="29" t="str">
        <f>IFERROR(VLOOKUP(A410,T,1,FALSE),"")</f>
        <v/>
      </c>
      <c r="I410" s="29" t="str">
        <f t="shared" si="25"/>
        <v/>
      </c>
      <c r="J410" s="29" t="str">
        <f t="shared" si="26"/>
        <v/>
      </c>
      <c r="K410" s="29" t="str" cm="1">
        <f t="array" ref="K410">IFERROR([2]!CalculateHyphenString(J410),"")</f>
        <v/>
      </c>
      <c r="L410">
        <f t="shared" si="28"/>
        <v>798592</v>
      </c>
    </row>
    <row r="411" spans="1:12" x14ac:dyDescent="0.7">
      <c r="A411" s="3">
        <v>408</v>
      </c>
      <c r="D411" s="49" t="str">
        <f t="shared" si="27"/>
        <v>798592</v>
      </c>
      <c r="E411" s="14" t="str">
        <f>IFERROR(VLOOKUP($A411,TT,10,FALSE),"")</f>
        <v/>
      </c>
      <c r="F411" s="48" t="str" cm="1">
        <f t="array" ref="F411">IFERROR([1]!FeetConvert(E411),"")</f>
        <v/>
      </c>
      <c r="H411" s="29" t="str">
        <f>IFERROR(VLOOKUP(A411,T,1,FALSE),"")</f>
        <v/>
      </c>
      <c r="I411" s="29" t="str">
        <f t="shared" si="25"/>
        <v/>
      </c>
      <c r="J411" s="29" t="str">
        <f t="shared" si="26"/>
        <v/>
      </c>
      <c r="K411" s="29" t="str" cm="1">
        <f t="array" ref="K411">IFERROR([2]!CalculateHyphenString(J411),"")</f>
        <v/>
      </c>
      <c r="L411">
        <f t="shared" si="28"/>
        <v>798592</v>
      </c>
    </row>
    <row r="412" spans="1:12" x14ac:dyDescent="0.7">
      <c r="A412" s="3">
        <v>409</v>
      </c>
      <c r="D412" s="49" t="str">
        <f t="shared" si="27"/>
        <v>798592</v>
      </c>
      <c r="E412" s="14" t="str">
        <f>IFERROR(VLOOKUP($A412,TT,10,FALSE),"")</f>
        <v/>
      </c>
      <c r="F412" s="48" t="str" cm="1">
        <f t="array" ref="F412">IFERROR([1]!FeetConvert(E412),"")</f>
        <v/>
      </c>
      <c r="H412" s="29" t="str">
        <f>IFERROR(VLOOKUP(A412,T,1,FALSE),"")</f>
        <v/>
      </c>
      <c r="I412" s="29" t="str">
        <f t="shared" si="25"/>
        <v/>
      </c>
      <c r="J412" s="29" t="str">
        <f t="shared" si="26"/>
        <v/>
      </c>
      <c r="K412" s="29" t="str" cm="1">
        <f t="array" ref="K412">IFERROR([2]!CalculateHyphenString(J412),"")</f>
        <v/>
      </c>
      <c r="L412">
        <f t="shared" si="28"/>
        <v>798592</v>
      </c>
    </row>
    <row r="413" spans="1:12" x14ac:dyDescent="0.7">
      <c r="A413" s="3">
        <v>410</v>
      </c>
      <c r="D413" s="49" t="str">
        <f t="shared" si="27"/>
        <v>798592</v>
      </c>
      <c r="E413" s="14" t="str">
        <f>IFERROR(VLOOKUP($A413,TT,10,FALSE),"")</f>
        <v/>
      </c>
      <c r="F413" s="48" t="str" cm="1">
        <f t="array" ref="F413">IFERROR([1]!FeetConvert(E413),"")</f>
        <v/>
      </c>
      <c r="H413" s="29" t="str">
        <f>IFERROR(VLOOKUP(A413,T,1,FALSE),"")</f>
        <v/>
      </c>
      <c r="I413" s="29" t="str">
        <f t="shared" si="25"/>
        <v/>
      </c>
      <c r="J413" s="29" t="str">
        <f t="shared" si="26"/>
        <v/>
      </c>
      <c r="K413" s="29" t="str" cm="1">
        <f t="array" ref="K413">IFERROR([2]!CalculateHyphenString(J413),"")</f>
        <v/>
      </c>
      <c r="L413">
        <f t="shared" si="28"/>
        <v>798592</v>
      </c>
    </row>
    <row r="414" spans="1:12" x14ac:dyDescent="0.7">
      <c r="A414" s="3">
        <v>411</v>
      </c>
      <c r="D414" s="49" t="str">
        <f t="shared" si="27"/>
        <v>798592</v>
      </c>
      <c r="E414" s="14" t="str">
        <f>IFERROR(VLOOKUP($A414,TT,10,FALSE),"")</f>
        <v/>
      </c>
      <c r="F414" s="48" t="str" cm="1">
        <f t="array" ref="F414">IFERROR([1]!FeetConvert(E414),"")</f>
        <v/>
      </c>
      <c r="H414" s="29" t="str">
        <f>IFERROR(VLOOKUP(A414,T,1,FALSE),"")</f>
        <v/>
      </c>
      <c r="I414" s="29" t="str">
        <f t="shared" si="25"/>
        <v/>
      </c>
      <c r="J414" s="29" t="str">
        <f t="shared" si="26"/>
        <v/>
      </c>
      <c r="K414" s="29" t="str" cm="1">
        <f t="array" ref="K414">IFERROR([2]!CalculateHyphenString(J414),"")</f>
        <v/>
      </c>
      <c r="L414">
        <f t="shared" si="28"/>
        <v>798592</v>
      </c>
    </row>
    <row r="415" spans="1:12" x14ac:dyDescent="0.7">
      <c r="A415" s="3">
        <v>412</v>
      </c>
      <c r="D415" s="49" t="str">
        <f t="shared" si="27"/>
        <v>798592</v>
      </c>
      <c r="E415" s="14" t="str">
        <f>IFERROR(VLOOKUP($A415,TT,10,FALSE),"")</f>
        <v/>
      </c>
      <c r="F415" s="48" t="str" cm="1">
        <f t="array" ref="F415">IFERROR([1]!FeetConvert(E415),"")</f>
        <v/>
      </c>
      <c r="H415" s="29" t="str">
        <f>IFERROR(VLOOKUP(A415,T,1,FALSE),"")</f>
        <v/>
      </c>
      <c r="I415" s="29" t="str">
        <f t="shared" si="25"/>
        <v/>
      </c>
      <c r="J415" s="29" t="str">
        <f t="shared" si="26"/>
        <v/>
      </c>
      <c r="K415" s="29" t="str" cm="1">
        <f t="array" ref="K415">IFERROR([2]!CalculateHyphenString(J415),"")</f>
        <v/>
      </c>
      <c r="L415">
        <f t="shared" si="28"/>
        <v>798592</v>
      </c>
    </row>
    <row r="416" spans="1:12" x14ac:dyDescent="0.7">
      <c r="A416" s="3">
        <v>413</v>
      </c>
      <c r="D416" s="49" t="str">
        <f t="shared" si="27"/>
        <v>798592</v>
      </c>
      <c r="E416" s="14" t="str">
        <f>IFERROR(VLOOKUP($A416,TT,10,FALSE),"")</f>
        <v/>
      </c>
      <c r="F416" s="48" t="str" cm="1">
        <f t="array" ref="F416">IFERROR([1]!FeetConvert(E416),"")</f>
        <v/>
      </c>
      <c r="H416" s="29" t="str">
        <f>IFERROR(VLOOKUP(A416,T,1,FALSE),"")</f>
        <v/>
      </c>
      <c r="I416" s="29" t="str">
        <f t="shared" si="25"/>
        <v/>
      </c>
      <c r="J416" s="29" t="str">
        <f t="shared" si="26"/>
        <v/>
      </c>
      <c r="K416" s="29" t="str" cm="1">
        <f t="array" ref="K416">IFERROR([2]!CalculateHyphenString(J416),"")</f>
        <v/>
      </c>
      <c r="L416">
        <f t="shared" si="28"/>
        <v>798592</v>
      </c>
    </row>
    <row r="417" spans="1:12" x14ac:dyDescent="0.7">
      <c r="A417" s="3">
        <v>414</v>
      </c>
      <c r="D417" s="49" t="str">
        <f t="shared" si="27"/>
        <v>798592</v>
      </c>
      <c r="E417" s="14" t="str">
        <f>IFERROR(VLOOKUP($A417,TT,10,FALSE),"")</f>
        <v/>
      </c>
      <c r="F417" s="48" t="str" cm="1">
        <f t="array" ref="F417">IFERROR([1]!FeetConvert(E417),"")</f>
        <v/>
      </c>
      <c r="H417" s="29" t="str">
        <f>IFERROR(VLOOKUP(A417,T,1,FALSE),"")</f>
        <v/>
      </c>
      <c r="I417" s="29" t="str">
        <f t="shared" si="25"/>
        <v/>
      </c>
      <c r="J417" s="29" t="str">
        <f t="shared" si="26"/>
        <v/>
      </c>
      <c r="K417" s="29" t="str" cm="1">
        <f t="array" ref="K417">IFERROR([2]!CalculateHyphenString(J417),"")</f>
        <v/>
      </c>
      <c r="L417">
        <f t="shared" si="28"/>
        <v>798592</v>
      </c>
    </row>
    <row r="418" spans="1:12" x14ac:dyDescent="0.7">
      <c r="A418" s="3">
        <v>415</v>
      </c>
      <c r="D418" s="49" t="str">
        <f t="shared" si="27"/>
        <v>798592</v>
      </c>
      <c r="E418" s="14" t="str">
        <f>IFERROR(VLOOKUP($A418,TT,10,FALSE),"")</f>
        <v/>
      </c>
      <c r="F418" s="48" t="str" cm="1">
        <f t="array" ref="F418">IFERROR([1]!FeetConvert(E418),"")</f>
        <v/>
      </c>
      <c r="H418" s="29" t="str">
        <f>IFERROR(VLOOKUP(A418,T,1,FALSE),"")</f>
        <v/>
      </c>
      <c r="I418" s="29" t="str">
        <f t="shared" si="25"/>
        <v/>
      </c>
      <c r="J418" s="29" t="str">
        <f t="shared" si="26"/>
        <v/>
      </c>
      <c r="K418" s="29" t="str" cm="1">
        <f t="array" ref="K418">IFERROR([2]!CalculateHyphenString(J418),"")</f>
        <v/>
      </c>
      <c r="L418">
        <f t="shared" si="28"/>
        <v>798592</v>
      </c>
    </row>
    <row r="419" spans="1:12" x14ac:dyDescent="0.7">
      <c r="A419" s="3">
        <v>416</v>
      </c>
      <c r="D419" s="49" t="str">
        <f t="shared" si="27"/>
        <v>798592</v>
      </c>
      <c r="E419" s="14" t="str">
        <f>IFERROR(VLOOKUP($A419,TT,10,FALSE),"")</f>
        <v/>
      </c>
      <c r="F419" s="48" t="str" cm="1">
        <f t="array" ref="F419">IFERROR([1]!FeetConvert(E419),"")</f>
        <v/>
      </c>
      <c r="H419" s="29" t="str">
        <f>IFERROR(VLOOKUP(A419,T,1,FALSE),"")</f>
        <v/>
      </c>
      <c r="I419" s="29" t="str">
        <f t="shared" si="25"/>
        <v/>
      </c>
      <c r="J419" s="29" t="str">
        <f t="shared" si="26"/>
        <v/>
      </c>
      <c r="K419" s="29" t="str" cm="1">
        <f t="array" ref="K419">IFERROR([2]!CalculateHyphenString(J419),"")</f>
        <v/>
      </c>
      <c r="L419">
        <f t="shared" si="28"/>
        <v>798592</v>
      </c>
    </row>
    <row r="420" spans="1:12" x14ac:dyDescent="0.7">
      <c r="A420" s="3">
        <v>417</v>
      </c>
      <c r="D420" s="49" t="str">
        <f t="shared" si="27"/>
        <v>798592</v>
      </c>
      <c r="E420" s="14" t="str">
        <f>IFERROR(VLOOKUP($A420,TT,10,FALSE),"")</f>
        <v/>
      </c>
      <c r="F420" s="48" t="str" cm="1">
        <f t="array" ref="F420">IFERROR([1]!FeetConvert(E420),"")</f>
        <v/>
      </c>
      <c r="H420" s="29" t="str">
        <f>IFERROR(VLOOKUP(A420,T,1,FALSE),"")</f>
        <v/>
      </c>
      <c r="I420" s="29" t="str">
        <f t="shared" si="25"/>
        <v/>
      </c>
      <c r="J420" s="29" t="str">
        <f t="shared" si="26"/>
        <v/>
      </c>
      <c r="K420" s="29" t="str" cm="1">
        <f t="array" ref="K420">IFERROR([2]!CalculateHyphenString(J420),"")</f>
        <v/>
      </c>
      <c r="L420">
        <f t="shared" si="28"/>
        <v>798592</v>
      </c>
    </row>
    <row r="421" spans="1:12" x14ac:dyDescent="0.7">
      <c r="A421" s="3">
        <v>418</v>
      </c>
      <c r="D421" s="49" t="str">
        <f t="shared" si="27"/>
        <v>798592</v>
      </c>
      <c r="E421" s="14" t="str">
        <f>IFERROR(VLOOKUP($A421,TT,10,FALSE),"")</f>
        <v/>
      </c>
      <c r="F421" s="48" t="str" cm="1">
        <f t="array" ref="F421">IFERROR([1]!FeetConvert(E421),"")</f>
        <v/>
      </c>
      <c r="H421" s="29" t="str">
        <f>IFERROR(VLOOKUP(A421,T,1,FALSE),"")</f>
        <v/>
      </c>
      <c r="I421" s="29" t="str">
        <f t="shared" si="25"/>
        <v/>
      </c>
      <c r="J421" s="29" t="str">
        <f t="shared" si="26"/>
        <v/>
      </c>
      <c r="K421" s="29" t="str" cm="1">
        <f t="array" ref="K421">IFERROR([2]!CalculateHyphenString(J421),"")</f>
        <v/>
      </c>
      <c r="L421">
        <f t="shared" si="28"/>
        <v>798592</v>
      </c>
    </row>
    <row r="422" spans="1:12" x14ac:dyDescent="0.7">
      <c r="A422" s="3">
        <v>419</v>
      </c>
      <c r="D422" s="49" t="str">
        <f t="shared" si="27"/>
        <v>798592</v>
      </c>
      <c r="E422" s="14" t="str">
        <f>IFERROR(VLOOKUP($A422,TT,10,FALSE),"")</f>
        <v/>
      </c>
      <c r="F422" s="48" t="str" cm="1">
        <f t="array" ref="F422">IFERROR([1]!FeetConvert(E422),"")</f>
        <v/>
      </c>
      <c r="H422" s="29" t="str">
        <f>IFERROR(VLOOKUP(A422,T,1,FALSE),"")</f>
        <v/>
      </c>
      <c r="I422" s="29" t="str">
        <f t="shared" si="25"/>
        <v/>
      </c>
      <c r="J422" s="29" t="str">
        <f t="shared" si="26"/>
        <v/>
      </c>
      <c r="K422" s="29" t="str" cm="1">
        <f t="array" ref="K422">IFERROR([2]!CalculateHyphenString(J422),"")</f>
        <v/>
      </c>
      <c r="L422">
        <f t="shared" si="28"/>
        <v>798592</v>
      </c>
    </row>
    <row r="423" spans="1:12" x14ac:dyDescent="0.7">
      <c r="A423" s="3">
        <v>420</v>
      </c>
      <c r="D423" s="49" t="str">
        <f t="shared" si="27"/>
        <v>798592</v>
      </c>
      <c r="E423" s="14" t="str">
        <f>IFERROR(VLOOKUP($A423,TT,10,FALSE),"")</f>
        <v/>
      </c>
      <c r="F423" s="48" t="str" cm="1">
        <f t="array" ref="F423">IFERROR([1]!FeetConvert(E423),"")</f>
        <v/>
      </c>
      <c r="H423" s="29" t="str">
        <f>IFERROR(VLOOKUP(A423,T,1,FALSE),"")</f>
        <v/>
      </c>
      <c r="I423" s="29" t="str">
        <f t="shared" si="25"/>
        <v/>
      </c>
      <c r="J423" s="29" t="str">
        <f t="shared" si="26"/>
        <v/>
      </c>
      <c r="K423" s="29" t="str" cm="1">
        <f t="array" ref="K423">IFERROR([2]!CalculateHyphenString(J423),"")</f>
        <v/>
      </c>
      <c r="L423">
        <f t="shared" si="28"/>
        <v>798592</v>
      </c>
    </row>
    <row r="424" spans="1:12" x14ac:dyDescent="0.7">
      <c r="A424" s="3">
        <v>421</v>
      </c>
      <c r="D424" s="49" t="str">
        <f t="shared" si="27"/>
        <v>798592</v>
      </c>
      <c r="E424" s="14" t="str">
        <f>IFERROR(VLOOKUP($A424,TT,10,FALSE),"")</f>
        <v/>
      </c>
      <c r="F424" s="48" t="str" cm="1">
        <f t="array" ref="F424">IFERROR([1]!FeetConvert(E424),"")</f>
        <v/>
      </c>
      <c r="H424" s="29" t="str">
        <f>IFERROR(VLOOKUP(A424,T,1,FALSE),"")</f>
        <v/>
      </c>
      <c r="I424" s="29" t="str">
        <f t="shared" si="25"/>
        <v/>
      </c>
      <c r="J424" s="29" t="str">
        <f t="shared" si="26"/>
        <v/>
      </c>
      <c r="K424" s="29" t="str" cm="1">
        <f t="array" ref="K424">IFERROR([2]!CalculateHyphenString(J424),"")</f>
        <v/>
      </c>
      <c r="L424">
        <f t="shared" si="28"/>
        <v>798592</v>
      </c>
    </row>
    <row r="425" spans="1:12" x14ac:dyDescent="0.7">
      <c r="A425" s="3">
        <v>422</v>
      </c>
      <c r="D425" s="49" t="str">
        <f t="shared" si="27"/>
        <v>798592</v>
      </c>
      <c r="E425" s="14" t="str">
        <f>IFERROR(VLOOKUP($A425,TT,10,FALSE),"")</f>
        <v/>
      </c>
      <c r="F425" s="48" t="str" cm="1">
        <f t="array" ref="F425">IFERROR([1]!FeetConvert(E425),"")</f>
        <v/>
      </c>
      <c r="H425" s="29" t="str">
        <f>IFERROR(VLOOKUP(A425,T,1,FALSE),"")</f>
        <v/>
      </c>
      <c r="I425" s="29" t="str">
        <f t="shared" si="25"/>
        <v/>
      </c>
      <c r="J425" s="29" t="str">
        <f t="shared" si="26"/>
        <v/>
      </c>
      <c r="K425" s="29" t="str" cm="1">
        <f t="array" ref="K425">IFERROR([2]!CalculateHyphenString(J425),"")</f>
        <v/>
      </c>
      <c r="L425">
        <f t="shared" si="28"/>
        <v>798592</v>
      </c>
    </row>
    <row r="426" spans="1:12" x14ac:dyDescent="0.7">
      <c r="A426" s="3">
        <v>423</v>
      </c>
      <c r="D426" s="49" t="str">
        <f t="shared" si="27"/>
        <v>798592</v>
      </c>
      <c r="E426" s="14" t="str">
        <f>IFERROR(VLOOKUP($A426,TT,10,FALSE),"")</f>
        <v/>
      </c>
      <c r="F426" s="48" t="str" cm="1">
        <f t="array" ref="F426">IFERROR([1]!FeetConvert(E426),"")</f>
        <v/>
      </c>
      <c r="H426" s="29" t="str">
        <f>IFERROR(VLOOKUP(A426,T,1,FALSE),"")</f>
        <v/>
      </c>
      <c r="I426" s="29" t="str">
        <f t="shared" si="25"/>
        <v/>
      </c>
      <c r="J426" s="29" t="str">
        <f t="shared" si="26"/>
        <v/>
      </c>
      <c r="K426" s="29" t="str" cm="1">
        <f t="array" ref="K426">IFERROR([2]!CalculateHyphenString(J426),"")</f>
        <v/>
      </c>
      <c r="L426">
        <f t="shared" si="28"/>
        <v>798592</v>
      </c>
    </row>
    <row r="427" spans="1:12" x14ac:dyDescent="0.7">
      <c r="A427" s="3">
        <v>424</v>
      </c>
      <c r="D427" s="49" t="str">
        <f t="shared" si="27"/>
        <v>798592</v>
      </c>
      <c r="E427" s="14" t="str">
        <f>IFERROR(VLOOKUP($A427,TT,10,FALSE),"")</f>
        <v/>
      </c>
      <c r="F427" s="48" t="str" cm="1">
        <f t="array" ref="F427">IFERROR([1]!FeetConvert(E427),"")</f>
        <v/>
      </c>
      <c r="H427" s="29" t="str">
        <f>IFERROR(VLOOKUP(A427,T,1,FALSE),"")</f>
        <v/>
      </c>
      <c r="I427" s="29" t="str">
        <f t="shared" si="25"/>
        <v/>
      </c>
      <c r="J427" s="29" t="str">
        <f t="shared" si="26"/>
        <v/>
      </c>
      <c r="K427" s="29" t="str" cm="1">
        <f t="array" ref="K427">IFERROR([2]!CalculateHyphenString(J427),"")</f>
        <v/>
      </c>
      <c r="L427">
        <f t="shared" si="28"/>
        <v>798592</v>
      </c>
    </row>
    <row r="428" spans="1:12" x14ac:dyDescent="0.7">
      <c r="A428" s="3">
        <v>425</v>
      </c>
      <c r="D428" s="49" t="str">
        <f t="shared" si="27"/>
        <v>798592</v>
      </c>
      <c r="E428" s="14" t="str">
        <f>IFERROR(VLOOKUP($A428,TT,10,FALSE),"")</f>
        <v/>
      </c>
      <c r="F428" s="48" t="str" cm="1">
        <f t="array" ref="F428">IFERROR([1]!FeetConvert(E428),"")</f>
        <v/>
      </c>
      <c r="H428" s="29" t="str">
        <f>IFERROR(VLOOKUP(A428,T,1,FALSE),"")</f>
        <v/>
      </c>
      <c r="I428" s="29" t="str">
        <f t="shared" si="25"/>
        <v/>
      </c>
      <c r="J428" s="29" t="str">
        <f t="shared" si="26"/>
        <v/>
      </c>
      <c r="K428" s="29" t="str" cm="1">
        <f t="array" ref="K428">IFERROR([2]!CalculateHyphenString(J428),"")</f>
        <v/>
      </c>
      <c r="L428">
        <f t="shared" si="28"/>
        <v>798592</v>
      </c>
    </row>
    <row r="429" spans="1:12" x14ac:dyDescent="0.7">
      <c r="A429" s="3">
        <v>426</v>
      </c>
      <c r="D429" s="49" t="str">
        <f t="shared" si="27"/>
        <v>798592</v>
      </c>
      <c r="E429" s="14" t="str">
        <f>IFERROR(VLOOKUP($A429,TT,10,FALSE),"")</f>
        <v/>
      </c>
      <c r="F429" s="48" t="str" cm="1">
        <f t="array" ref="F429">IFERROR([1]!FeetConvert(E429),"")</f>
        <v/>
      </c>
      <c r="H429" s="29" t="str">
        <f>IFERROR(VLOOKUP(A429,T,1,FALSE),"")</f>
        <v/>
      </c>
      <c r="I429" s="29" t="str">
        <f t="shared" si="25"/>
        <v/>
      </c>
      <c r="J429" s="29" t="str">
        <f t="shared" si="26"/>
        <v/>
      </c>
      <c r="K429" s="29" t="str" cm="1">
        <f t="array" ref="K429">IFERROR([2]!CalculateHyphenString(J429),"")</f>
        <v/>
      </c>
      <c r="L429">
        <f t="shared" si="28"/>
        <v>798592</v>
      </c>
    </row>
    <row r="430" spans="1:12" x14ac:dyDescent="0.7">
      <c r="A430" s="3">
        <v>427</v>
      </c>
      <c r="D430" s="49" t="str">
        <f t="shared" si="27"/>
        <v>798592</v>
      </c>
      <c r="E430" s="14" t="str">
        <f>IFERROR(VLOOKUP($A430,TT,10,FALSE),"")</f>
        <v/>
      </c>
      <c r="F430" s="48" t="str" cm="1">
        <f t="array" ref="F430">IFERROR([1]!FeetConvert(E430),"")</f>
        <v/>
      </c>
      <c r="H430" s="29" t="str">
        <f>IFERROR(VLOOKUP(A430,T,1,FALSE),"")</f>
        <v/>
      </c>
      <c r="I430" s="29" t="str">
        <f t="shared" si="25"/>
        <v/>
      </c>
      <c r="J430" s="29" t="str">
        <f t="shared" si="26"/>
        <v/>
      </c>
      <c r="K430" s="29" t="str" cm="1">
        <f t="array" ref="K430">IFERROR([2]!CalculateHyphenString(J430),"")</f>
        <v/>
      </c>
      <c r="L430">
        <f t="shared" si="28"/>
        <v>798592</v>
      </c>
    </row>
    <row r="431" spans="1:12" x14ac:dyDescent="0.7">
      <c r="A431" s="3">
        <v>428</v>
      </c>
      <c r="D431" s="49" t="str">
        <f t="shared" si="27"/>
        <v>798592</v>
      </c>
      <c r="E431" s="14" t="str">
        <f>IFERROR(VLOOKUP($A431,TT,10,FALSE),"")</f>
        <v/>
      </c>
      <c r="F431" s="48" t="str" cm="1">
        <f t="array" ref="F431">IFERROR([1]!FeetConvert(E431),"")</f>
        <v/>
      </c>
      <c r="H431" s="29" t="str">
        <f>IFERROR(VLOOKUP(A431,T,1,FALSE),"")</f>
        <v/>
      </c>
      <c r="I431" s="29" t="str">
        <f t="shared" si="25"/>
        <v/>
      </c>
      <c r="J431" s="29" t="str">
        <f t="shared" si="26"/>
        <v/>
      </c>
      <c r="K431" s="29" t="str" cm="1">
        <f t="array" ref="K431">IFERROR([2]!CalculateHyphenString(J431),"")</f>
        <v/>
      </c>
      <c r="L431">
        <f t="shared" si="28"/>
        <v>798592</v>
      </c>
    </row>
    <row r="432" spans="1:12" x14ac:dyDescent="0.7">
      <c r="A432" s="3">
        <v>429</v>
      </c>
      <c r="D432" s="49" t="str">
        <f t="shared" si="27"/>
        <v>798592</v>
      </c>
      <c r="E432" s="14" t="str">
        <f>IFERROR(VLOOKUP($A432,TT,10,FALSE),"")</f>
        <v/>
      </c>
      <c r="F432" s="48" t="str" cm="1">
        <f t="array" ref="F432">IFERROR([1]!FeetConvert(E432),"")</f>
        <v/>
      </c>
      <c r="H432" s="29" t="str">
        <f>IFERROR(VLOOKUP(A432,T,1,FALSE),"")</f>
        <v/>
      </c>
      <c r="I432" s="29" t="str">
        <f t="shared" si="25"/>
        <v/>
      </c>
      <c r="J432" s="29" t="str">
        <f t="shared" si="26"/>
        <v/>
      </c>
      <c r="K432" s="29" t="str" cm="1">
        <f t="array" ref="K432">IFERROR([2]!CalculateHyphenString(J432),"")</f>
        <v/>
      </c>
      <c r="L432">
        <f t="shared" si="28"/>
        <v>798592</v>
      </c>
    </row>
    <row r="433" spans="1:12" x14ac:dyDescent="0.7">
      <c r="A433" s="3">
        <v>430</v>
      </c>
      <c r="D433" s="49" t="str">
        <f t="shared" si="27"/>
        <v>798592</v>
      </c>
      <c r="E433" s="14" t="str">
        <f>IFERROR(VLOOKUP($A433,TT,10,FALSE),"")</f>
        <v/>
      </c>
      <c r="F433" s="48" t="str" cm="1">
        <f t="array" ref="F433">IFERROR([1]!FeetConvert(E433),"")</f>
        <v/>
      </c>
      <c r="H433" s="29" t="str">
        <f>IFERROR(VLOOKUP(A433,T,1,FALSE),"")</f>
        <v/>
      </c>
      <c r="I433" s="29" t="str">
        <f t="shared" si="25"/>
        <v/>
      </c>
      <c r="J433" s="29" t="str">
        <f t="shared" si="26"/>
        <v/>
      </c>
      <c r="K433" s="29" t="str" cm="1">
        <f t="array" ref="K433">IFERROR([2]!CalculateHyphenString(J433),"")</f>
        <v/>
      </c>
      <c r="L433">
        <f t="shared" si="28"/>
        <v>798592</v>
      </c>
    </row>
    <row r="434" spans="1:12" x14ac:dyDescent="0.7">
      <c r="A434" s="3">
        <v>431</v>
      </c>
      <c r="D434" s="49" t="str">
        <f t="shared" si="27"/>
        <v>798592</v>
      </c>
      <c r="E434" s="14" t="str">
        <f>IFERROR(VLOOKUP($A434,TT,10,FALSE),"")</f>
        <v/>
      </c>
      <c r="F434" s="48" t="str" cm="1">
        <f t="array" ref="F434">IFERROR([1]!FeetConvert(E434),"")</f>
        <v/>
      </c>
      <c r="H434" s="29" t="str">
        <f>IFERROR(VLOOKUP(A434,T,1,FALSE),"")</f>
        <v/>
      </c>
      <c r="I434" s="29" t="str">
        <f t="shared" si="25"/>
        <v/>
      </c>
      <c r="J434" s="29" t="str">
        <f t="shared" si="26"/>
        <v/>
      </c>
      <c r="K434" s="29" t="str" cm="1">
        <f t="array" ref="K434">IFERROR([2]!CalculateHyphenString(J434),"")</f>
        <v/>
      </c>
      <c r="L434">
        <f t="shared" si="28"/>
        <v>798592</v>
      </c>
    </row>
    <row r="435" spans="1:12" x14ac:dyDescent="0.7">
      <c r="A435" s="3">
        <v>432</v>
      </c>
      <c r="D435" s="49" t="str">
        <f t="shared" si="27"/>
        <v>798592</v>
      </c>
      <c r="E435" s="14" t="str">
        <f>IFERROR(VLOOKUP($A435,TT,10,FALSE),"")</f>
        <v/>
      </c>
      <c r="F435" s="48" t="str" cm="1">
        <f t="array" ref="F435">IFERROR([1]!FeetConvert(E435),"")</f>
        <v/>
      </c>
      <c r="H435" s="29" t="str">
        <f>IFERROR(VLOOKUP(A435,T,1,FALSE),"")</f>
        <v/>
      </c>
      <c r="I435" s="29" t="str">
        <f t="shared" si="25"/>
        <v/>
      </c>
      <c r="J435" s="29" t="str">
        <f t="shared" si="26"/>
        <v/>
      </c>
      <c r="K435" s="29" t="str" cm="1">
        <f t="array" ref="K435">IFERROR([2]!CalculateHyphenString(J435),"")</f>
        <v/>
      </c>
      <c r="L435">
        <f t="shared" si="28"/>
        <v>798592</v>
      </c>
    </row>
    <row r="436" spans="1:12" x14ac:dyDescent="0.7">
      <c r="A436" s="3">
        <v>433</v>
      </c>
      <c r="D436" s="49" t="str">
        <f t="shared" si="27"/>
        <v>798592</v>
      </c>
      <c r="E436" s="14" t="str">
        <f>IFERROR(VLOOKUP($A436,TT,10,FALSE),"")</f>
        <v/>
      </c>
      <c r="F436" s="48" t="str" cm="1">
        <f t="array" ref="F436">IFERROR([1]!FeetConvert(E436),"")</f>
        <v/>
      </c>
      <c r="H436" s="29" t="str">
        <f>IFERROR(VLOOKUP(A436,T,1,FALSE),"")</f>
        <v/>
      </c>
      <c r="I436" s="29" t="str">
        <f t="shared" si="25"/>
        <v/>
      </c>
      <c r="J436" s="29" t="str">
        <f t="shared" si="26"/>
        <v/>
      </c>
      <c r="K436" s="29" t="str" cm="1">
        <f t="array" ref="K436">IFERROR([2]!CalculateHyphenString(J436),"")</f>
        <v/>
      </c>
      <c r="L436">
        <f t="shared" si="28"/>
        <v>798592</v>
      </c>
    </row>
    <row r="437" spans="1:12" x14ac:dyDescent="0.7">
      <c r="A437" s="3">
        <v>434</v>
      </c>
      <c r="D437" s="49" t="str">
        <f t="shared" si="27"/>
        <v>798592</v>
      </c>
      <c r="E437" s="14" t="str">
        <f>IFERROR(VLOOKUP($A437,TT,10,FALSE),"")</f>
        <v/>
      </c>
      <c r="F437" s="48" t="str" cm="1">
        <f t="array" ref="F437">IFERROR([1]!FeetConvert(E437),"")</f>
        <v/>
      </c>
      <c r="H437" s="29" t="str">
        <f>IFERROR(VLOOKUP(A437,T,1,FALSE),"")</f>
        <v/>
      </c>
      <c r="I437" s="29" t="str">
        <f t="shared" si="25"/>
        <v/>
      </c>
      <c r="J437" s="29" t="str">
        <f t="shared" si="26"/>
        <v/>
      </c>
      <c r="K437" s="29" t="str" cm="1">
        <f t="array" ref="K437">IFERROR([2]!CalculateHyphenString(J437),"")</f>
        <v/>
      </c>
      <c r="L437">
        <f t="shared" si="28"/>
        <v>798592</v>
      </c>
    </row>
    <row r="438" spans="1:12" x14ac:dyDescent="0.7">
      <c r="A438" s="3">
        <v>435</v>
      </c>
      <c r="D438" s="49" t="str">
        <f t="shared" si="27"/>
        <v>798592</v>
      </c>
      <c r="E438" s="14" t="str">
        <f>IFERROR(VLOOKUP($A438,TT,10,FALSE),"")</f>
        <v/>
      </c>
      <c r="F438" s="48" t="str" cm="1">
        <f t="array" ref="F438">IFERROR([1]!FeetConvert(E438),"")</f>
        <v/>
      </c>
      <c r="H438" s="29" t="str">
        <f>IFERROR(VLOOKUP(A438,T,1,FALSE),"")</f>
        <v/>
      </c>
      <c r="I438" s="29" t="str">
        <f t="shared" si="25"/>
        <v/>
      </c>
      <c r="J438" s="29" t="str">
        <f t="shared" si="26"/>
        <v/>
      </c>
      <c r="K438" s="29" t="str" cm="1">
        <f t="array" ref="K438">IFERROR([2]!CalculateHyphenString(J438),"")</f>
        <v/>
      </c>
      <c r="L438">
        <f t="shared" si="28"/>
        <v>798592</v>
      </c>
    </row>
    <row r="439" spans="1:12" x14ac:dyDescent="0.7">
      <c r="A439" s="3">
        <v>436</v>
      </c>
      <c r="D439" s="49" t="str">
        <f t="shared" si="27"/>
        <v>798592</v>
      </c>
      <c r="E439" s="14" t="str">
        <f>IFERROR(VLOOKUP($A439,TT,10,FALSE),"")</f>
        <v/>
      </c>
      <c r="F439" s="48" t="str" cm="1">
        <f t="array" ref="F439">IFERROR([1]!FeetConvert(E439),"")</f>
        <v/>
      </c>
      <c r="H439" s="29" t="str">
        <f>IFERROR(VLOOKUP(A439,T,1,FALSE),"")</f>
        <v/>
      </c>
      <c r="I439" s="29" t="str">
        <f t="shared" si="25"/>
        <v/>
      </c>
      <c r="J439" s="29" t="str">
        <f t="shared" si="26"/>
        <v/>
      </c>
      <c r="K439" s="29" t="str" cm="1">
        <f t="array" ref="K439">IFERROR([2]!CalculateHyphenString(J439),"")</f>
        <v/>
      </c>
      <c r="L439">
        <f t="shared" si="28"/>
        <v>798592</v>
      </c>
    </row>
    <row r="440" spans="1:12" x14ac:dyDescent="0.7">
      <c r="A440" s="3">
        <v>437</v>
      </c>
      <c r="D440" s="49" t="str">
        <f t="shared" si="27"/>
        <v>798592</v>
      </c>
      <c r="E440" s="14" t="str">
        <f>IFERROR(VLOOKUP($A440,TT,10,FALSE),"")</f>
        <v/>
      </c>
      <c r="F440" s="48" t="str" cm="1">
        <f t="array" ref="F440">IFERROR([1]!FeetConvert(E440),"")</f>
        <v/>
      </c>
      <c r="H440" s="29" t="str">
        <f>IFERROR(VLOOKUP(A440,T,1,FALSE),"")</f>
        <v/>
      </c>
      <c r="I440" s="29" t="str">
        <f t="shared" si="25"/>
        <v/>
      </c>
      <c r="J440" s="29" t="str">
        <f t="shared" si="26"/>
        <v/>
      </c>
      <c r="K440" s="29" t="str" cm="1">
        <f t="array" ref="K440">IFERROR([2]!CalculateHyphenString(J440),"")</f>
        <v/>
      </c>
      <c r="L440">
        <f t="shared" si="28"/>
        <v>798592</v>
      </c>
    </row>
    <row r="441" spans="1:12" x14ac:dyDescent="0.7">
      <c r="A441" s="3">
        <v>438</v>
      </c>
      <c r="D441" s="49" t="str">
        <f t="shared" si="27"/>
        <v>798592</v>
      </c>
      <c r="E441" s="14" t="str">
        <f>IFERROR(VLOOKUP($A441,TT,10,FALSE),"")</f>
        <v/>
      </c>
      <c r="F441" s="48" t="str" cm="1">
        <f t="array" ref="F441">IFERROR([1]!FeetConvert(E441),"")</f>
        <v/>
      </c>
      <c r="H441" s="29" t="str">
        <f>IFERROR(VLOOKUP(A441,T,1,FALSE),"")</f>
        <v/>
      </c>
      <c r="I441" s="29" t="str">
        <f t="shared" si="25"/>
        <v/>
      </c>
      <c r="J441" s="29" t="str">
        <f t="shared" si="26"/>
        <v/>
      </c>
      <c r="K441" s="29" t="str" cm="1">
        <f t="array" ref="K441">IFERROR([2]!CalculateHyphenString(J441),"")</f>
        <v/>
      </c>
      <c r="L441">
        <f t="shared" si="28"/>
        <v>798592</v>
      </c>
    </row>
    <row r="442" spans="1:12" x14ac:dyDescent="0.7">
      <c r="A442" s="3">
        <v>439</v>
      </c>
      <c r="D442" s="49" t="str">
        <f t="shared" si="27"/>
        <v>798592</v>
      </c>
      <c r="E442" s="14" t="str">
        <f>IFERROR(VLOOKUP($A442,TT,10,FALSE),"")</f>
        <v/>
      </c>
      <c r="F442" s="48" t="str" cm="1">
        <f t="array" ref="F442">IFERROR([1]!FeetConvert(E442),"")</f>
        <v/>
      </c>
      <c r="H442" s="29" t="str">
        <f>IFERROR(VLOOKUP(A442,T,1,FALSE),"")</f>
        <v/>
      </c>
      <c r="I442" s="29" t="str">
        <f t="shared" si="25"/>
        <v/>
      </c>
      <c r="J442" s="29" t="str">
        <f t="shared" si="26"/>
        <v/>
      </c>
      <c r="K442" s="29" t="str" cm="1">
        <f t="array" ref="K442">IFERROR([2]!CalculateHyphenString(J442),"")</f>
        <v/>
      </c>
      <c r="L442">
        <f t="shared" si="28"/>
        <v>798592</v>
      </c>
    </row>
    <row r="443" spans="1:12" x14ac:dyDescent="0.7">
      <c r="A443" s="3">
        <v>440</v>
      </c>
      <c r="D443" s="49" t="str">
        <f t="shared" si="27"/>
        <v>798592</v>
      </c>
      <c r="E443" s="14" t="str">
        <f>IFERROR(VLOOKUP($A443,TT,10,FALSE),"")</f>
        <v/>
      </c>
      <c r="F443" s="48" t="str" cm="1">
        <f t="array" ref="F443">IFERROR([1]!FeetConvert(E443),"")</f>
        <v/>
      </c>
      <c r="H443" s="29" t="str">
        <f>IFERROR(VLOOKUP(A443,T,1,FALSE),"")</f>
        <v/>
      </c>
      <c r="I443" s="29" t="str">
        <f t="shared" si="25"/>
        <v/>
      </c>
      <c r="J443" s="29" t="str">
        <f t="shared" si="26"/>
        <v/>
      </c>
      <c r="K443" s="29" t="str" cm="1">
        <f t="array" ref="K443">IFERROR([2]!CalculateHyphenString(J443),"")</f>
        <v/>
      </c>
      <c r="L443">
        <f t="shared" si="28"/>
        <v>798592</v>
      </c>
    </row>
    <row r="444" spans="1:12" x14ac:dyDescent="0.7">
      <c r="A444" s="3">
        <v>441</v>
      </c>
      <c r="D444" s="49" t="str">
        <f t="shared" si="27"/>
        <v>798592</v>
      </c>
      <c r="E444" s="14" t="str">
        <f>IFERROR(VLOOKUP($A444,TT,10,FALSE),"")</f>
        <v/>
      </c>
      <c r="F444" s="48" t="str" cm="1">
        <f t="array" ref="F444">IFERROR([1]!FeetConvert(E444),"")</f>
        <v/>
      </c>
      <c r="H444" s="29" t="str">
        <f>IFERROR(VLOOKUP(A444,T,1,FALSE),"")</f>
        <v/>
      </c>
      <c r="I444" s="29" t="str">
        <f t="shared" si="25"/>
        <v/>
      </c>
      <c r="J444" s="29" t="str">
        <f t="shared" si="26"/>
        <v/>
      </c>
      <c r="K444" s="29" t="str" cm="1">
        <f t="array" ref="K444">IFERROR([2]!CalculateHyphenString(J444),"")</f>
        <v/>
      </c>
      <c r="L444">
        <f t="shared" si="28"/>
        <v>798592</v>
      </c>
    </row>
    <row r="445" spans="1:12" x14ac:dyDescent="0.7">
      <c r="A445" s="3">
        <v>442</v>
      </c>
      <c r="D445" s="49" t="str">
        <f t="shared" si="27"/>
        <v>798592</v>
      </c>
      <c r="E445" s="14" t="str">
        <f>IFERROR(VLOOKUP($A445,TT,10,FALSE),"")</f>
        <v/>
      </c>
      <c r="F445" s="48" t="str" cm="1">
        <f t="array" ref="F445">IFERROR([1]!FeetConvert(E445),"")</f>
        <v/>
      </c>
      <c r="H445" s="29" t="str">
        <f>IFERROR(VLOOKUP(A445,T,1,FALSE),"")</f>
        <v/>
      </c>
      <c r="I445" s="29" t="str">
        <f t="shared" si="25"/>
        <v/>
      </c>
      <c r="J445" s="29" t="str">
        <f t="shared" si="26"/>
        <v/>
      </c>
      <c r="K445" s="29" t="str" cm="1">
        <f t="array" ref="K445">IFERROR([2]!CalculateHyphenString(J445),"")</f>
        <v/>
      </c>
      <c r="L445">
        <f t="shared" si="28"/>
        <v>798592</v>
      </c>
    </row>
    <row r="446" spans="1:12" x14ac:dyDescent="0.7">
      <c r="A446" s="3">
        <v>443</v>
      </c>
      <c r="D446" s="49" t="str">
        <f t="shared" si="27"/>
        <v>798592</v>
      </c>
      <c r="E446" s="14" t="str">
        <f>IFERROR(VLOOKUP($A446,TT,10,FALSE),"")</f>
        <v/>
      </c>
      <c r="F446" s="48" t="str" cm="1">
        <f t="array" ref="F446">IFERROR([1]!FeetConvert(E446),"")</f>
        <v/>
      </c>
      <c r="H446" s="29" t="str">
        <f>IFERROR(VLOOKUP(A446,T,1,FALSE),"")</f>
        <v/>
      </c>
      <c r="I446" s="29" t="str">
        <f t="shared" si="25"/>
        <v/>
      </c>
      <c r="J446" s="29" t="str">
        <f t="shared" si="26"/>
        <v/>
      </c>
      <c r="K446" s="29" t="str" cm="1">
        <f t="array" ref="K446">IFERROR([2]!CalculateHyphenString(J446),"")</f>
        <v/>
      </c>
      <c r="L446">
        <f t="shared" si="28"/>
        <v>798592</v>
      </c>
    </row>
    <row r="447" spans="1:12" x14ac:dyDescent="0.7">
      <c r="A447" s="3">
        <v>444</v>
      </c>
      <c r="D447" s="49" t="str">
        <f t="shared" si="27"/>
        <v>798592</v>
      </c>
      <c r="E447" s="14" t="str">
        <f>IFERROR(VLOOKUP($A447,TT,10,FALSE),"")</f>
        <v/>
      </c>
      <c r="F447" s="48" t="str" cm="1">
        <f t="array" ref="F447">IFERROR([1]!FeetConvert(E447),"")</f>
        <v/>
      </c>
      <c r="H447" s="29" t="str">
        <f>IFERROR(VLOOKUP(A447,T,1,FALSE),"")</f>
        <v/>
      </c>
      <c r="I447" s="29" t="str">
        <f t="shared" si="25"/>
        <v/>
      </c>
      <c r="J447" s="29" t="str">
        <f t="shared" si="26"/>
        <v/>
      </c>
      <c r="K447" s="29" t="str" cm="1">
        <f t="array" ref="K447">IFERROR([2]!CalculateHyphenString(J447),"")</f>
        <v/>
      </c>
      <c r="L447">
        <f t="shared" si="28"/>
        <v>798592</v>
      </c>
    </row>
    <row r="448" spans="1:12" x14ac:dyDescent="0.7">
      <c r="A448" s="3">
        <v>445</v>
      </c>
      <c r="D448" s="49" t="str">
        <f t="shared" si="27"/>
        <v>798592</v>
      </c>
      <c r="E448" s="14" t="str">
        <f>IFERROR(VLOOKUP($A448,TT,10,FALSE),"")</f>
        <v/>
      </c>
      <c r="F448" s="48" t="str" cm="1">
        <f t="array" ref="F448">IFERROR([1]!FeetConvert(E448),"")</f>
        <v/>
      </c>
      <c r="H448" s="29" t="str">
        <f>IFERROR(VLOOKUP(A448,T,1,FALSE),"")</f>
        <v/>
      </c>
      <c r="I448" s="29" t="str">
        <f t="shared" si="25"/>
        <v/>
      </c>
      <c r="J448" s="29" t="str">
        <f t="shared" si="26"/>
        <v/>
      </c>
      <c r="K448" s="29" t="str" cm="1">
        <f t="array" ref="K448">IFERROR([2]!CalculateHyphenString(J448),"")</f>
        <v/>
      </c>
      <c r="L448">
        <f t="shared" si="28"/>
        <v>798592</v>
      </c>
    </row>
    <row r="449" spans="1:12" x14ac:dyDescent="0.7">
      <c r="A449" s="3">
        <v>446</v>
      </c>
      <c r="D449" s="49" t="str">
        <f t="shared" si="27"/>
        <v>798592</v>
      </c>
      <c r="E449" s="14" t="str">
        <f>IFERROR(VLOOKUP($A449,TT,10,FALSE),"")</f>
        <v/>
      </c>
      <c r="F449" s="48" t="str" cm="1">
        <f t="array" ref="F449">IFERROR([1]!FeetConvert(E449),"")</f>
        <v/>
      </c>
      <c r="H449" s="29" t="str">
        <f>IFERROR(VLOOKUP(A449,T,1,FALSE),"")</f>
        <v/>
      </c>
      <c r="I449" s="29" t="str">
        <f t="shared" si="25"/>
        <v/>
      </c>
      <c r="J449" s="29" t="str">
        <f t="shared" si="26"/>
        <v/>
      </c>
      <c r="K449" s="29" t="str" cm="1">
        <f t="array" ref="K449">IFERROR([2]!CalculateHyphenString(J449),"")</f>
        <v/>
      </c>
      <c r="L449">
        <f t="shared" si="28"/>
        <v>798592</v>
      </c>
    </row>
    <row r="450" spans="1:12" x14ac:dyDescent="0.7">
      <c r="A450" s="3">
        <v>447</v>
      </c>
      <c r="D450" s="49" t="str">
        <f t="shared" si="27"/>
        <v>798592</v>
      </c>
      <c r="E450" s="14" t="str">
        <f>IFERROR(VLOOKUP($A450,TT,10,FALSE),"")</f>
        <v/>
      </c>
      <c r="F450" s="48" t="str" cm="1">
        <f t="array" ref="F450">IFERROR([1]!FeetConvert(E450),"")</f>
        <v/>
      </c>
      <c r="H450" s="29" t="str">
        <f>IFERROR(VLOOKUP(A450,T,1,FALSE),"")</f>
        <v/>
      </c>
      <c r="I450" s="29" t="str">
        <f t="shared" si="25"/>
        <v/>
      </c>
      <c r="J450" s="29" t="str">
        <f t="shared" si="26"/>
        <v/>
      </c>
      <c r="K450" s="29" t="str" cm="1">
        <f t="array" ref="K450">IFERROR([2]!CalculateHyphenString(J450),"")</f>
        <v/>
      </c>
      <c r="L450">
        <f t="shared" si="28"/>
        <v>798592</v>
      </c>
    </row>
    <row r="451" spans="1:12" x14ac:dyDescent="0.7">
      <c r="A451" s="3">
        <v>448</v>
      </c>
      <c r="D451" s="49" t="str">
        <f t="shared" si="27"/>
        <v>798592</v>
      </c>
      <c r="E451" s="14" t="str">
        <f>IFERROR(VLOOKUP($A451,TT,10,FALSE),"")</f>
        <v/>
      </c>
      <c r="F451" s="48" t="str" cm="1">
        <f t="array" ref="F451">IFERROR([1]!FeetConvert(E451),"")</f>
        <v/>
      </c>
      <c r="H451" s="29" t="str">
        <f>IFERROR(VLOOKUP(A451,T,1,FALSE),"")</f>
        <v/>
      </c>
      <c r="I451" s="29" t="str">
        <f t="shared" si="25"/>
        <v/>
      </c>
      <c r="J451" s="29" t="str">
        <f t="shared" si="26"/>
        <v/>
      </c>
      <c r="K451" s="29" t="str" cm="1">
        <f t="array" ref="K451">IFERROR([2]!CalculateHyphenString(J451),"")</f>
        <v/>
      </c>
      <c r="L451">
        <f t="shared" si="28"/>
        <v>798592</v>
      </c>
    </row>
    <row r="452" spans="1:12" x14ac:dyDescent="0.7">
      <c r="A452" s="3">
        <v>449</v>
      </c>
      <c r="D452" s="49" t="str">
        <f t="shared" si="27"/>
        <v>798592</v>
      </c>
      <c r="E452" s="14" t="str">
        <f>IFERROR(VLOOKUP($A452,TT,10,FALSE),"")</f>
        <v/>
      </c>
      <c r="F452" s="48" t="str" cm="1">
        <f t="array" ref="F452">IFERROR([1]!FeetConvert(E452),"")</f>
        <v/>
      </c>
      <c r="H452" s="29" t="str">
        <f>IFERROR(VLOOKUP(A452,T,1,FALSE),"")</f>
        <v/>
      </c>
      <c r="I452" s="29" t="str">
        <f t="shared" ref="I452:I515" si="29">IFERROR(VLOOKUP(A452,T,2,FALSE),"")</f>
        <v/>
      </c>
      <c r="J452" s="29" t="str">
        <f t="shared" ref="J452:J515" si="30">IFERROR(VLOOKUP(A452,T,3,FALSE),"")</f>
        <v/>
      </c>
      <c r="K452" s="29" t="str" cm="1">
        <f t="array" ref="K452">IFERROR([2]!CalculateHyphenString(J452),"")</f>
        <v/>
      </c>
      <c r="L452">
        <f t="shared" si="28"/>
        <v>798592</v>
      </c>
    </row>
    <row r="453" spans="1:12" x14ac:dyDescent="0.7">
      <c r="A453" s="3">
        <v>450</v>
      </c>
      <c r="D453" s="49" t="str">
        <f t="shared" ref="D453:D516" si="31">_xlfn.TEXTJOIN("/",TRUE,E453,L453)</f>
        <v>798592</v>
      </c>
      <c r="E453" s="14" t="str">
        <f>IFERROR(VLOOKUP($A453,TT,10,FALSE),"")</f>
        <v/>
      </c>
      <c r="F453" s="48" t="str" cm="1">
        <f t="array" ref="F453">IFERROR([1]!FeetConvert(E453),"")</f>
        <v/>
      </c>
      <c r="H453" s="29" t="str">
        <f>IFERROR(VLOOKUP(A453,T,1,FALSE),"")</f>
        <v/>
      </c>
      <c r="I453" s="29" t="str">
        <f t="shared" si="29"/>
        <v/>
      </c>
      <c r="J453" s="29" t="str">
        <f t="shared" si="30"/>
        <v/>
      </c>
      <c r="K453" s="29" t="str" cm="1">
        <f t="array" ref="K453">IFERROR([2]!CalculateHyphenString(J453),"")</f>
        <v/>
      </c>
      <c r="L453">
        <f t="shared" ref="L453:L516" si="32">$E$2</f>
        <v>798592</v>
      </c>
    </row>
    <row r="454" spans="1:12" x14ac:dyDescent="0.7">
      <c r="A454" s="3">
        <v>451</v>
      </c>
      <c r="D454" s="49" t="str">
        <f t="shared" si="31"/>
        <v>798592</v>
      </c>
      <c r="E454" s="14" t="str">
        <f>IFERROR(VLOOKUP($A454,TT,10,FALSE),"")</f>
        <v/>
      </c>
      <c r="F454" s="48" t="str" cm="1">
        <f t="array" ref="F454">IFERROR([1]!FeetConvert(E454),"")</f>
        <v/>
      </c>
      <c r="H454" s="29" t="str">
        <f>IFERROR(VLOOKUP(A454,T,1,FALSE),"")</f>
        <v/>
      </c>
      <c r="I454" s="29" t="str">
        <f t="shared" si="29"/>
        <v/>
      </c>
      <c r="J454" s="29" t="str">
        <f t="shared" si="30"/>
        <v/>
      </c>
      <c r="K454" s="29" t="str" cm="1">
        <f t="array" ref="K454">IFERROR([2]!CalculateHyphenString(J454),"")</f>
        <v/>
      </c>
      <c r="L454">
        <f t="shared" si="32"/>
        <v>798592</v>
      </c>
    </row>
    <row r="455" spans="1:12" x14ac:dyDescent="0.7">
      <c r="A455" s="3">
        <v>452</v>
      </c>
      <c r="D455" s="49" t="str">
        <f t="shared" si="31"/>
        <v>798592</v>
      </c>
      <c r="E455" s="14" t="str">
        <f>IFERROR(VLOOKUP($A455,TT,10,FALSE),"")</f>
        <v/>
      </c>
      <c r="F455" s="48" t="str" cm="1">
        <f t="array" ref="F455">IFERROR([1]!FeetConvert(E455),"")</f>
        <v/>
      </c>
      <c r="H455" s="29" t="str">
        <f>IFERROR(VLOOKUP(A455,T,1,FALSE),"")</f>
        <v/>
      </c>
      <c r="I455" s="29" t="str">
        <f t="shared" si="29"/>
        <v/>
      </c>
      <c r="J455" s="29" t="str">
        <f t="shared" si="30"/>
        <v/>
      </c>
      <c r="K455" s="29" t="str" cm="1">
        <f t="array" ref="K455">IFERROR([2]!CalculateHyphenString(J455),"")</f>
        <v/>
      </c>
      <c r="L455">
        <f t="shared" si="32"/>
        <v>798592</v>
      </c>
    </row>
    <row r="456" spans="1:12" x14ac:dyDescent="0.7">
      <c r="A456" s="3">
        <v>453</v>
      </c>
      <c r="D456" s="49" t="str">
        <f t="shared" si="31"/>
        <v>798592</v>
      </c>
      <c r="E456" s="14" t="str">
        <f>IFERROR(VLOOKUP($A456,TT,10,FALSE),"")</f>
        <v/>
      </c>
      <c r="F456" s="48" t="str" cm="1">
        <f t="array" ref="F456">IFERROR([1]!FeetConvert(E456),"")</f>
        <v/>
      </c>
      <c r="H456" s="29" t="str">
        <f>IFERROR(VLOOKUP(A456,T,1,FALSE),"")</f>
        <v/>
      </c>
      <c r="I456" s="29" t="str">
        <f t="shared" si="29"/>
        <v/>
      </c>
      <c r="J456" s="29" t="str">
        <f t="shared" si="30"/>
        <v/>
      </c>
      <c r="K456" s="29" t="str" cm="1">
        <f t="array" ref="K456">IFERROR([2]!CalculateHyphenString(J456),"")</f>
        <v/>
      </c>
      <c r="L456">
        <f t="shared" si="32"/>
        <v>798592</v>
      </c>
    </row>
    <row r="457" spans="1:12" x14ac:dyDescent="0.7">
      <c r="A457" s="3">
        <v>454</v>
      </c>
      <c r="D457" s="49" t="str">
        <f t="shared" si="31"/>
        <v>798592</v>
      </c>
      <c r="E457" s="14" t="str">
        <f>IFERROR(VLOOKUP($A457,TT,10,FALSE),"")</f>
        <v/>
      </c>
      <c r="F457" s="48" t="str" cm="1">
        <f t="array" ref="F457">IFERROR([1]!FeetConvert(E457),"")</f>
        <v/>
      </c>
      <c r="H457" s="29" t="str">
        <f>IFERROR(VLOOKUP(A457,T,1,FALSE),"")</f>
        <v/>
      </c>
      <c r="I457" s="29" t="str">
        <f t="shared" si="29"/>
        <v/>
      </c>
      <c r="J457" s="29" t="str">
        <f t="shared" si="30"/>
        <v/>
      </c>
      <c r="K457" s="29" t="str" cm="1">
        <f t="array" ref="K457">IFERROR([2]!CalculateHyphenString(J457),"")</f>
        <v/>
      </c>
      <c r="L457">
        <f t="shared" si="32"/>
        <v>798592</v>
      </c>
    </row>
    <row r="458" spans="1:12" x14ac:dyDescent="0.7">
      <c r="A458" s="3">
        <v>455</v>
      </c>
      <c r="D458" s="49" t="str">
        <f t="shared" si="31"/>
        <v>798592</v>
      </c>
      <c r="E458" s="14" t="str">
        <f>IFERROR(VLOOKUP($A458,TT,10,FALSE),"")</f>
        <v/>
      </c>
      <c r="F458" s="48" t="str" cm="1">
        <f t="array" ref="F458">IFERROR([1]!FeetConvert(E458),"")</f>
        <v/>
      </c>
      <c r="H458" s="29" t="str">
        <f>IFERROR(VLOOKUP(A458,T,1,FALSE),"")</f>
        <v/>
      </c>
      <c r="I458" s="29" t="str">
        <f t="shared" si="29"/>
        <v/>
      </c>
      <c r="J458" s="29" t="str">
        <f t="shared" si="30"/>
        <v/>
      </c>
      <c r="K458" s="29" t="str" cm="1">
        <f t="array" ref="K458">IFERROR([2]!CalculateHyphenString(J458),"")</f>
        <v/>
      </c>
      <c r="L458">
        <f t="shared" si="32"/>
        <v>798592</v>
      </c>
    </row>
    <row r="459" spans="1:12" x14ac:dyDescent="0.7">
      <c r="A459" s="3">
        <v>456</v>
      </c>
      <c r="D459" s="49" t="str">
        <f t="shared" si="31"/>
        <v>798592</v>
      </c>
      <c r="E459" s="14" t="str">
        <f>IFERROR(VLOOKUP($A459,TT,10,FALSE),"")</f>
        <v/>
      </c>
      <c r="F459" s="48" t="str" cm="1">
        <f t="array" ref="F459">IFERROR([1]!FeetConvert(E459),"")</f>
        <v/>
      </c>
      <c r="H459" s="29" t="str">
        <f>IFERROR(VLOOKUP(A459,T,1,FALSE),"")</f>
        <v/>
      </c>
      <c r="I459" s="29" t="str">
        <f t="shared" si="29"/>
        <v/>
      </c>
      <c r="J459" s="29" t="str">
        <f t="shared" si="30"/>
        <v/>
      </c>
      <c r="K459" s="29" t="str" cm="1">
        <f t="array" ref="K459">IFERROR([2]!CalculateHyphenString(J459),"")</f>
        <v/>
      </c>
      <c r="L459">
        <f t="shared" si="32"/>
        <v>798592</v>
      </c>
    </row>
    <row r="460" spans="1:12" x14ac:dyDescent="0.7">
      <c r="A460" s="3">
        <v>457</v>
      </c>
      <c r="D460" s="49" t="str">
        <f t="shared" si="31"/>
        <v>798592</v>
      </c>
      <c r="E460" s="14" t="str">
        <f>IFERROR(VLOOKUP($A460,TT,10,FALSE),"")</f>
        <v/>
      </c>
      <c r="F460" s="48" t="str" cm="1">
        <f t="array" ref="F460">IFERROR([1]!FeetConvert(E460),"")</f>
        <v/>
      </c>
      <c r="H460" s="29" t="str">
        <f>IFERROR(VLOOKUP(A460,T,1,FALSE),"")</f>
        <v/>
      </c>
      <c r="I460" s="29" t="str">
        <f t="shared" si="29"/>
        <v/>
      </c>
      <c r="J460" s="29" t="str">
        <f t="shared" si="30"/>
        <v/>
      </c>
      <c r="K460" s="29" t="str" cm="1">
        <f t="array" ref="K460">IFERROR([2]!CalculateHyphenString(J460),"")</f>
        <v/>
      </c>
      <c r="L460">
        <f t="shared" si="32"/>
        <v>798592</v>
      </c>
    </row>
    <row r="461" spans="1:12" x14ac:dyDescent="0.7">
      <c r="A461" s="3">
        <v>458</v>
      </c>
      <c r="D461" s="49" t="str">
        <f t="shared" si="31"/>
        <v>798592</v>
      </c>
      <c r="E461" s="14" t="str">
        <f>IFERROR(VLOOKUP($A461,TT,10,FALSE),"")</f>
        <v/>
      </c>
      <c r="F461" s="48" t="str" cm="1">
        <f t="array" ref="F461">IFERROR([1]!FeetConvert(E461),"")</f>
        <v/>
      </c>
      <c r="H461" s="29" t="str">
        <f>IFERROR(VLOOKUP(A461,T,1,FALSE),"")</f>
        <v/>
      </c>
      <c r="I461" s="29" t="str">
        <f t="shared" si="29"/>
        <v/>
      </c>
      <c r="J461" s="29" t="str">
        <f t="shared" si="30"/>
        <v/>
      </c>
      <c r="K461" s="29" t="str" cm="1">
        <f t="array" ref="K461">IFERROR([2]!CalculateHyphenString(J461),"")</f>
        <v/>
      </c>
      <c r="L461">
        <f t="shared" si="32"/>
        <v>798592</v>
      </c>
    </row>
    <row r="462" spans="1:12" x14ac:dyDescent="0.7">
      <c r="A462" s="3">
        <v>459</v>
      </c>
      <c r="D462" s="49" t="str">
        <f t="shared" si="31"/>
        <v>798592</v>
      </c>
      <c r="E462" s="14" t="str">
        <f>IFERROR(VLOOKUP($A462,TT,10,FALSE),"")</f>
        <v/>
      </c>
      <c r="F462" s="48" t="str" cm="1">
        <f t="array" ref="F462">IFERROR([1]!FeetConvert(E462),"")</f>
        <v/>
      </c>
      <c r="H462" s="29" t="str">
        <f>IFERROR(VLOOKUP(A462,T,1,FALSE),"")</f>
        <v/>
      </c>
      <c r="I462" s="29" t="str">
        <f t="shared" si="29"/>
        <v/>
      </c>
      <c r="J462" s="29" t="str">
        <f t="shared" si="30"/>
        <v/>
      </c>
      <c r="K462" s="29" t="str" cm="1">
        <f t="array" ref="K462">IFERROR([2]!CalculateHyphenString(J462),"")</f>
        <v/>
      </c>
      <c r="L462">
        <f t="shared" si="32"/>
        <v>798592</v>
      </c>
    </row>
    <row r="463" spans="1:12" x14ac:dyDescent="0.7">
      <c r="A463" s="3">
        <v>460</v>
      </c>
      <c r="D463" s="49" t="str">
        <f t="shared" si="31"/>
        <v>798592</v>
      </c>
      <c r="E463" s="14" t="str">
        <f>IFERROR(VLOOKUP($A463,TT,10,FALSE),"")</f>
        <v/>
      </c>
      <c r="F463" s="48" t="str" cm="1">
        <f t="array" ref="F463">IFERROR([1]!FeetConvert(E463),"")</f>
        <v/>
      </c>
      <c r="H463" s="29" t="str">
        <f>IFERROR(VLOOKUP(A463,T,1,FALSE),"")</f>
        <v/>
      </c>
      <c r="I463" s="29" t="str">
        <f t="shared" si="29"/>
        <v/>
      </c>
      <c r="J463" s="29" t="str">
        <f t="shared" si="30"/>
        <v/>
      </c>
      <c r="K463" s="29" t="str" cm="1">
        <f t="array" ref="K463">IFERROR([2]!CalculateHyphenString(J463),"")</f>
        <v/>
      </c>
      <c r="L463">
        <f t="shared" si="32"/>
        <v>798592</v>
      </c>
    </row>
    <row r="464" spans="1:12" x14ac:dyDescent="0.7">
      <c r="A464" s="3">
        <v>461</v>
      </c>
      <c r="D464" s="49" t="str">
        <f t="shared" si="31"/>
        <v>798592</v>
      </c>
      <c r="E464" s="14" t="str">
        <f>IFERROR(VLOOKUP($A464,TT,10,FALSE),"")</f>
        <v/>
      </c>
      <c r="F464" s="48" t="str" cm="1">
        <f t="array" ref="F464">IFERROR([1]!FeetConvert(E464),"")</f>
        <v/>
      </c>
      <c r="H464" s="29" t="str">
        <f>IFERROR(VLOOKUP(A464,T,1,FALSE),"")</f>
        <v/>
      </c>
      <c r="I464" s="29" t="str">
        <f t="shared" si="29"/>
        <v/>
      </c>
      <c r="J464" s="29" t="str">
        <f t="shared" si="30"/>
        <v/>
      </c>
      <c r="K464" s="29" t="str" cm="1">
        <f t="array" ref="K464">IFERROR([2]!CalculateHyphenString(J464),"")</f>
        <v/>
      </c>
      <c r="L464">
        <f t="shared" si="32"/>
        <v>798592</v>
      </c>
    </row>
    <row r="465" spans="1:12" x14ac:dyDescent="0.7">
      <c r="A465" s="3">
        <v>462</v>
      </c>
      <c r="D465" s="49" t="str">
        <f t="shared" si="31"/>
        <v>798592</v>
      </c>
      <c r="E465" s="14" t="str">
        <f>IFERROR(VLOOKUP($A465,TT,10,FALSE),"")</f>
        <v/>
      </c>
      <c r="F465" s="48" t="str" cm="1">
        <f t="array" ref="F465">IFERROR([1]!FeetConvert(E465),"")</f>
        <v/>
      </c>
      <c r="H465" s="29" t="str">
        <f>IFERROR(VLOOKUP(A465,T,1,FALSE),"")</f>
        <v/>
      </c>
      <c r="I465" s="29" t="str">
        <f t="shared" si="29"/>
        <v/>
      </c>
      <c r="J465" s="29" t="str">
        <f t="shared" si="30"/>
        <v/>
      </c>
      <c r="K465" s="29" t="str" cm="1">
        <f t="array" ref="K465">IFERROR([2]!CalculateHyphenString(J465),"")</f>
        <v/>
      </c>
      <c r="L465">
        <f t="shared" si="32"/>
        <v>798592</v>
      </c>
    </row>
    <row r="466" spans="1:12" x14ac:dyDescent="0.7">
      <c r="A466" s="3">
        <v>463</v>
      </c>
      <c r="D466" s="49" t="str">
        <f t="shared" si="31"/>
        <v>798592</v>
      </c>
      <c r="E466" s="14" t="str">
        <f>IFERROR(VLOOKUP($A466,TT,10,FALSE),"")</f>
        <v/>
      </c>
      <c r="F466" s="48" t="str" cm="1">
        <f t="array" ref="F466">IFERROR([1]!FeetConvert(E466),"")</f>
        <v/>
      </c>
      <c r="H466" s="29" t="str">
        <f>IFERROR(VLOOKUP(A466,T,1,FALSE),"")</f>
        <v/>
      </c>
      <c r="I466" s="29" t="str">
        <f t="shared" si="29"/>
        <v/>
      </c>
      <c r="J466" s="29" t="str">
        <f t="shared" si="30"/>
        <v/>
      </c>
      <c r="K466" s="29" t="str" cm="1">
        <f t="array" ref="K466">IFERROR([2]!CalculateHyphenString(J466),"")</f>
        <v/>
      </c>
      <c r="L466">
        <f t="shared" si="32"/>
        <v>798592</v>
      </c>
    </row>
    <row r="467" spans="1:12" x14ac:dyDescent="0.7">
      <c r="A467" s="3">
        <v>464</v>
      </c>
      <c r="D467" s="49" t="str">
        <f t="shared" si="31"/>
        <v>798592</v>
      </c>
      <c r="E467" s="14" t="str">
        <f>IFERROR(VLOOKUP($A467,TT,10,FALSE),"")</f>
        <v/>
      </c>
      <c r="F467" s="48" t="str" cm="1">
        <f t="array" ref="F467">IFERROR([1]!FeetConvert(E467),"")</f>
        <v/>
      </c>
      <c r="H467" s="29" t="str">
        <f>IFERROR(VLOOKUP(A467,T,1,FALSE),"")</f>
        <v/>
      </c>
      <c r="I467" s="29" t="str">
        <f t="shared" si="29"/>
        <v/>
      </c>
      <c r="J467" s="29" t="str">
        <f t="shared" si="30"/>
        <v/>
      </c>
      <c r="K467" s="29" t="str" cm="1">
        <f t="array" ref="K467">IFERROR([2]!CalculateHyphenString(J467),"")</f>
        <v/>
      </c>
      <c r="L467">
        <f t="shared" si="32"/>
        <v>798592</v>
      </c>
    </row>
    <row r="468" spans="1:12" x14ac:dyDescent="0.7">
      <c r="A468" s="3">
        <v>465</v>
      </c>
      <c r="D468" s="49" t="str">
        <f t="shared" si="31"/>
        <v>798592</v>
      </c>
      <c r="E468" s="14" t="str">
        <f>IFERROR(VLOOKUP($A468,TT,10,FALSE),"")</f>
        <v/>
      </c>
      <c r="F468" s="48" t="str" cm="1">
        <f t="array" ref="F468">IFERROR([1]!FeetConvert(E468),"")</f>
        <v/>
      </c>
      <c r="H468" s="29" t="str">
        <f>IFERROR(VLOOKUP(A468,T,1,FALSE),"")</f>
        <v/>
      </c>
      <c r="I468" s="29" t="str">
        <f t="shared" si="29"/>
        <v/>
      </c>
      <c r="J468" s="29" t="str">
        <f t="shared" si="30"/>
        <v/>
      </c>
      <c r="K468" s="29" t="str" cm="1">
        <f t="array" ref="K468">IFERROR([2]!CalculateHyphenString(J468),"")</f>
        <v/>
      </c>
      <c r="L468">
        <f t="shared" si="32"/>
        <v>798592</v>
      </c>
    </row>
    <row r="469" spans="1:12" x14ac:dyDescent="0.7">
      <c r="A469" s="3">
        <v>466</v>
      </c>
      <c r="D469" s="49" t="str">
        <f t="shared" si="31"/>
        <v>798592</v>
      </c>
      <c r="E469" s="14" t="str">
        <f>IFERROR(VLOOKUP($A469,TT,10,FALSE),"")</f>
        <v/>
      </c>
      <c r="F469" s="48" t="str" cm="1">
        <f t="array" ref="F469">IFERROR([1]!FeetConvert(E469),"")</f>
        <v/>
      </c>
      <c r="H469" s="29" t="str">
        <f>IFERROR(VLOOKUP(A469,T,1,FALSE),"")</f>
        <v/>
      </c>
      <c r="I469" s="29" t="str">
        <f t="shared" si="29"/>
        <v/>
      </c>
      <c r="J469" s="29" t="str">
        <f t="shared" si="30"/>
        <v/>
      </c>
      <c r="K469" s="29" t="str" cm="1">
        <f t="array" ref="K469">IFERROR([2]!CalculateHyphenString(J469),"")</f>
        <v/>
      </c>
      <c r="L469">
        <f t="shared" si="32"/>
        <v>798592</v>
      </c>
    </row>
    <row r="470" spans="1:12" x14ac:dyDescent="0.7">
      <c r="A470" s="3">
        <v>467</v>
      </c>
      <c r="D470" s="49" t="str">
        <f t="shared" si="31"/>
        <v>798592</v>
      </c>
      <c r="E470" s="14" t="str">
        <f>IFERROR(VLOOKUP($A470,TT,10,FALSE),"")</f>
        <v/>
      </c>
      <c r="F470" s="48" t="str" cm="1">
        <f t="array" ref="F470">IFERROR([1]!FeetConvert(E470),"")</f>
        <v/>
      </c>
      <c r="H470" s="29" t="str">
        <f>IFERROR(VLOOKUP(A470,T,1,FALSE),"")</f>
        <v/>
      </c>
      <c r="I470" s="29" t="str">
        <f t="shared" si="29"/>
        <v/>
      </c>
      <c r="J470" s="29" t="str">
        <f t="shared" si="30"/>
        <v/>
      </c>
      <c r="K470" s="29" t="str" cm="1">
        <f t="array" ref="K470">IFERROR([2]!CalculateHyphenString(J470),"")</f>
        <v/>
      </c>
      <c r="L470">
        <f t="shared" si="32"/>
        <v>798592</v>
      </c>
    </row>
    <row r="471" spans="1:12" x14ac:dyDescent="0.7">
      <c r="A471" s="3">
        <v>468</v>
      </c>
      <c r="D471" s="49" t="str">
        <f t="shared" si="31"/>
        <v>798592</v>
      </c>
      <c r="E471" s="14" t="str">
        <f>IFERROR(VLOOKUP($A471,TT,10,FALSE),"")</f>
        <v/>
      </c>
      <c r="F471" s="48" t="str" cm="1">
        <f t="array" ref="F471">IFERROR([1]!FeetConvert(E471),"")</f>
        <v/>
      </c>
      <c r="H471" s="29" t="str">
        <f>IFERROR(VLOOKUP(A471,T,1,FALSE),"")</f>
        <v/>
      </c>
      <c r="I471" s="29" t="str">
        <f t="shared" si="29"/>
        <v/>
      </c>
      <c r="J471" s="29" t="str">
        <f t="shared" si="30"/>
        <v/>
      </c>
      <c r="K471" s="29" t="str" cm="1">
        <f t="array" ref="K471">IFERROR([2]!CalculateHyphenString(J471),"")</f>
        <v/>
      </c>
      <c r="L471">
        <f t="shared" si="32"/>
        <v>798592</v>
      </c>
    </row>
    <row r="472" spans="1:12" x14ac:dyDescent="0.7">
      <c r="A472" s="3">
        <v>469</v>
      </c>
      <c r="D472" s="49" t="str">
        <f t="shared" si="31"/>
        <v>798592</v>
      </c>
      <c r="E472" s="14" t="str">
        <f>IFERROR(VLOOKUP($A472,TT,10,FALSE),"")</f>
        <v/>
      </c>
      <c r="F472" s="48" t="str" cm="1">
        <f t="array" ref="F472">IFERROR([1]!FeetConvert(E472),"")</f>
        <v/>
      </c>
      <c r="H472" s="29" t="str">
        <f>IFERROR(VLOOKUP(A472,T,1,FALSE),"")</f>
        <v/>
      </c>
      <c r="I472" s="29" t="str">
        <f t="shared" si="29"/>
        <v/>
      </c>
      <c r="J472" s="29" t="str">
        <f t="shared" si="30"/>
        <v/>
      </c>
      <c r="K472" s="29" t="str" cm="1">
        <f t="array" ref="K472">IFERROR([2]!CalculateHyphenString(J472),"")</f>
        <v/>
      </c>
      <c r="L472">
        <f t="shared" si="32"/>
        <v>798592</v>
      </c>
    </row>
    <row r="473" spans="1:12" x14ac:dyDescent="0.7">
      <c r="A473" s="3">
        <v>470</v>
      </c>
      <c r="D473" s="49" t="str">
        <f t="shared" si="31"/>
        <v>798592</v>
      </c>
      <c r="E473" s="14" t="str">
        <f>IFERROR(VLOOKUP($A473,TT,10,FALSE),"")</f>
        <v/>
      </c>
      <c r="F473" s="48" t="str" cm="1">
        <f t="array" ref="F473">IFERROR([1]!FeetConvert(E473),"")</f>
        <v/>
      </c>
      <c r="H473" s="29" t="str">
        <f>IFERROR(VLOOKUP(A473,T,1,FALSE),"")</f>
        <v/>
      </c>
      <c r="I473" s="29" t="str">
        <f t="shared" si="29"/>
        <v/>
      </c>
      <c r="J473" s="29" t="str">
        <f t="shared" si="30"/>
        <v/>
      </c>
      <c r="K473" s="29" t="str" cm="1">
        <f t="array" ref="K473">IFERROR([2]!CalculateHyphenString(J473),"")</f>
        <v/>
      </c>
      <c r="L473">
        <f t="shared" si="32"/>
        <v>798592</v>
      </c>
    </row>
    <row r="474" spans="1:12" x14ac:dyDescent="0.7">
      <c r="A474" s="3">
        <v>471</v>
      </c>
      <c r="D474" s="49" t="str">
        <f t="shared" si="31"/>
        <v>798592</v>
      </c>
      <c r="E474" s="14" t="str">
        <f>IFERROR(VLOOKUP($A474,TT,10,FALSE),"")</f>
        <v/>
      </c>
      <c r="F474" s="48" t="str" cm="1">
        <f t="array" ref="F474">IFERROR([1]!FeetConvert(E474),"")</f>
        <v/>
      </c>
      <c r="H474" s="29" t="str">
        <f>IFERROR(VLOOKUP(A474,T,1,FALSE),"")</f>
        <v/>
      </c>
      <c r="I474" s="29" t="str">
        <f t="shared" si="29"/>
        <v/>
      </c>
      <c r="J474" s="29" t="str">
        <f t="shared" si="30"/>
        <v/>
      </c>
      <c r="K474" s="29" t="str" cm="1">
        <f t="array" ref="K474">IFERROR([2]!CalculateHyphenString(J474),"")</f>
        <v/>
      </c>
      <c r="L474">
        <f t="shared" si="32"/>
        <v>798592</v>
      </c>
    </row>
    <row r="475" spans="1:12" x14ac:dyDescent="0.7">
      <c r="A475" s="3">
        <v>472</v>
      </c>
      <c r="D475" s="49" t="str">
        <f t="shared" si="31"/>
        <v>798592</v>
      </c>
      <c r="E475" s="14" t="str">
        <f>IFERROR(VLOOKUP($A475,TT,10,FALSE),"")</f>
        <v/>
      </c>
      <c r="F475" s="48" t="str" cm="1">
        <f t="array" ref="F475">IFERROR([1]!FeetConvert(E475),"")</f>
        <v/>
      </c>
      <c r="H475" s="29" t="str">
        <f>IFERROR(VLOOKUP(A475,T,1,FALSE),"")</f>
        <v/>
      </c>
      <c r="I475" s="29" t="str">
        <f t="shared" si="29"/>
        <v/>
      </c>
      <c r="J475" s="29" t="str">
        <f t="shared" si="30"/>
        <v/>
      </c>
      <c r="K475" s="29" t="str" cm="1">
        <f t="array" ref="K475">IFERROR([2]!CalculateHyphenString(J475),"")</f>
        <v/>
      </c>
      <c r="L475">
        <f t="shared" si="32"/>
        <v>798592</v>
      </c>
    </row>
    <row r="476" spans="1:12" x14ac:dyDescent="0.7">
      <c r="A476" s="3">
        <v>473</v>
      </c>
      <c r="D476" s="49" t="str">
        <f t="shared" si="31"/>
        <v>798592</v>
      </c>
      <c r="E476" s="14" t="str">
        <f>IFERROR(VLOOKUP($A476,TT,10,FALSE),"")</f>
        <v/>
      </c>
      <c r="F476" s="48" t="str" cm="1">
        <f t="array" ref="F476">IFERROR([1]!FeetConvert(E476),"")</f>
        <v/>
      </c>
      <c r="H476" s="29" t="str">
        <f>IFERROR(VLOOKUP(A476,T,1,FALSE),"")</f>
        <v/>
      </c>
      <c r="I476" s="29" t="str">
        <f t="shared" si="29"/>
        <v/>
      </c>
      <c r="J476" s="29" t="str">
        <f t="shared" si="30"/>
        <v/>
      </c>
      <c r="K476" s="29" t="str" cm="1">
        <f t="array" ref="K476">IFERROR([2]!CalculateHyphenString(J476),"")</f>
        <v/>
      </c>
      <c r="L476">
        <f t="shared" si="32"/>
        <v>798592</v>
      </c>
    </row>
    <row r="477" spans="1:12" x14ac:dyDescent="0.7">
      <c r="A477" s="3">
        <v>474</v>
      </c>
      <c r="D477" s="49" t="str">
        <f t="shared" si="31"/>
        <v>798592</v>
      </c>
      <c r="E477" s="14" t="str">
        <f>IFERROR(VLOOKUP($A477,TT,10,FALSE),"")</f>
        <v/>
      </c>
      <c r="F477" s="48" t="str" cm="1">
        <f t="array" ref="F477">IFERROR([1]!FeetConvert(E477),"")</f>
        <v/>
      </c>
      <c r="H477" s="29" t="str">
        <f>IFERROR(VLOOKUP(A477,T,1,FALSE),"")</f>
        <v/>
      </c>
      <c r="I477" s="29" t="str">
        <f t="shared" si="29"/>
        <v/>
      </c>
      <c r="J477" s="29" t="str">
        <f t="shared" si="30"/>
        <v/>
      </c>
      <c r="K477" s="29" t="str" cm="1">
        <f t="array" ref="K477">IFERROR([2]!CalculateHyphenString(J477),"")</f>
        <v/>
      </c>
      <c r="L477">
        <f t="shared" si="32"/>
        <v>798592</v>
      </c>
    </row>
    <row r="478" spans="1:12" x14ac:dyDescent="0.7">
      <c r="A478" s="3">
        <v>475</v>
      </c>
      <c r="D478" s="49" t="str">
        <f t="shared" si="31"/>
        <v>798592</v>
      </c>
      <c r="E478" s="14" t="str">
        <f>IFERROR(VLOOKUP($A478,TT,10,FALSE),"")</f>
        <v/>
      </c>
      <c r="F478" s="48" t="str" cm="1">
        <f t="array" ref="F478">IFERROR([1]!FeetConvert(E478),"")</f>
        <v/>
      </c>
      <c r="H478" s="29" t="str">
        <f>IFERROR(VLOOKUP(A478,T,1,FALSE),"")</f>
        <v/>
      </c>
      <c r="I478" s="29" t="str">
        <f t="shared" si="29"/>
        <v/>
      </c>
      <c r="J478" s="29" t="str">
        <f t="shared" si="30"/>
        <v/>
      </c>
      <c r="K478" s="29" t="str" cm="1">
        <f t="array" ref="K478">IFERROR([2]!CalculateHyphenString(J478),"")</f>
        <v/>
      </c>
      <c r="L478">
        <f t="shared" si="32"/>
        <v>798592</v>
      </c>
    </row>
    <row r="479" spans="1:12" x14ac:dyDescent="0.7">
      <c r="A479" s="3">
        <v>476</v>
      </c>
      <c r="D479" s="49" t="str">
        <f t="shared" si="31"/>
        <v>798592</v>
      </c>
      <c r="E479" s="14" t="str">
        <f>IFERROR(VLOOKUP($A479,TT,10,FALSE),"")</f>
        <v/>
      </c>
      <c r="F479" s="48" t="str" cm="1">
        <f t="array" ref="F479">IFERROR([1]!FeetConvert(E479),"")</f>
        <v/>
      </c>
      <c r="H479" s="29" t="str">
        <f>IFERROR(VLOOKUP(A479,T,1,FALSE),"")</f>
        <v/>
      </c>
      <c r="I479" s="29" t="str">
        <f t="shared" si="29"/>
        <v/>
      </c>
      <c r="J479" s="29" t="str">
        <f t="shared" si="30"/>
        <v/>
      </c>
      <c r="K479" s="29" t="str" cm="1">
        <f t="array" ref="K479">IFERROR([2]!CalculateHyphenString(J479),"")</f>
        <v/>
      </c>
      <c r="L479">
        <f t="shared" si="32"/>
        <v>798592</v>
      </c>
    </row>
    <row r="480" spans="1:12" x14ac:dyDescent="0.7">
      <c r="A480" s="3">
        <v>477</v>
      </c>
      <c r="D480" s="49" t="str">
        <f t="shared" si="31"/>
        <v>798592</v>
      </c>
      <c r="E480" s="14" t="str">
        <f>IFERROR(VLOOKUP($A480,TT,10,FALSE),"")</f>
        <v/>
      </c>
      <c r="F480" s="48" t="str" cm="1">
        <f t="array" ref="F480">IFERROR([1]!FeetConvert(E480),"")</f>
        <v/>
      </c>
      <c r="H480" s="29" t="str">
        <f>IFERROR(VLOOKUP(A480,T,1,FALSE),"")</f>
        <v/>
      </c>
      <c r="I480" s="29" t="str">
        <f t="shared" si="29"/>
        <v/>
      </c>
      <c r="J480" s="29" t="str">
        <f t="shared" si="30"/>
        <v/>
      </c>
      <c r="K480" s="29" t="str" cm="1">
        <f t="array" ref="K480">IFERROR([2]!CalculateHyphenString(J480),"")</f>
        <v/>
      </c>
      <c r="L480">
        <f t="shared" si="32"/>
        <v>798592</v>
      </c>
    </row>
    <row r="481" spans="1:12" x14ac:dyDescent="0.7">
      <c r="A481" s="3">
        <v>478</v>
      </c>
      <c r="D481" s="49" t="str">
        <f t="shared" si="31"/>
        <v>798592</v>
      </c>
      <c r="E481" s="14" t="str">
        <f>IFERROR(VLOOKUP($A481,TT,10,FALSE),"")</f>
        <v/>
      </c>
      <c r="F481" s="48" t="str" cm="1">
        <f t="array" ref="F481">IFERROR([1]!FeetConvert(E481),"")</f>
        <v/>
      </c>
      <c r="H481" s="29" t="str">
        <f>IFERROR(VLOOKUP(A481,T,1,FALSE),"")</f>
        <v/>
      </c>
      <c r="I481" s="29" t="str">
        <f t="shared" si="29"/>
        <v/>
      </c>
      <c r="J481" s="29" t="str">
        <f t="shared" si="30"/>
        <v/>
      </c>
      <c r="K481" s="29" t="str" cm="1">
        <f t="array" ref="K481">IFERROR([2]!CalculateHyphenString(J481),"")</f>
        <v/>
      </c>
      <c r="L481">
        <f t="shared" si="32"/>
        <v>798592</v>
      </c>
    </row>
    <row r="482" spans="1:12" x14ac:dyDescent="0.7">
      <c r="A482" s="3">
        <v>479</v>
      </c>
      <c r="D482" s="49" t="str">
        <f t="shared" si="31"/>
        <v>798592</v>
      </c>
      <c r="E482" s="14" t="str">
        <f>IFERROR(VLOOKUP($A482,TT,10,FALSE),"")</f>
        <v/>
      </c>
      <c r="F482" s="48" t="str" cm="1">
        <f t="array" ref="F482">IFERROR([1]!FeetConvert(E482),"")</f>
        <v/>
      </c>
      <c r="H482" s="29" t="str">
        <f>IFERROR(VLOOKUP(A482,T,1,FALSE),"")</f>
        <v/>
      </c>
      <c r="I482" s="29" t="str">
        <f t="shared" si="29"/>
        <v/>
      </c>
      <c r="J482" s="29" t="str">
        <f t="shared" si="30"/>
        <v/>
      </c>
      <c r="K482" s="29" t="str" cm="1">
        <f t="array" ref="K482">IFERROR([2]!CalculateHyphenString(J482),"")</f>
        <v/>
      </c>
      <c r="L482">
        <f t="shared" si="32"/>
        <v>798592</v>
      </c>
    </row>
    <row r="483" spans="1:12" x14ac:dyDescent="0.7">
      <c r="A483" s="3">
        <v>480</v>
      </c>
      <c r="D483" s="49" t="str">
        <f t="shared" si="31"/>
        <v>798592</v>
      </c>
      <c r="E483" s="14" t="str">
        <f>IFERROR(VLOOKUP($A483,TT,10,FALSE),"")</f>
        <v/>
      </c>
      <c r="F483" s="48" t="str" cm="1">
        <f t="array" ref="F483">IFERROR([1]!FeetConvert(E483),"")</f>
        <v/>
      </c>
      <c r="H483" s="29" t="str">
        <f>IFERROR(VLOOKUP(A483,T,1,FALSE),"")</f>
        <v/>
      </c>
      <c r="I483" s="29" t="str">
        <f t="shared" si="29"/>
        <v/>
      </c>
      <c r="J483" s="29" t="str">
        <f t="shared" si="30"/>
        <v/>
      </c>
      <c r="K483" s="29" t="str" cm="1">
        <f t="array" ref="K483">IFERROR([2]!CalculateHyphenString(J483),"")</f>
        <v/>
      </c>
      <c r="L483">
        <f t="shared" si="32"/>
        <v>798592</v>
      </c>
    </row>
    <row r="484" spans="1:12" x14ac:dyDescent="0.7">
      <c r="A484" s="3">
        <v>481</v>
      </c>
      <c r="D484" s="49" t="str">
        <f t="shared" si="31"/>
        <v>798592</v>
      </c>
      <c r="E484" s="14" t="str">
        <f>IFERROR(VLOOKUP($A484,TT,10,FALSE),"")</f>
        <v/>
      </c>
      <c r="F484" s="48" t="str" cm="1">
        <f t="array" ref="F484">IFERROR([1]!FeetConvert(E484),"")</f>
        <v/>
      </c>
      <c r="H484" s="29" t="str">
        <f>IFERROR(VLOOKUP(A484,T,1,FALSE),"")</f>
        <v/>
      </c>
      <c r="I484" s="29" t="str">
        <f t="shared" si="29"/>
        <v/>
      </c>
      <c r="J484" s="29" t="str">
        <f t="shared" si="30"/>
        <v/>
      </c>
      <c r="K484" s="29" t="str" cm="1">
        <f t="array" ref="K484">IFERROR([2]!CalculateHyphenString(J484),"")</f>
        <v/>
      </c>
      <c r="L484">
        <f t="shared" si="32"/>
        <v>798592</v>
      </c>
    </row>
    <row r="485" spans="1:12" x14ac:dyDescent="0.7">
      <c r="A485" s="3">
        <v>482</v>
      </c>
      <c r="D485" s="49" t="str">
        <f t="shared" si="31"/>
        <v>798592</v>
      </c>
      <c r="E485" s="14" t="str">
        <f>IFERROR(VLOOKUP($A485,TT,10,FALSE),"")</f>
        <v/>
      </c>
      <c r="F485" s="48" t="str" cm="1">
        <f t="array" ref="F485">IFERROR([1]!FeetConvert(E485),"")</f>
        <v/>
      </c>
      <c r="H485" s="29" t="str">
        <f>IFERROR(VLOOKUP(A485,T,1,FALSE),"")</f>
        <v/>
      </c>
      <c r="I485" s="29" t="str">
        <f t="shared" si="29"/>
        <v/>
      </c>
      <c r="J485" s="29" t="str">
        <f t="shared" si="30"/>
        <v/>
      </c>
      <c r="K485" s="29" t="str" cm="1">
        <f t="array" ref="K485">IFERROR([2]!CalculateHyphenString(J485),"")</f>
        <v/>
      </c>
      <c r="L485">
        <f t="shared" si="32"/>
        <v>798592</v>
      </c>
    </row>
    <row r="486" spans="1:12" x14ac:dyDescent="0.7">
      <c r="A486" s="3">
        <v>483</v>
      </c>
      <c r="D486" s="49" t="str">
        <f t="shared" si="31"/>
        <v>798592</v>
      </c>
      <c r="E486" s="14" t="str">
        <f>IFERROR(VLOOKUP($A486,TT,10,FALSE),"")</f>
        <v/>
      </c>
      <c r="F486" s="48" t="str" cm="1">
        <f t="array" ref="F486">IFERROR([1]!FeetConvert(E486),"")</f>
        <v/>
      </c>
      <c r="H486" s="29" t="str">
        <f>IFERROR(VLOOKUP(A486,T,1,FALSE),"")</f>
        <v/>
      </c>
      <c r="I486" s="29" t="str">
        <f t="shared" si="29"/>
        <v/>
      </c>
      <c r="J486" s="29" t="str">
        <f t="shared" si="30"/>
        <v/>
      </c>
      <c r="K486" s="29" t="str" cm="1">
        <f t="array" ref="K486">IFERROR([2]!CalculateHyphenString(J486),"")</f>
        <v/>
      </c>
      <c r="L486">
        <f t="shared" si="32"/>
        <v>798592</v>
      </c>
    </row>
    <row r="487" spans="1:12" x14ac:dyDescent="0.7">
      <c r="A487" s="3">
        <v>484</v>
      </c>
      <c r="D487" s="49" t="str">
        <f t="shared" si="31"/>
        <v>798592</v>
      </c>
      <c r="E487" s="14" t="str">
        <f>IFERROR(VLOOKUP($A487,TT,10,FALSE),"")</f>
        <v/>
      </c>
      <c r="F487" s="48" t="str" cm="1">
        <f t="array" ref="F487">IFERROR([1]!FeetConvert(E487),"")</f>
        <v/>
      </c>
      <c r="H487" s="29" t="str">
        <f>IFERROR(VLOOKUP(A487,T,1,FALSE),"")</f>
        <v/>
      </c>
      <c r="I487" s="29" t="str">
        <f t="shared" si="29"/>
        <v/>
      </c>
      <c r="J487" s="29" t="str">
        <f t="shared" si="30"/>
        <v/>
      </c>
      <c r="K487" s="29" t="str" cm="1">
        <f t="array" ref="K487">IFERROR([2]!CalculateHyphenString(J487),"")</f>
        <v/>
      </c>
      <c r="L487">
        <f t="shared" si="32"/>
        <v>798592</v>
      </c>
    </row>
    <row r="488" spans="1:12" x14ac:dyDescent="0.7">
      <c r="A488" s="3">
        <v>485</v>
      </c>
      <c r="D488" s="49" t="str">
        <f t="shared" si="31"/>
        <v>798592</v>
      </c>
      <c r="E488" s="14" t="str">
        <f>IFERROR(VLOOKUP($A488,TT,10,FALSE),"")</f>
        <v/>
      </c>
      <c r="F488" s="48" t="str" cm="1">
        <f t="array" ref="F488">IFERROR([1]!FeetConvert(E488),"")</f>
        <v/>
      </c>
      <c r="H488" s="29" t="str">
        <f>IFERROR(VLOOKUP(A488,T,1,FALSE),"")</f>
        <v/>
      </c>
      <c r="I488" s="29" t="str">
        <f t="shared" si="29"/>
        <v/>
      </c>
      <c r="J488" s="29" t="str">
        <f t="shared" si="30"/>
        <v/>
      </c>
      <c r="K488" s="29" t="str" cm="1">
        <f t="array" ref="K488">IFERROR([2]!CalculateHyphenString(J488),"")</f>
        <v/>
      </c>
      <c r="L488">
        <f t="shared" si="32"/>
        <v>798592</v>
      </c>
    </row>
    <row r="489" spans="1:12" x14ac:dyDescent="0.7">
      <c r="A489" s="3">
        <v>486</v>
      </c>
      <c r="D489" s="49" t="str">
        <f t="shared" si="31"/>
        <v>798592</v>
      </c>
      <c r="E489" s="14" t="str">
        <f>IFERROR(VLOOKUP($A489,TT,10,FALSE),"")</f>
        <v/>
      </c>
      <c r="F489" s="48" t="str" cm="1">
        <f t="array" ref="F489">IFERROR([1]!FeetConvert(E489),"")</f>
        <v/>
      </c>
      <c r="H489" s="29" t="str">
        <f>IFERROR(VLOOKUP(A489,T,1,FALSE),"")</f>
        <v/>
      </c>
      <c r="I489" s="29" t="str">
        <f t="shared" si="29"/>
        <v/>
      </c>
      <c r="J489" s="29" t="str">
        <f t="shared" si="30"/>
        <v/>
      </c>
      <c r="K489" s="29" t="str" cm="1">
        <f t="array" ref="K489">IFERROR([2]!CalculateHyphenString(J489),"")</f>
        <v/>
      </c>
      <c r="L489">
        <f t="shared" si="32"/>
        <v>798592</v>
      </c>
    </row>
    <row r="490" spans="1:12" x14ac:dyDescent="0.7">
      <c r="A490" s="3">
        <v>487</v>
      </c>
      <c r="D490" s="49" t="str">
        <f t="shared" si="31"/>
        <v>798592</v>
      </c>
      <c r="E490" s="14" t="str">
        <f>IFERROR(VLOOKUP($A490,TT,10,FALSE),"")</f>
        <v/>
      </c>
      <c r="F490" s="48" t="str" cm="1">
        <f t="array" ref="F490">IFERROR([1]!FeetConvert(E490),"")</f>
        <v/>
      </c>
      <c r="H490" s="29" t="str">
        <f>IFERROR(VLOOKUP(A490,T,1,FALSE),"")</f>
        <v/>
      </c>
      <c r="I490" s="29" t="str">
        <f t="shared" si="29"/>
        <v/>
      </c>
      <c r="J490" s="29" t="str">
        <f t="shared" si="30"/>
        <v/>
      </c>
      <c r="K490" s="29" t="str" cm="1">
        <f t="array" ref="K490">IFERROR([2]!CalculateHyphenString(J490),"")</f>
        <v/>
      </c>
      <c r="L490">
        <f t="shared" si="32"/>
        <v>798592</v>
      </c>
    </row>
    <row r="491" spans="1:12" x14ac:dyDescent="0.7">
      <c r="A491" s="3">
        <v>488</v>
      </c>
      <c r="D491" s="49" t="str">
        <f t="shared" si="31"/>
        <v>798592</v>
      </c>
      <c r="E491" s="14" t="str">
        <f>IFERROR(VLOOKUP($A491,TT,10,FALSE),"")</f>
        <v/>
      </c>
      <c r="F491" s="48" t="str" cm="1">
        <f t="array" ref="F491">IFERROR([1]!FeetConvert(E491),"")</f>
        <v/>
      </c>
      <c r="H491" s="29" t="str">
        <f>IFERROR(VLOOKUP(A491,T,1,FALSE),"")</f>
        <v/>
      </c>
      <c r="I491" s="29" t="str">
        <f t="shared" si="29"/>
        <v/>
      </c>
      <c r="J491" s="29" t="str">
        <f t="shared" si="30"/>
        <v/>
      </c>
      <c r="K491" s="29" t="str" cm="1">
        <f t="array" ref="K491">IFERROR([2]!CalculateHyphenString(J491),"")</f>
        <v/>
      </c>
      <c r="L491">
        <f t="shared" si="32"/>
        <v>798592</v>
      </c>
    </row>
    <row r="492" spans="1:12" x14ac:dyDescent="0.7">
      <c r="A492" s="3">
        <v>489</v>
      </c>
      <c r="D492" s="49" t="str">
        <f t="shared" si="31"/>
        <v>798592</v>
      </c>
      <c r="E492" s="14" t="str">
        <f>IFERROR(VLOOKUP($A492,TT,10,FALSE),"")</f>
        <v/>
      </c>
      <c r="F492" s="48" t="str" cm="1">
        <f t="array" ref="F492">IFERROR([1]!FeetConvert(E492),"")</f>
        <v/>
      </c>
      <c r="H492" s="29" t="str">
        <f>IFERROR(VLOOKUP(A492,T,1,FALSE),"")</f>
        <v/>
      </c>
      <c r="I492" s="29" t="str">
        <f t="shared" si="29"/>
        <v/>
      </c>
      <c r="J492" s="29" t="str">
        <f t="shared" si="30"/>
        <v/>
      </c>
      <c r="K492" s="29" t="str" cm="1">
        <f t="array" ref="K492">IFERROR([2]!CalculateHyphenString(J492),"")</f>
        <v/>
      </c>
      <c r="L492">
        <f t="shared" si="32"/>
        <v>798592</v>
      </c>
    </row>
    <row r="493" spans="1:12" x14ac:dyDescent="0.7">
      <c r="A493" s="3">
        <v>490</v>
      </c>
      <c r="D493" s="49" t="str">
        <f t="shared" si="31"/>
        <v>798592</v>
      </c>
      <c r="E493" s="14" t="str">
        <f>IFERROR(VLOOKUP($A493,TT,10,FALSE),"")</f>
        <v/>
      </c>
      <c r="F493" s="48" t="str" cm="1">
        <f t="array" ref="F493">IFERROR([1]!FeetConvert(E493),"")</f>
        <v/>
      </c>
      <c r="H493" s="29" t="str">
        <f>IFERROR(VLOOKUP(A493,T,1,FALSE),"")</f>
        <v/>
      </c>
      <c r="I493" s="29" t="str">
        <f t="shared" si="29"/>
        <v/>
      </c>
      <c r="J493" s="29" t="str">
        <f t="shared" si="30"/>
        <v/>
      </c>
      <c r="K493" s="29" t="str" cm="1">
        <f t="array" ref="K493">IFERROR([2]!CalculateHyphenString(J493),"")</f>
        <v/>
      </c>
      <c r="L493">
        <f t="shared" si="32"/>
        <v>798592</v>
      </c>
    </row>
    <row r="494" spans="1:12" x14ac:dyDescent="0.7">
      <c r="A494" s="3">
        <v>491</v>
      </c>
      <c r="D494" s="49" t="str">
        <f t="shared" si="31"/>
        <v>798592</v>
      </c>
      <c r="E494" s="14" t="str">
        <f>IFERROR(VLOOKUP($A494,TT,10,FALSE),"")</f>
        <v/>
      </c>
      <c r="F494" s="48" t="str" cm="1">
        <f t="array" ref="F494">IFERROR([1]!FeetConvert(E494),"")</f>
        <v/>
      </c>
      <c r="H494" s="29" t="str">
        <f>IFERROR(VLOOKUP(A494,T,1,FALSE),"")</f>
        <v/>
      </c>
      <c r="I494" s="29" t="str">
        <f t="shared" si="29"/>
        <v/>
      </c>
      <c r="J494" s="29" t="str">
        <f t="shared" si="30"/>
        <v/>
      </c>
      <c r="K494" s="29" t="str" cm="1">
        <f t="array" ref="K494">IFERROR([2]!CalculateHyphenString(J494),"")</f>
        <v/>
      </c>
      <c r="L494">
        <f t="shared" si="32"/>
        <v>798592</v>
      </c>
    </row>
    <row r="495" spans="1:12" x14ac:dyDescent="0.7">
      <c r="A495" s="3">
        <v>492</v>
      </c>
      <c r="D495" s="49" t="str">
        <f t="shared" si="31"/>
        <v>798592</v>
      </c>
      <c r="E495" s="14" t="str">
        <f>IFERROR(VLOOKUP($A495,TT,10,FALSE),"")</f>
        <v/>
      </c>
      <c r="F495" s="48" t="str" cm="1">
        <f t="array" ref="F495">IFERROR([1]!FeetConvert(E495),"")</f>
        <v/>
      </c>
      <c r="H495" s="29" t="str">
        <f>IFERROR(VLOOKUP(A495,T,1,FALSE),"")</f>
        <v/>
      </c>
      <c r="I495" s="29" t="str">
        <f t="shared" si="29"/>
        <v/>
      </c>
      <c r="J495" s="29" t="str">
        <f t="shared" si="30"/>
        <v/>
      </c>
      <c r="K495" s="29" t="str" cm="1">
        <f t="array" ref="K495">IFERROR([2]!CalculateHyphenString(J495),"")</f>
        <v/>
      </c>
      <c r="L495">
        <f t="shared" si="32"/>
        <v>798592</v>
      </c>
    </row>
    <row r="496" spans="1:12" x14ac:dyDescent="0.7">
      <c r="A496" s="3">
        <v>493</v>
      </c>
      <c r="D496" s="49" t="str">
        <f t="shared" si="31"/>
        <v>798592</v>
      </c>
      <c r="E496" s="14" t="str">
        <f>IFERROR(VLOOKUP($A496,TT,10,FALSE),"")</f>
        <v/>
      </c>
      <c r="F496" s="48" t="str" cm="1">
        <f t="array" ref="F496">IFERROR([1]!FeetConvert(E496),"")</f>
        <v/>
      </c>
      <c r="H496" s="29" t="str">
        <f>IFERROR(VLOOKUP(A496,T,1,FALSE),"")</f>
        <v/>
      </c>
      <c r="I496" s="29" t="str">
        <f t="shared" si="29"/>
        <v/>
      </c>
      <c r="J496" s="29" t="str">
        <f t="shared" si="30"/>
        <v/>
      </c>
      <c r="K496" s="29" t="str" cm="1">
        <f t="array" ref="K496">IFERROR([2]!CalculateHyphenString(J496),"")</f>
        <v/>
      </c>
      <c r="L496">
        <f t="shared" si="32"/>
        <v>798592</v>
      </c>
    </row>
    <row r="497" spans="1:12" x14ac:dyDescent="0.7">
      <c r="A497" s="3">
        <v>494</v>
      </c>
      <c r="D497" s="49" t="str">
        <f t="shared" si="31"/>
        <v>798592</v>
      </c>
      <c r="E497" s="14" t="str">
        <f>IFERROR(VLOOKUP($A497,TT,10,FALSE),"")</f>
        <v/>
      </c>
      <c r="F497" s="48" t="str" cm="1">
        <f t="array" ref="F497">IFERROR([1]!FeetConvert(E497),"")</f>
        <v/>
      </c>
      <c r="H497" s="29" t="str">
        <f>IFERROR(VLOOKUP(A497,T,1,FALSE),"")</f>
        <v/>
      </c>
      <c r="I497" s="29" t="str">
        <f t="shared" si="29"/>
        <v/>
      </c>
      <c r="J497" s="29" t="str">
        <f t="shared" si="30"/>
        <v/>
      </c>
      <c r="K497" s="29" t="str" cm="1">
        <f t="array" ref="K497">IFERROR([2]!CalculateHyphenString(J497),"")</f>
        <v/>
      </c>
      <c r="L497">
        <f t="shared" si="32"/>
        <v>798592</v>
      </c>
    </row>
    <row r="498" spans="1:12" x14ac:dyDescent="0.7">
      <c r="A498" s="3">
        <v>495</v>
      </c>
      <c r="D498" s="49" t="str">
        <f t="shared" si="31"/>
        <v>798592</v>
      </c>
      <c r="E498" s="14" t="str">
        <f>IFERROR(VLOOKUP($A498,TT,10,FALSE),"")</f>
        <v/>
      </c>
      <c r="F498" s="48" t="str" cm="1">
        <f t="array" ref="F498">IFERROR([1]!FeetConvert(E498),"")</f>
        <v/>
      </c>
      <c r="H498" s="29" t="str">
        <f>IFERROR(VLOOKUP(A498,T,1,FALSE),"")</f>
        <v/>
      </c>
      <c r="I498" s="29" t="str">
        <f t="shared" si="29"/>
        <v/>
      </c>
      <c r="J498" s="29" t="str">
        <f t="shared" si="30"/>
        <v/>
      </c>
      <c r="K498" s="29" t="str" cm="1">
        <f t="array" ref="K498">IFERROR([2]!CalculateHyphenString(J498),"")</f>
        <v/>
      </c>
      <c r="L498">
        <f t="shared" si="32"/>
        <v>798592</v>
      </c>
    </row>
    <row r="499" spans="1:12" x14ac:dyDescent="0.7">
      <c r="A499" s="3">
        <v>496</v>
      </c>
      <c r="D499" s="49" t="str">
        <f t="shared" si="31"/>
        <v>798592</v>
      </c>
      <c r="E499" s="14" t="str">
        <f>IFERROR(VLOOKUP($A499,TT,10,FALSE),"")</f>
        <v/>
      </c>
      <c r="F499" s="48" t="str" cm="1">
        <f t="array" ref="F499">IFERROR([1]!FeetConvert(E499),"")</f>
        <v/>
      </c>
      <c r="H499" s="29" t="str">
        <f>IFERROR(VLOOKUP(A499,T,1,FALSE),"")</f>
        <v/>
      </c>
      <c r="I499" s="29" t="str">
        <f t="shared" si="29"/>
        <v/>
      </c>
      <c r="J499" s="29" t="str">
        <f t="shared" si="30"/>
        <v/>
      </c>
      <c r="K499" s="29" t="str" cm="1">
        <f t="array" ref="K499">IFERROR([2]!CalculateHyphenString(J499),"")</f>
        <v/>
      </c>
      <c r="L499">
        <f t="shared" si="32"/>
        <v>798592</v>
      </c>
    </row>
    <row r="500" spans="1:12" x14ac:dyDescent="0.7">
      <c r="A500" s="3">
        <v>497</v>
      </c>
      <c r="D500" s="49" t="str">
        <f t="shared" si="31"/>
        <v>798592</v>
      </c>
      <c r="E500" s="14" t="str">
        <f>IFERROR(VLOOKUP($A500,TT,10,FALSE),"")</f>
        <v/>
      </c>
      <c r="F500" s="48" t="str" cm="1">
        <f t="array" ref="F500">IFERROR([1]!FeetConvert(E500),"")</f>
        <v/>
      </c>
      <c r="H500" s="29" t="str">
        <f>IFERROR(VLOOKUP(A500,T,1,FALSE),"")</f>
        <v/>
      </c>
      <c r="I500" s="29" t="str">
        <f t="shared" si="29"/>
        <v/>
      </c>
      <c r="J500" s="29" t="str">
        <f t="shared" si="30"/>
        <v/>
      </c>
      <c r="K500" s="29" t="str" cm="1">
        <f t="array" ref="K500">IFERROR([2]!CalculateHyphenString(J500),"")</f>
        <v/>
      </c>
      <c r="L500">
        <f t="shared" si="32"/>
        <v>798592</v>
      </c>
    </row>
    <row r="501" spans="1:12" x14ac:dyDescent="0.7">
      <c r="A501" s="3">
        <v>498</v>
      </c>
      <c r="D501" s="49" t="str">
        <f t="shared" si="31"/>
        <v>798592</v>
      </c>
      <c r="E501" s="14" t="str">
        <f>IFERROR(VLOOKUP($A501,TT,10,FALSE),"")</f>
        <v/>
      </c>
      <c r="F501" s="48" t="str" cm="1">
        <f t="array" ref="F501">IFERROR([1]!FeetConvert(E501),"")</f>
        <v/>
      </c>
      <c r="H501" s="29" t="str">
        <f>IFERROR(VLOOKUP(A501,T,1,FALSE),"")</f>
        <v/>
      </c>
      <c r="I501" s="29" t="str">
        <f t="shared" si="29"/>
        <v/>
      </c>
      <c r="J501" s="29" t="str">
        <f t="shared" si="30"/>
        <v/>
      </c>
      <c r="K501" s="29" t="str" cm="1">
        <f t="array" ref="K501">IFERROR([2]!CalculateHyphenString(J501),"")</f>
        <v/>
      </c>
      <c r="L501">
        <f t="shared" si="32"/>
        <v>798592</v>
      </c>
    </row>
    <row r="502" spans="1:12" x14ac:dyDescent="0.7">
      <c r="A502" s="3">
        <v>499</v>
      </c>
      <c r="D502" s="49" t="str">
        <f t="shared" si="31"/>
        <v>798592</v>
      </c>
      <c r="E502" s="14" t="str">
        <f>IFERROR(VLOOKUP($A502,TT,10,FALSE),"")</f>
        <v/>
      </c>
      <c r="F502" s="48" t="str" cm="1">
        <f t="array" ref="F502">IFERROR([1]!FeetConvert(E502),"")</f>
        <v/>
      </c>
      <c r="H502" s="29" t="str">
        <f>IFERROR(VLOOKUP(A502,T,1,FALSE),"")</f>
        <v/>
      </c>
      <c r="I502" s="29" t="str">
        <f t="shared" si="29"/>
        <v/>
      </c>
      <c r="J502" s="29" t="str">
        <f t="shared" si="30"/>
        <v/>
      </c>
      <c r="K502" s="29" t="str" cm="1">
        <f t="array" ref="K502">IFERROR([2]!CalculateHyphenString(J502),"")</f>
        <v/>
      </c>
      <c r="L502">
        <f t="shared" si="32"/>
        <v>798592</v>
      </c>
    </row>
    <row r="503" spans="1:12" x14ac:dyDescent="0.7">
      <c r="A503" s="3">
        <v>500</v>
      </c>
      <c r="D503" s="49" t="str">
        <f t="shared" si="31"/>
        <v>798592</v>
      </c>
      <c r="E503" s="14" t="str">
        <f>IFERROR(VLOOKUP($A503,TT,10,FALSE),"")</f>
        <v/>
      </c>
      <c r="F503" s="48" t="str" cm="1">
        <f t="array" ref="F503">IFERROR([1]!FeetConvert(E503),"")</f>
        <v/>
      </c>
      <c r="H503" s="29" t="str">
        <f>IFERROR(VLOOKUP(A503,T,1,FALSE),"")</f>
        <v/>
      </c>
      <c r="I503" s="29" t="str">
        <f t="shared" si="29"/>
        <v/>
      </c>
      <c r="J503" s="29" t="str">
        <f t="shared" si="30"/>
        <v/>
      </c>
      <c r="K503" s="29" t="str" cm="1">
        <f t="array" ref="K503">IFERROR([2]!CalculateHyphenString(J503),"")</f>
        <v/>
      </c>
      <c r="L503">
        <f t="shared" si="32"/>
        <v>798592</v>
      </c>
    </row>
    <row r="504" spans="1:12" x14ac:dyDescent="0.7">
      <c r="A504" s="3">
        <v>501</v>
      </c>
      <c r="D504" s="49" t="str">
        <f t="shared" si="31"/>
        <v>798592</v>
      </c>
      <c r="E504" s="14" t="str">
        <f>IFERROR(VLOOKUP($A504,TT,10,FALSE),"")</f>
        <v/>
      </c>
      <c r="F504" s="48" t="str" cm="1">
        <f t="array" ref="F504">IFERROR([1]!FeetConvert(E504),"")</f>
        <v/>
      </c>
      <c r="H504" s="29" t="str">
        <f>IFERROR(VLOOKUP(A504,T,1,FALSE),"")</f>
        <v/>
      </c>
      <c r="I504" s="29" t="str">
        <f t="shared" si="29"/>
        <v/>
      </c>
      <c r="J504" s="29" t="str">
        <f t="shared" si="30"/>
        <v/>
      </c>
      <c r="K504" s="29" t="str" cm="1">
        <f t="array" ref="K504">IFERROR([2]!CalculateHyphenString(J504),"")</f>
        <v/>
      </c>
      <c r="L504">
        <f t="shared" si="32"/>
        <v>798592</v>
      </c>
    </row>
    <row r="505" spans="1:12" x14ac:dyDescent="0.7">
      <c r="A505" s="3">
        <v>502</v>
      </c>
      <c r="D505" s="49" t="str">
        <f t="shared" si="31"/>
        <v>798592</v>
      </c>
      <c r="E505" s="14" t="str">
        <f>IFERROR(VLOOKUP($A505,TT,10,FALSE),"")</f>
        <v/>
      </c>
      <c r="F505" s="48" t="str" cm="1">
        <f t="array" ref="F505">IFERROR([1]!FeetConvert(E505),"")</f>
        <v/>
      </c>
      <c r="H505" s="29" t="str">
        <f>IFERROR(VLOOKUP(A505,T,1,FALSE),"")</f>
        <v/>
      </c>
      <c r="I505" s="29" t="str">
        <f t="shared" si="29"/>
        <v/>
      </c>
      <c r="J505" s="29" t="str">
        <f t="shared" si="30"/>
        <v/>
      </c>
      <c r="K505" s="29" t="str" cm="1">
        <f t="array" ref="K505">IFERROR([2]!CalculateHyphenString(J505),"")</f>
        <v/>
      </c>
      <c r="L505">
        <f t="shared" si="32"/>
        <v>798592</v>
      </c>
    </row>
    <row r="506" spans="1:12" x14ac:dyDescent="0.7">
      <c r="A506" s="3">
        <v>503</v>
      </c>
      <c r="D506" s="49" t="str">
        <f t="shared" si="31"/>
        <v>798592</v>
      </c>
      <c r="E506" s="14" t="str">
        <f>IFERROR(VLOOKUP($A506,TT,10,FALSE),"")</f>
        <v/>
      </c>
      <c r="F506" s="48" t="str" cm="1">
        <f t="array" ref="F506">IFERROR([1]!FeetConvert(E506),"")</f>
        <v/>
      </c>
      <c r="H506" s="29" t="str">
        <f>IFERROR(VLOOKUP(A506,T,1,FALSE),"")</f>
        <v/>
      </c>
      <c r="I506" s="29" t="str">
        <f t="shared" si="29"/>
        <v/>
      </c>
      <c r="J506" s="29" t="str">
        <f t="shared" si="30"/>
        <v/>
      </c>
      <c r="K506" s="29" t="str" cm="1">
        <f t="array" ref="K506">IFERROR([2]!CalculateHyphenString(J506),"")</f>
        <v/>
      </c>
      <c r="L506">
        <f t="shared" si="32"/>
        <v>798592</v>
      </c>
    </row>
    <row r="507" spans="1:12" x14ac:dyDescent="0.7">
      <c r="A507" s="3">
        <v>504</v>
      </c>
      <c r="D507" s="49" t="str">
        <f t="shared" si="31"/>
        <v>798592</v>
      </c>
      <c r="E507" s="14" t="str">
        <f>IFERROR(VLOOKUP($A507,TT,10,FALSE),"")</f>
        <v/>
      </c>
      <c r="F507" s="48" t="str" cm="1">
        <f t="array" ref="F507">IFERROR([1]!FeetConvert(E507),"")</f>
        <v/>
      </c>
      <c r="H507" s="29" t="str">
        <f>IFERROR(VLOOKUP(A507,T,1,FALSE),"")</f>
        <v/>
      </c>
      <c r="I507" s="29" t="str">
        <f t="shared" si="29"/>
        <v/>
      </c>
      <c r="J507" s="29" t="str">
        <f t="shared" si="30"/>
        <v/>
      </c>
      <c r="K507" s="29" t="str" cm="1">
        <f t="array" ref="K507">IFERROR([2]!CalculateHyphenString(J507),"")</f>
        <v/>
      </c>
      <c r="L507">
        <f t="shared" si="32"/>
        <v>798592</v>
      </c>
    </row>
    <row r="508" spans="1:12" x14ac:dyDescent="0.7">
      <c r="A508" s="3">
        <v>505</v>
      </c>
      <c r="D508" s="49" t="str">
        <f t="shared" si="31"/>
        <v>798592</v>
      </c>
      <c r="E508" s="14" t="str">
        <f>IFERROR(VLOOKUP($A508,TT,10,FALSE),"")</f>
        <v/>
      </c>
      <c r="F508" s="48" t="str" cm="1">
        <f t="array" ref="F508">IFERROR([1]!FeetConvert(E508),"")</f>
        <v/>
      </c>
      <c r="H508" s="29" t="str">
        <f>IFERROR(VLOOKUP(A508,T,1,FALSE),"")</f>
        <v/>
      </c>
      <c r="I508" s="29" t="str">
        <f t="shared" si="29"/>
        <v/>
      </c>
      <c r="J508" s="29" t="str">
        <f t="shared" si="30"/>
        <v/>
      </c>
      <c r="K508" s="29" t="str" cm="1">
        <f t="array" ref="K508">IFERROR([2]!CalculateHyphenString(J508),"")</f>
        <v/>
      </c>
      <c r="L508">
        <f t="shared" si="32"/>
        <v>798592</v>
      </c>
    </row>
    <row r="509" spans="1:12" x14ac:dyDescent="0.7">
      <c r="A509" s="3">
        <v>506</v>
      </c>
      <c r="D509" s="49" t="str">
        <f t="shared" si="31"/>
        <v>798592</v>
      </c>
      <c r="E509" s="14" t="str">
        <f>IFERROR(VLOOKUP($A509,TT,10,FALSE),"")</f>
        <v/>
      </c>
      <c r="F509" s="48" t="str" cm="1">
        <f t="array" ref="F509">IFERROR([1]!FeetConvert(E509),"")</f>
        <v/>
      </c>
      <c r="H509" s="29" t="str">
        <f>IFERROR(VLOOKUP(A509,T,1,FALSE),"")</f>
        <v/>
      </c>
      <c r="I509" s="29" t="str">
        <f t="shared" si="29"/>
        <v/>
      </c>
      <c r="J509" s="29" t="str">
        <f t="shared" si="30"/>
        <v/>
      </c>
      <c r="K509" s="29" t="str" cm="1">
        <f t="array" ref="K509">IFERROR([2]!CalculateHyphenString(J509),"")</f>
        <v/>
      </c>
      <c r="L509">
        <f t="shared" si="32"/>
        <v>798592</v>
      </c>
    </row>
    <row r="510" spans="1:12" x14ac:dyDescent="0.7">
      <c r="A510" s="3">
        <v>507</v>
      </c>
      <c r="D510" s="49" t="str">
        <f t="shared" si="31"/>
        <v>798592</v>
      </c>
      <c r="E510" s="14" t="str">
        <f>IFERROR(VLOOKUP($A510,TT,10,FALSE),"")</f>
        <v/>
      </c>
      <c r="F510" s="48" t="str" cm="1">
        <f t="array" ref="F510">IFERROR([1]!FeetConvert(E510),"")</f>
        <v/>
      </c>
      <c r="H510" s="29" t="str">
        <f>IFERROR(VLOOKUP(A510,T,1,FALSE),"")</f>
        <v/>
      </c>
      <c r="I510" s="29" t="str">
        <f t="shared" si="29"/>
        <v/>
      </c>
      <c r="J510" s="29" t="str">
        <f t="shared" si="30"/>
        <v/>
      </c>
      <c r="K510" s="29" t="str" cm="1">
        <f t="array" ref="K510">IFERROR([2]!CalculateHyphenString(J510),"")</f>
        <v/>
      </c>
      <c r="L510">
        <f t="shared" si="32"/>
        <v>798592</v>
      </c>
    </row>
    <row r="511" spans="1:12" x14ac:dyDescent="0.7">
      <c r="A511" s="3">
        <v>508</v>
      </c>
      <c r="D511" s="49" t="str">
        <f t="shared" si="31"/>
        <v>798592</v>
      </c>
      <c r="E511" s="14" t="str">
        <f>IFERROR(VLOOKUP($A511,TT,10,FALSE),"")</f>
        <v/>
      </c>
      <c r="F511" s="48" t="str" cm="1">
        <f t="array" ref="F511">IFERROR([1]!FeetConvert(E511),"")</f>
        <v/>
      </c>
      <c r="H511" s="29" t="str">
        <f>IFERROR(VLOOKUP(A511,T,1,FALSE),"")</f>
        <v/>
      </c>
      <c r="I511" s="29" t="str">
        <f t="shared" si="29"/>
        <v/>
      </c>
      <c r="J511" s="29" t="str">
        <f t="shared" si="30"/>
        <v/>
      </c>
      <c r="K511" s="29" t="str" cm="1">
        <f t="array" ref="K511">IFERROR([2]!CalculateHyphenString(J511),"")</f>
        <v/>
      </c>
      <c r="L511">
        <f t="shared" si="32"/>
        <v>798592</v>
      </c>
    </row>
    <row r="512" spans="1:12" x14ac:dyDescent="0.7">
      <c r="A512" s="3">
        <v>509</v>
      </c>
      <c r="D512" s="49" t="str">
        <f t="shared" si="31"/>
        <v>798592</v>
      </c>
      <c r="E512" s="14" t="str">
        <f>IFERROR(VLOOKUP($A512,TT,10,FALSE),"")</f>
        <v/>
      </c>
      <c r="F512" s="48" t="str" cm="1">
        <f t="array" ref="F512">IFERROR([1]!FeetConvert(E512),"")</f>
        <v/>
      </c>
      <c r="H512" s="29" t="str">
        <f>IFERROR(VLOOKUP(A512,T,1,FALSE),"")</f>
        <v/>
      </c>
      <c r="I512" s="29" t="str">
        <f t="shared" si="29"/>
        <v/>
      </c>
      <c r="J512" s="29" t="str">
        <f t="shared" si="30"/>
        <v/>
      </c>
      <c r="K512" s="29" t="str" cm="1">
        <f t="array" ref="K512">IFERROR([2]!CalculateHyphenString(J512),"")</f>
        <v/>
      </c>
      <c r="L512">
        <f t="shared" si="32"/>
        <v>798592</v>
      </c>
    </row>
    <row r="513" spans="1:12" x14ac:dyDescent="0.7">
      <c r="A513" s="3">
        <v>510</v>
      </c>
      <c r="D513" s="49" t="str">
        <f t="shared" si="31"/>
        <v>798592</v>
      </c>
      <c r="E513" s="14" t="str">
        <f>IFERROR(VLOOKUP($A513,TT,10,FALSE),"")</f>
        <v/>
      </c>
      <c r="F513" s="48" t="str" cm="1">
        <f t="array" ref="F513">IFERROR([1]!FeetConvert(E513),"")</f>
        <v/>
      </c>
      <c r="H513" s="29" t="str">
        <f>IFERROR(VLOOKUP(A513,T,1,FALSE),"")</f>
        <v/>
      </c>
      <c r="I513" s="29" t="str">
        <f t="shared" si="29"/>
        <v/>
      </c>
      <c r="J513" s="29" t="str">
        <f t="shared" si="30"/>
        <v/>
      </c>
      <c r="K513" s="29" t="str" cm="1">
        <f t="array" ref="K513">IFERROR([2]!CalculateHyphenString(J513),"")</f>
        <v/>
      </c>
      <c r="L513">
        <f t="shared" si="32"/>
        <v>798592</v>
      </c>
    </row>
    <row r="514" spans="1:12" x14ac:dyDescent="0.7">
      <c r="A514" s="3">
        <v>511</v>
      </c>
      <c r="D514" s="49" t="str">
        <f t="shared" si="31"/>
        <v>798592</v>
      </c>
      <c r="E514" s="14" t="str">
        <f>IFERROR(VLOOKUP($A514,TT,10,FALSE),"")</f>
        <v/>
      </c>
      <c r="F514" s="48" t="str" cm="1">
        <f t="array" ref="F514">IFERROR([1]!FeetConvert(E514),"")</f>
        <v/>
      </c>
      <c r="H514" s="29" t="str">
        <f>IFERROR(VLOOKUP(A514,T,1,FALSE),"")</f>
        <v/>
      </c>
      <c r="I514" s="29" t="str">
        <f t="shared" si="29"/>
        <v/>
      </c>
      <c r="J514" s="29" t="str">
        <f t="shared" si="30"/>
        <v/>
      </c>
      <c r="K514" s="29" t="str" cm="1">
        <f t="array" ref="K514">IFERROR([2]!CalculateHyphenString(J514),"")</f>
        <v/>
      </c>
      <c r="L514">
        <f t="shared" si="32"/>
        <v>798592</v>
      </c>
    </row>
    <row r="515" spans="1:12" x14ac:dyDescent="0.7">
      <c r="A515" s="3">
        <v>512</v>
      </c>
      <c r="D515" s="49" t="str">
        <f t="shared" si="31"/>
        <v>798592</v>
      </c>
      <c r="E515" s="14" t="str">
        <f>IFERROR(VLOOKUP($A515,TT,10,FALSE),"")</f>
        <v/>
      </c>
      <c r="F515" s="48" t="str" cm="1">
        <f t="array" ref="F515">IFERROR([1]!FeetConvert(E515),"")</f>
        <v/>
      </c>
      <c r="H515" s="29" t="str">
        <f>IFERROR(VLOOKUP(A515,T,1,FALSE),"")</f>
        <v/>
      </c>
      <c r="I515" s="29" t="str">
        <f t="shared" si="29"/>
        <v/>
      </c>
      <c r="J515" s="29" t="str">
        <f t="shared" si="30"/>
        <v/>
      </c>
      <c r="K515" s="29" t="str" cm="1">
        <f t="array" ref="K515">IFERROR([2]!CalculateHyphenString(J515),"")</f>
        <v/>
      </c>
      <c r="L515">
        <f t="shared" si="32"/>
        <v>798592</v>
      </c>
    </row>
    <row r="516" spans="1:12" x14ac:dyDescent="0.7">
      <c r="A516" s="3">
        <v>513</v>
      </c>
      <c r="D516" s="49" t="str">
        <f t="shared" si="31"/>
        <v>798592</v>
      </c>
      <c r="E516" s="14" t="str">
        <f>IFERROR(VLOOKUP($A516,TT,10,FALSE),"")</f>
        <v/>
      </c>
      <c r="F516" s="48" t="str" cm="1">
        <f t="array" ref="F516">IFERROR([1]!FeetConvert(E516),"")</f>
        <v/>
      </c>
      <c r="H516" s="29" t="str">
        <f>IFERROR(VLOOKUP(A516,T,1,FALSE),"")</f>
        <v/>
      </c>
      <c r="I516" s="29" t="str">
        <f t="shared" ref="I516:I525" si="33">IFERROR(VLOOKUP(A516,T,2,FALSE),"")</f>
        <v/>
      </c>
      <c r="J516" s="29" t="str">
        <f t="shared" ref="J516:J525" si="34">IFERROR(VLOOKUP(A516,T,3,FALSE),"")</f>
        <v/>
      </c>
      <c r="K516" s="29" t="str" cm="1">
        <f t="array" ref="K516">IFERROR([2]!CalculateHyphenString(J516),"")</f>
        <v/>
      </c>
      <c r="L516">
        <f t="shared" si="32"/>
        <v>798592</v>
      </c>
    </row>
    <row r="517" spans="1:12" x14ac:dyDescent="0.7">
      <c r="A517" s="3">
        <v>514</v>
      </c>
      <c r="D517" s="49" t="str">
        <f t="shared" ref="D517:D525" si="35">_xlfn.TEXTJOIN("/",TRUE,E517,L517)</f>
        <v>798592</v>
      </c>
      <c r="E517" s="14" t="str">
        <f>IFERROR(VLOOKUP($A517,TT,10,FALSE),"")</f>
        <v/>
      </c>
      <c r="F517" s="48" t="str" cm="1">
        <f t="array" ref="F517">IFERROR([1]!FeetConvert(E517),"")</f>
        <v/>
      </c>
      <c r="H517" s="29" t="str">
        <f>IFERROR(VLOOKUP(A517,T,1,FALSE),"")</f>
        <v/>
      </c>
      <c r="I517" s="29" t="str">
        <f t="shared" si="33"/>
        <v/>
      </c>
      <c r="J517" s="29" t="str">
        <f t="shared" si="34"/>
        <v/>
      </c>
      <c r="K517" s="29" t="str" cm="1">
        <f t="array" ref="K517">IFERROR([2]!CalculateHyphenString(J517),"")</f>
        <v/>
      </c>
      <c r="L517">
        <f t="shared" ref="L517:L525" si="36">$E$2</f>
        <v>798592</v>
      </c>
    </row>
    <row r="518" spans="1:12" x14ac:dyDescent="0.7">
      <c r="A518" s="3">
        <v>515</v>
      </c>
      <c r="D518" s="49" t="str">
        <f t="shared" si="35"/>
        <v>798592</v>
      </c>
      <c r="E518" s="14" t="str">
        <f>IFERROR(VLOOKUP($A518,TT,10,FALSE),"")</f>
        <v/>
      </c>
      <c r="F518" s="48" t="str" cm="1">
        <f t="array" ref="F518">IFERROR([1]!FeetConvert(E518),"")</f>
        <v/>
      </c>
      <c r="H518" s="29" t="str">
        <f>IFERROR(VLOOKUP(A518,T,1,FALSE),"")</f>
        <v/>
      </c>
      <c r="I518" s="29" t="str">
        <f t="shared" si="33"/>
        <v/>
      </c>
      <c r="J518" s="29" t="str">
        <f t="shared" si="34"/>
        <v/>
      </c>
      <c r="K518" s="29" t="str" cm="1">
        <f t="array" ref="K518">IFERROR([2]!CalculateHyphenString(J518),"")</f>
        <v/>
      </c>
      <c r="L518">
        <f t="shared" si="36"/>
        <v>798592</v>
      </c>
    </row>
    <row r="519" spans="1:12" x14ac:dyDescent="0.7">
      <c r="A519" s="3">
        <v>516</v>
      </c>
      <c r="D519" s="49" t="str">
        <f t="shared" si="35"/>
        <v>798592</v>
      </c>
      <c r="E519" s="14" t="str">
        <f>IFERROR(VLOOKUP($A519,TT,10,FALSE),"")</f>
        <v/>
      </c>
      <c r="F519" s="48" t="str" cm="1">
        <f t="array" ref="F519">IFERROR([1]!FeetConvert(E519),"")</f>
        <v/>
      </c>
      <c r="H519" s="29" t="str">
        <f>IFERROR(VLOOKUP(A519,T,1,FALSE),"")</f>
        <v/>
      </c>
      <c r="I519" s="29" t="str">
        <f t="shared" si="33"/>
        <v/>
      </c>
      <c r="J519" s="29" t="str">
        <f t="shared" si="34"/>
        <v/>
      </c>
      <c r="K519" s="29" t="str" cm="1">
        <f t="array" ref="K519">IFERROR([2]!CalculateHyphenString(J519),"")</f>
        <v/>
      </c>
      <c r="L519">
        <f t="shared" si="36"/>
        <v>798592</v>
      </c>
    </row>
    <row r="520" spans="1:12" x14ac:dyDescent="0.7">
      <c r="A520" s="3">
        <v>517</v>
      </c>
      <c r="D520" s="49" t="str">
        <f t="shared" si="35"/>
        <v>798592</v>
      </c>
      <c r="E520" s="14" t="str">
        <f>IFERROR(VLOOKUP($A520,TT,10,FALSE),"")</f>
        <v/>
      </c>
      <c r="F520" s="48" t="str" cm="1">
        <f t="array" ref="F520">IFERROR([1]!FeetConvert(E520),"")</f>
        <v/>
      </c>
      <c r="H520" s="29" t="str">
        <f>IFERROR(VLOOKUP(A520,T,1,FALSE),"")</f>
        <v/>
      </c>
      <c r="I520" s="29" t="str">
        <f t="shared" si="33"/>
        <v/>
      </c>
      <c r="J520" s="29" t="str">
        <f t="shared" si="34"/>
        <v/>
      </c>
      <c r="K520" s="29" t="str" cm="1">
        <f t="array" ref="K520">IFERROR([2]!CalculateHyphenString(J520),"")</f>
        <v/>
      </c>
      <c r="L520">
        <f t="shared" si="36"/>
        <v>798592</v>
      </c>
    </row>
    <row r="521" spans="1:12" x14ac:dyDescent="0.7">
      <c r="A521" s="3">
        <v>518</v>
      </c>
      <c r="D521" s="49" t="str">
        <f t="shared" si="35"/>
        <v>798592</v>
      </c>
      <c r="E521" s="14" t="str">
        <f>IFERROR(VLOOKUP($A521,TT,10,FALSE),"")</f>
        <v/>
      </c>
      <c r="F521" s="48" t="str" cm="1">
        <f t="array" ref="F521">IFERROR([1]!FeetConvert(E521),"")</f>
        <v/>
      </c>
      <c r="H521" s="29" t="str">
        <f>IFERROR(VLOOKUP(A521,T,1,FALSE),"")</f>
        <v/>
      </c>
      <c r="I521" s="29" t="str">
        <f t="shared" si="33"/>
        <v/>
      </c>
      <c r="J521" s="29" t="str">
        <f t="shared" si="34"/>
        <v/>
      </c>
      <c r="K521" s="29" t="str" cm="1">
        <f t="array" ref="K521">IFERROR([2]!CalculateHyphenString(J521),"")</f>
        <v/>
      </c>
      <c r="L521">
        <f t="shared" si="36"/>
        <v>798592</v>
      </c>
    </row>
    <row r="522" spans="1:12" x14ac:dyDescent="0.7">
      <c r="A522" s="3">
        <v>519</v>
      </c>
      <c r="D522" s="49" t="str">
        <f t="shared" si="35"/>
        <v>798592</v>
      </c>
      <c r="E522" s="14" t="str">
        <f>IFERROR(VLOOKUP($A522,TT,10,FALSE),"")</f>
        <v/>
      </c>
      <c r="F522" s="48" t="str" cm="1">
        <f t="array" ref="F522">IFERROR([1]!FeetConvert(E522),"")</f>
        <v/>
      </c>
      <c r="H522" s="29" t="str">
        <f>IFERROR(VLOOKUP(A522,T,1,FALSE),"")</f>
        <v/>
      </c>
      <c r="I522" s="29" t="str">
        <f t="shared" si="33"/>
        <v/>
      </c>
      <c r="J522" s="29" t="str">
        <f t="shared" si="34"/>
        <v/>
      </c>
      <c r="K522" s="29" t="str" cm="1">
        <f t="array" ref="K522">IFERROR([2]!CalculateHyphenString(J522),"")</f>
        <v/>
      </c>
      <c r="L522">
        <f t="shared" si="36"/>
        <v>798592</v>
      </c>
    </row>
    <row r="523" spans="1:12" x14ac:dyDescent="0.7">
      <c r="A523" s="3">
        <v>520</v>
      </c>
      <c r="D523" s="49" t="str">
        <f t="shared" si="35"/>
        <v>798592</v>
      </c>
      <c r="E523" s="14" t="str">
        <f>IFERROR(VLOOKUP($A523,TT,10,FALSE),"")</f>
        <v/>
      </c>
      <c r="F523" s="48" t="str" cm="1">
        <f t="array" ref="F523">IFERROR([1]!FeetConvert(E523),"")</f>
        <v/>
      </c>
      <c r="H523" s="29" t="str">
        <f>IFERROR(VLOOKUP(A523,T,1,FALSE),"")</f>
        <v/>
      </c>
      <c r="I523" s="29" t="str">
        <f t="shared" si="33"/>
        <v/>
      </c>
      <c r="J523" s="29" t="str">
        <f t="shared" si="34"/>
        <v/>
      </c>
      <c r="K523" s="29" t="str" cm="1">
        <f t="array" ref="K523">IFERROR([2]!CalculateHyphenString(J523),"")</f>
        <v/>
      </c>
      <c r="L523">
        <f t="shared" si="36"/>
        <v>798592</v>
      </c>
    </row>
    <row r="524" spans="1:12" x14ac:dyDescent="0.7">
      <c r="A524" s="3">
        <v>521</v>
      </c>
      <c r="D524" s="49" t="str">
        <f t="shared" si="35"/>
        <v>798592</v>
      </c>
      <c r="E524" s="14" t="str">
        <f>IFERROR(VLOOKUP($A524,TT,10,FALSE),"")</f>
        <v/>
      </c>
      <c r="F524" s="48" t="str" cm="1">
        <f t="array" ref="F524">IFERROR([1]!FeetConvert(E524),"")</f>
        <v/>
      </c>
      <c r="H524" s="29" t="str">
        <f>IFERROR(VLOOKUP(A524,T,1,FALSE),"")</f>
        <v/>
      </c>
      <c r="I524" s="29" t="str">
        <f t="shared" si="33"/>
        <v/>
      </c>
      <c r="J524" s="29" t="str">
        <f t="shared" si="34"/>
        <v/>
      </c>
      <c r="K524" s="29" t="str" cm="1">
        <f t="array" ref="K524">IFERROR([2]!CalculateHyphenString(J524),"")</f>
        <v/>
      </c>
      <c r="L524">
        <f t="shared" si="36"/>
        <v>798592</v>
      </c>
    </row>
    <row r="525" spans="1:12" x14ac:dyDescent="0.7">
      <c r="A525" s="3">
        <v>522</v>
      </c>
      <c r="D525" s="49" t="str">
        <f t="shared" si="35"/>
        <v>798592</v>
      </c>
      <c r="E525" s="14" t="str">
        <f>IFERROR(VLOOKUP($A525,TT,10,FALSE),"")</f>
        <v/>
      </c>
      <c r="F525" s="48" t="str" cm="1">
        <f t="array" ref="F525">IFERROR([1]!FeetConvert(E525),"")</f>
        <v/>
      </c>
      <c r="H525" s="29" t="str">
        <f>IFERROR(VLOOKUP(A525,T,1,FALSE),"")</f>
        <v/>
      </c>
      <c r="I525" s="29" t="str">
        <f t="shared" si="33"/>
        <v/>
      </c>
      <c r="J525" s="29" t="str">
        <f t="shared" si="34"/>
        <v/>
      </c>
      <c r="K525" s="29" t="str" cm="1">
        <f t="array" ref="K525">IFERROR([2]!CalculateHyphenString(J525),"")</f>
        <v/>
      </c>
      <c r="L525">
        <f t="shared" si="36"/>
        <v>798592</v>
      </c>
    </row>
    <row r="526" spans="1:12" x14ac:dyDescent="0.7">
      <c r="A526" s="3"/>
    </row>
    <row r="527" spans="1:12" x14ac:dyDescent="0.7">
      <c r="A527" s="3"/>
    </row>
    <row r="528" spans="1:12" x14ac:dyDescent="0.7">
      <c r="A528" s="3"/>
    </row>
    <row r="529" spans="1:1" x14ac:dyDescent="0.7">
      <c r="A529" s="3"/>
    </row>
    <row r="530" spans="1:1" x14ac:dyDescent="0.7">
      <c r="A530" s="3"/>
    </row>
    <row r="531" spans="1:1" x14ac:dyDescent="0.7">
      <c r="A531" s="3"/>
    </row>
    <row r="532" spans="1:1" x14ac:dyDescent="0.7">
      <c r="A532" s="3"/>
    </row>
    <row r="533" spans="1:1" x14ac:dyDescent="0.7">
      <c r="A533" s="3"/>
    </row>
    <row r="534" spans="1:1" x14ac:dyDescent="0.7">
      <c r="A534" s="3"/>
    </row>
    <row r="535" spans="1:1" x14ac:dyDescent="0.7">
      <c r="A535" s="3"/>
    </row>
    <row r="536" spans="1:1" x14ac:dyDescent="0.7">
      <c r="A536" s="3"/>
    </row>
    <row r="537" spans="1:1" x14ac:dyDescent="0.7">
      <c r="A537" s="3"/>
    </row>
    <row r="538" spans="1:1" x14ac:dyDescent="0.7">
      <c r="A538" s="3"/>
    </row>
    <row r="539" spans="1:1" x14ac:dyDescent="0.7">
      <c r="A539" s="3"/>
    </row>
    <row r="540" spans="1:1" x14ac:dyDescent="0.7">
      <c r="A540" s="3"/>
    </row>
    <row r="541" spans="1:1" x14ac:dyDescent="0.7">
      <c r="A541" s="3"/>
    </row>
    <row r="542" spans="1:1" x14ac:dyDescent="0.7">
      <c r="A542" s="3"/>
    </row>
    <row r="543" spans="1:1" x14ac:dyDescent="0.7">
      <c r="A543" s="3"/>
    </row>
    <row r="544" spans="1:1" x14ac:dyDescent="0.7">
      <c r="A544" s="3"/>
    </row>
    <row r="545" spans="1:1" x14ac:dyDescent="0.7">
      <c r="A545" s="3"/>
    </row>
    <row r="546" spans="1:1" x14ac:dyDescent="0.7">
      <c r="A546" s="3"/>
    </row>
    <row r="547" spans="1:1" x14ac:dyDescent="0.7">
      <c r="A547" s="3"/>
    </row>
    <row r="548" spans="1:1" x14ac:dyDescent="0.7">
      <c r="A548" s="3"/>
    </row>
    <row r="549" spans="1:1" x14ac:dyDescent="0.7">
      <c r="A549" s="3"/>
    </row>
    <row r="550" spans="1:1" x14ac:dyDescent="0.7">
      <c r="A550" s="3"/>
    </row>
    <row r="551" spans="1:1" x14ac:dyDescent="0.7">
      <c r="A551" s="3"/>
    </row>
    <row r="552" spans="1:1" x14ac:dyDescent="0.7">
      <c r="A552" s="3"/>
    </row>
    <row r="553" spans="1:1" x14ac:dyDescent="0.7">
      <c r="A553" s="3"/>
    </row>
    <row r="554" spans="1:1" x14ac:dyDescent="0.7">
      <c r="A554" s="3"/>
    </row>
    <row r="555" spans="1:1" x14ac:dyDescent="0.7">
      <c r="A555" s="3"/>
    </row>
    <row r="556" spans="1:1" x14ac:dyDescent="0.7">
      <c r="A556" s="3"/>
    </row>
    <row r="557" spans="1:1" x14ac:dyDescent="0.7">
      <c r="A557" s="3"/>
    </row>
    <row r="558" spans="1:1" x14ac:dyDescent="0.7">
      <c r="A558" s="3"/>
    </row>
    <row r="559" spans="1:1" x14ac:dyDescent="0.7">
      <c r="A559" s="3"/>
    </row>
    <row r="560" spans="1:1" x14ac:dyDescent="0.7">
      <c r="A560" s="3"/>
    </row>
    <row r="561" spans="1:1" x14ac:dyDescent="0.7">
      <c r="A561" s="3"/>
    </row>
    <row r="562" spans="1:1" x14ac:dyDescent="0.7">
      <c r="A562" s="3"/>
    </row>
    <row r="563" spans="1:1" x14ac:dyDescent="0.7">
      <c r="A563" s="3"/>
    </row>
    <row r="564" spans="1:1" x14ac:dyDescent="0.7">
      <c r="A564" s="3"/>
    </row>
    <row r="565" spans="1:1" x14ac:dyDescent="0.7">
      <c r="A565" s="3"/>
    </row>
    <row r="566" spans="1:1" x14ac:dyDescent="0.7">
      <c r="A566" s="3"/>
    </row>
    <row r="567" spans="1:1" x14ac:dyDescent="0.7">
      <c r="A567" s="3"/>
    </row>
    <row r="568" spans="1:1" x14ac:dyDescent="0.7">
      <c r="A568" s="3"/>
    </row>
    <row r="569" spans="1:1" x14ac:dyDescent="0.7">
      <c r="A569" s="3"/>
    </row>
    <row r="570" spans="1:1" x14ac:dyDescent="0.7">
      <c r="A570" s="3"/>
    </row>
    <row r="571" spans="1:1" x14ac:dyDescent="0.7">
      <c r="A571" s="3"/>
    </row>
    <row r="572" spans="1:1" x14ac:dyDescent="0.7">
      <c r="A572" s="3"/>
    </row>
    <row r="573" spans="1:1" x14ac:dyDescent="0.7">
      <c r="A573" s="3"/>
    </row>
    <row r="574" spans="1:1" x14ac:dyDescent="0.7">
      <c r="A574" s="3"/>
    </row>
  </sheetData>
  <pageMargins left="0.25" right="0.25" top="0.75" bottom="0.75" header="0.3" footer="0.3"/>
  <pageSetup paperSize="9" scale="81" orientation="portrait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D6DD6-58D4-40A1-B4C4-EB5C6434EDE3}">
  <sheetPr codeName="Sheet2"/>
  <dimension ref="A1:T501"/>
  <sheetViews>
    <sheetView tabSelected="1" topLeftCell="A6" workbookViewId="0">
      <selection activeCell="F12" sqref="F12"/>
    </sheetView>
  </sheetViews>
  <sheetFormatPr defaultRowHeight="28.5" x14ac:dyDescent="0.7"/>
  <cols>
    <col min="1" max="1" width="3" bestFit="1" customWidth="1"/>
    <col min="2" max="2" width="10" bestFit="1" customWidth="1"/>
    <col min="3" max="3" width="9.109375" style="10" customWidth="1"/>
    <col min="4" max="4" width="9.44140625" bestFit="1" customWidth="1"/>
    <col min="5" max="5" width="16.21875" style="8" bestFit="1" customWidth="1"/>
    <col min="6" max="6" width="7" style="1" bestFit="1" customWidth="1"/>
    <col min="7" max="7" width="5.109375" style="7" bestFit="1" customWidth="1"/>
    <col min="9" max="9" width="3" style="7" bestFit="1" customWidth="1"/>
    <col min="10" max="10" width="18.44140625" bestFit="1" customWidth="1"/>
    <col min="11" max="12" width="5" style="34" bestFit="1" customWidth="1"/>
    <col min="14" max="14" width="8.88671875" style="1"/>
    <col min="15" max="18" width="8.88671875" style="7"/>
    <col min="19" max="19" width="9.33203125" style="9" bestFit="1" customWidth="1"/>
  </cols>
  <sheetData>
    <row r="1" spans="1:20" x14ac:dyDescent="0.7">
      <c r="A1" s="23"/>
      <c r="B1" s="23"/>
      <c r="C1" s="23"/>
      <c r="D1" s="23"/>
      <c r="E1" s="22" t="s">
        <v>8</v>
      </c>
      <c r="F1" s="22" t="s">
        <v>32</v>
      </c>
      <c r="G1" s="22" t="s">
        <v>9</v>
      </c>
      <c r="H1" s="22" t="s">
        <v>34</v>
      </c>
      <c r="I1" s="23"/>
      <c r="J1" s="26" t="s">
        <v>41</v>
      </c>
      <c r="K1" s="32"/>
      <c r="L1" s="32"/>
      <c r="M1" s="27">
        <v>1</v>
      </c>
      <c r="N1" s="27">
        <v>2</v>
      </c>
      <c r="O1" s="27">
        <f>M1*E2/N1</f>
        <v>399296</v>
      </c>
      <c r="P1" s="30" t="s">
        <v>46</v>
      </c>
      <c r="Q1" s="30">
        <v>5000</v>
      </c>
      <c r="R1" s="23" t="s">
        <v>47</v>
      </c>
      <c r="S1" s="30">
        <f>SUM(K4:K1048576)</f>
        <v>5000</v>
      </c>
      <c r="T1" s="30">
        <f>Q1-S1</f>
        <v>0</v>
      </c>
    </row>
    <row r="2" spans="1:20" x14ac:dyDescent="0.7">
      <c r="A2" s="23"/>
      <c r="B2" s="22" t="s">
        <v>29</v>
      </c>
      <c r="C2" s="7" t="str" cm="1">
        <f t="array" ref="C2">[1]!FeetConvert(D2)</f>
        <v>146-16-0</v>
      </c>
      <c r="D2" s="7">
        <f>SUM(D4:D1048576)</f>
        <v>798592</v>
      </c>
      <c r="E2" s="7">
        <v>798592</v>
      </c>
      <c r="F2" s="1">
        <f>E2-D2</f>
        <v>0</v>
      </c>
      <c r="G2" s="7">
        <f>F2*100/E2</f>
        <v>0</v>
      </c>
      <c r="H2" s="24" t="str">
        <f>IF(E2-R2=0,"Equal", "Not Equal")</f>
        <v>Equal</v>
      </c>
      <c r="I2" s="23"/>
      <c r="J2" s="26" t="s">
        <v>42</v>
      </c>
      <c r="K2" s="32"/>
      <c r="L2" s="32"/>
      <c r="M2" s="27">
        <v>1</v>
      </c>
      <c r="N2" s="27">
        <v>4</v>
      </c>
      <c r="O2" s="27">
        <v>268</v>
      </c>
      <c r="P2" s="27">
        <f>M2*O2/N2</f>
        <v>67</v>
      </c>
      <c r="Q2" s="23"/>
      <c r="R2" s="22">
        <f>IFERROR(SUM(R4:R1048576),"")</f>
        <v>798592</v>
      </c>
      <c r="S2" s="22" t="str" cm="1">
        <f t="array" ref="S2">IFERROR([1]!FeetConvert(R2),"")</f>
        <v>146-16-0</v>
      </c>
      <c r="T2" s="31">
        <f>SUM(T4:T500)</f>
        <v>798592</v>
      </c>
    </row>
    <row r="3" spans="1:20" s="41" customFormat="1" ht="51.75" x14ac:dyDescent="0.6">
      <c r="A3" s="37" t="s">
        <v>1</v>
      </c>
      <c r="B3" s="37" t="s">
        <v>19</v>
      </c>
      <c r="C3" s="37" t="s">
        <v>20</v>
      </c>
      <c r="D3" s="43" t="s">
        <v>21</v>
      </c>
      <c r="E3" s="38"/>
      <c r="F3" s="38"/>
      <c r="G3" s="38"/>
      <c r="H3" s="38"/>
      <c r="I3" s="39" t="s">
        <v>1</v>
      </c>
      <c r="J3" s="39" t="s">
        <v>30</v>
      </c>
      <c r="K3" s="40" t="s">
        <v>44</v>
      </c>
      <c r="L3" s="42" t="s">
        <v>45</v>
      </c>
      <c r="M3" s="43" t="s">
        <v>43</v>
      </c>
      <c r="N3" s="39" t="s">
        <v>31</v>
      </c>
      <c r="O3" s="43" t="s">
        <v>2</v>
      </c>
      <c r="P3" s="43" t="s">
        <v>3</v>
      </c>
      <c r="Q3" s="39" t="s">
        <v>33</v>
      </c>
      <c r="R3" s="43" t="s">
        <v>4</v>
      </c>
      <c r="S3" s="43" t="s">
        <v>18</v>
      </c>
      <c r="T3" s="43" t="s">
        <v>40</v>
      </c>
    </row>
    <row r="4" spans="1:20" x14ac:dyDescent="0.7">
      <c r="A4">
        <v>1</v>
      </c>
      <c r="B4">
        <v>1486</v>
      </c>
      <c r="C4" s="10" t="s">
        <v>22</v>
      </c>
      <c r="D4" s="46" cm="1">
        <f t="array" ref="D4">IFERROR([2]!CalculateHyphenString(C4),"")</f>
        <v>45696</v>
      </c>
      <c r="I4" s="7">
        <v>1</v>
      </c>
      <c r="J4" t="s">
        <v>12</v>
      </c>
      <c r="K4" s="36">
        <v>2076</v>
      </c>
      <c r="L4" s="36">
        <v>5000</v>
      </c>
      <c r="M4" s="44">
        <f>IFERROR(K4*$E$2/L4,"")</f>
        <v>331575.39840000001</v>
      </c>
      <c r="N4" s="36">
        <v>331575</v>
      </c>
      <c r="O4" s="44">
        <f>IFERROR(IF(ISBLANK(N4),"",N4*$G$2/100),"")</f>
        <v>0</v>
      </c>
      <c r="P4" s="44">
        <f>IFERROR(N4-O4,"")</f>
        <v>331575</v>
      </c>
      <c r="Q4" s="7">
        <v>-1</v>
      </c>
      <c r="R4" s="44">
        <f>IFERROR(P4-Q4,"")</f>
        <v>331576</v>
      </c>
      <c r="S4" s="44" t="str" cm="1">
        <f t="array" ref="S4">IFERROR([1]!FeetConvert(R4),"")</f>
        <v>60-19-8</v>
      </c>
      <c r="T4" s="44">
        <f>IFERROR(ROUND(R4,0),"")</f>
        <v>331576</v>
      </c>
    </row>
    <row r="5" spans="1:20" x14ac:dyDescent="0.7">
      <c r="A5">
        <v>2</v>
      </c>
      <c r="B5">
        <v>1494</v>
      </c>
      <c r="C5" s="10" t="s">
        <v>23</v>
      </c>
      <c r="D5" s="47" cm="1">
        <f t="array" ref="D5">IFERROR([2]!CalculateHyphenString(C5),"")</f>
        <v>35904</v>
      </c>
      <c r="I5" s="7">
        <v>2</v>
      </c>
      <c r="J5" t="s">
        <v>13</v>
      </c>
      <c r="K5" s="34">
        <v>1022</v>
      </c>
      <c r="L5" s="34">
        <v>5000</v>
      </c>
      <c r="M5" s="45">
        <f t="shared" ref="M5:M68" si="0">IFERROR(K5*$E$2/L5,"")</f>
        <v>163232.20480000001</v>
      </c>
      <c r="N5" s="1">
        <v>163232</v>
      </c>
      <c r="O5" s="45">
        <f t="shared" ref="O5:O68" si="1">IFERROR(IF(ISBLANK(N5),"",N5*$G$2/100),"")</f>
        <v>0</v>
      </c>
      <c r="P5" s="45">
        <f t="shared" ref="P5:P68" si="2">IFERROR(N5-O5,"")</f>
        <v>163232</v>
      </c>
      <c r="R5" s="45">
        <f t="shared" ref="R5:R68" si="3">IFERROR(P5-Q5,"")</f>
        <v>163232</v>
      </c>
      <c r="S5" s="45" t="str" cm="1">
        <f t="array" ref="S5">IFERROR([1]!FeetConvert(R5),"")</f>
        <v>30-0-32</v>
      </c>
      <c r="T5" s="45">
        <f t="shared" ref="T5:T68" si="4">IFERROR(ROUND(R5,0),"")</f>
        <v>163232</v>
      </c>
    </row>
    <row r="6" spans="1:20" x14ac:dyDescent="0.7">
      <c r="A6">
        <v>3</v>
      </c>
      <c r="B6">
        <v>1495</v>
      </c>
      <c r="C6" s="10" t="s">
        <v>24</v>
      </c>
      <c r="D6" s="47" cm="1">
        <f t="array" ref="D6">IFERROR([2]!CalculateHyphenString(C6),"")</f>
        <v>76432</v>
      </c>
      <c r="I6" s="7">
        <v>3</v>
      </c>
      <c r="J6" t="s">
        <v>14</v>
      </c>
      <c r="K6" s="34">
        <v>902</v>
      </c>
      <c r="L6" s="34">
        <v>5000</v>
      </c>
      <c r="M6" s="45">
        <f t="shared" si="0"/>
        <v>144065.99679999999</v>
      </c>
      <c r="N6" s="1">
        <v>144066</v>
      </c>
      <c r="O6" s="45">
        <f t="shared" si="1"/>
        <v>0</v>
      </c>
      <c r="P6" s="45">
        <f t="shared" si="2"/>
        <v>144066</v>
      </c>
      <c r="R6" s="45">
        <f t="shared" si="3"/>
        <v>144066</v>
      </c>
      <c r="S6" s="45" t="str" cm="1">
        <f t="array" ref="S6">IFERROR([1]!FeetConvert(R6),"")</f>
        <v>26-9-178</v>
      </c>
      <c r="T6" s="45">
        <f t="shared" si="4"/>
        <v>144066</v>
      </c>
    </row>
    <row r="7" spans="1:20" x14ac:dyDescent="0.7">
      <c r="A7">
        <v>4</v>
      </c>
      <c r="B7">
        <v>1496</v>
      </c>
      <c r="C7" s="10" t="s">
        <v>25</v>
      </c>
      <c r="D7" s="47" cm="1">
        <f t="array" ref="D7">IFERROR([2]!CalculateHyphenString(C7),"")</f>
        <v>280704</v>
      </c>
      <c r="I7" s="7">
        <v>4</v>
      </c>
      <c r="J7" t="s">
        <v>15</v>
      </c>
      <c r="K7" s="34">
        <v>420</v>
      </c>
      <c r="L7" s="34">
        <v>5000</v>
      </c>
      <c r="M7" s="45">
        <f t="shared" si="0"/>
        <v>67081.728000000003</v>
      </c>
      <c r="N7" s="1">
        <v>67082</v>
      </c>
      <c r="O7" s="45">
        <f t="shared" si="1"/>
        <v>0</v>
      </c>
      <c r="P7" s="45">
        <f t="shared" si="2"/>
        <v>67082</v>
      </c>
      <c r="R7" s="45">
        <f t="shared" si="3"/>
        <v>67082</v>
      </c>
      <c r="S7" s="45" t="str" cm="1">
        <f t="array" ref="S7">IFERROR([1]!FeetConvert(R7),"")</f>
        <v>12-6-170</v>
      </c>
      <c r="T7" s="45">
        <f t="shared" si="4"/>
        <v>67082</v>
      </c>
    </row>
    <row r="8" spans="1:20" x14ac:dyDescent="0.7">
      <c r="A8">
        <v>5</v>
      </c>
      <c r="B8">
        <v>1497</v>
      </c>
      <c r="C8" s="10" t="s">
        <v>26</v>
      </c>
      <c r="D8" s="47" cm="1">
        <f t="array" ref="D8">IFERROR([2]!CalculateHyphenString(C8),"")</f>
        <v>123216</v>
      </c>
      <c r="I8" s="7">
        <v>5</v>
      </c>
      <c r="J8" t="s">
        <v>16</v>
      </c>
      <c r="K8" s="34">
        <v>120</v>
      </c>
      <c r="L8" s="34">
        <v>5000</v>
      </c>
      <c r="M8" s="45">
        <f t="shared" si="0"/>
        <v>19166.207999999999</v>
      </c>
      <c r="N8" s="1">
        <v>19166</v>
      </c>
      <c r="O8" s="45">
        <f t="shared" si="1"/>
        <v>0</v>
      </c>
      <c r="P8" s="45">
        <f t="shared" si="2"/>
        <v>19166</v>
      </c>
      <c r="R8" s="45">
        <f t="shared" si="3"/>
        <v>19166</v>
      </c>
      <c r="S8" s="45" t="str" cm="1">
        <f t="array" ref="S8">IFERROR([1]!FeetConvert(R8),"")</f>
        <v>3-10-126</v>
      </c>
      <c r="T8" s="45">
        <f t="shared" si="4"/>
        <v>19166</v>
      </c>
    </row>
    <row r="9" spans="1:20" x14ac:dyDescent="0.7">
      <c r="A9">
        <v>6</v>
      </c>
      <c r="B9">
        <v>1500</v>
      </c>
      <c r="C9" s="10" t="s">
        <v>27</v>
      </c>
      <c r="D9" s="47" cm="1">
        <f t="array" ref="D9">IFERROR([2]!CalculateHyphenString(C9),"")</f>
        <v>16592</v>
      </c>
      <c r="I9" s="7">
        <v>6</v>
      </c>
      <c r="J9" t="s">
        <v>17</v>
      </c>
      <c r="K9" s="34">
        <v>460</v>
      </c>
      <c r="L9" s="34">
        <v>5000</v>
      </c>
      <c r="M9" s="45">
        <f t="shared" si="0"/>
        <v>73470.464000000007</v>
      </c>
      <c r="N9" s="1">
        <v>73470</v>
      </c>
      <c r="O9" s="45">
        <f t="shared" si="1"/>
        <v>0</v>
      </c>
      <c r="P9" s="45">
        <f t="shared" si="2"/>
        <v>73470</v>
      </c>
      <c r="R9" s="45">
        <f t="shared" si="3"/>
        <v>73470</v>
      </c>
      <c r="S9" s="45" t="str" cm="1">
        <f t="array" ref="S9">IFERROR([1]!FeetConvert(R9),"")</f>
        <v>13-10-30</v>
      </c>
      <c r="T9" s="45">
        <f t="shared" si="4"/>
        <v>73470</v>
      </c>
    </row>
    <row r="10" spans="1:20" x14ac:dyDescent="0.7">
      <c r="A10">
        <v>7</v>
      </c>
      <c r="B10">
        <v>1481</v>
      </c>
      <c r="C10" s="10" t="s">
        <v>28</v>
      </c>
      <c r="D10" s="47" cm="1">
        <f t="array" ref="D10">IFERROR([2]!CalculateHyphenString(C10),"")</f>
        <v>220048</v>
      </c>
      <c r="M10" s="45" t="str">
        <f t="shared" si="0"/>
        <v/>
      </c>
      <c r="N10" s="1" t="s">
        <v>39</v>
      </c>
      <c r="O10" s="45" t="str">
        <f t="shared" si="1"/>
        <v/>
      </c>
      <c r="P10" s="45" t="str">
        <f t="shared" si="2"/>
        <v/>
      </c>
      <c r="R10" s="45" t="str">
        <f t="shared" si="3"/>
        <v/>
      </c>
      <c r="S10" s="45" t="str" cm="1">
        <f t="array" ref="S10">IFERROR([1]!FeetConvert(R10),"")</f>
        <v/>
      </c>
      <c r="T10" s="45" t="str">
        <f t="shared" si="4"/>
        <v/>
      </c>
    </row>
    <row r="11" spans="1:20" x14ac:dyDescent="0.7">
      <c r="D11" s="47" t="str" cm="1">
        <f t="array" ref="D11">IFERROR([2]!CalculateHyphenString(C11),"")</f>
        <v/>
      </c>
      <c r="M11" s="45" t="str">
        <f t="shared" si="0"/>
        <v/>
      </c>
      <c r="N11" s="1" t="s">
        <v>39</v>
      </c>
      <c r="O11" s="45" t="str">
        <f t="shared" si="1"/>
        <v/>
      </c>
      <c r="P11" s="45" t="str">
        <f t="shared" si="2"/>
        <v/>
      </c>
      <c r="R11" s="45" t="str">
        <f t="shared" si="3"/>
        <v/>
      </c>
      <c r="S11" s="45" t="str" cm="1">
        <f t="array" ref="S11">IFERROR([1]!FeetConvert(R11),"")</f>
        <v/>
      </c>
      <c r="T11" s="45" t="str">
        <f t="shared" si="4"/>
        <v/>
      </c>
    </row>
    <row r="12" spans="1:20" x14ac:dyDescent="0.7">
      <c r="D12" s="47" t="str" cm="1">
        <f t="array" ref="D12">IFERROR([2]!CalculateHyphenString(C12),"")</f>
        <v/>
      </c>
      <c r="M12" s="45" t="str">
        <f t="shared" si="0"/>
        <v/>
      </c>
      <c r="N12" s="1" t="s">
        <v>39</v>
      </c>
      <c r="O12" s="45" t="str">
        <f t="shared" si="1"/>
        <v/>
      </c>
      <c r="P12" s="45" t="str">
        <f t="shared" si="2"/>
        <v/>
      </c>
      <c r="R12" s="45" t="str">
        <f t="shared" si="3"/>
        <v/>
      </c>
      <c r="S12" s="45" t="str" cm="1">
        <f t="array" ref="S12">IFERROR([1]!FeetConvert(R12),"")</f>
        <v/>
      </c>
      <c r="T12" s="45" t="str">
        <f t="shared" si="4"/>
        <v/>
      </c>
    </row>
    <row r="13" spans="1:20" x14ac:dyDescent="0.7">
      <c r="D13" s="47" t="str" cm="1">
        <f t="array" ref="D13">IFERROR([2]!CalculateHyphenString(C13),"")</f>
        <v/>
      </c>
      <c r="M13" s="45" t="str">
        <f t="shared" si="0"/>
        <v/>
      </c>
      <c r="N13" s="1" t="s">
        <v>39</v>
      </c>
      <c r="O13" s="45" t="str">
        <f t="shared" si="1"/>
        <v/>
      </c>
      <c r="P13" s="45" t="str">
        <f t="shared" si="2"/>
        <v/>
      </c>
      <c r="R13" s="45" t="str">
        <f t="shared" si="3"/>
        <v/>
      </c>
      <c r="S13" s="45" t="str" cm="1">
        <f t="array" ref="S13">IFERROR([1]!FeetConvert(R13),"")</f>
        <v/>
      </c>
      <c r="T13" s="45" t="str">
        <f t="shared" si="4"/>
        <v/>
      </c>
    </row>
    <row r="14" spans="1:20" x14ac:dyDescent="0.7">
      <c r="D14" s="47" t="str" cm="1">
        <f t="array" ref="D14">IFERROR([2]!CalculateHyphenString(C14),"")</f>
        <v/>
      </c>
      <c r="M14" s="45" t="str">
        <f t="shared" si="0"/>
        <v/>
      </c>
      <c r="N14" s="1" t="s">
        <v>39</v>
      </c>
      <c r="O14" s="45" t="str">
        <f t="shared" si="1"/>
        <v/>
      </c>
      <c r="P14" s="45" t="str">
        <f t="shared" si="2"/>
        <v/>
      </c>
      <c r="R14" s="45" t="str">
        <f t="shared" si="3"/>
        <v/>
      </c>
      <c r="S14" s="45" t="str" cm="1">
        <f t="array" ref="S14">IFERROR([1]!FeetConvert(R14),"")</f>
        <v/>
      </c>
      <c r="T14" s="45" t="str">
        <f t="shared" si="4"/>
        <v/>
      </c>
    </row>
    <row r="15" spans="1:20" x14ac:dyDescent="0.7">
      <c r="D15" s="47" t="str" cm="1">
        <f t="array" ref="D15">IFERROR([2]!CalculateHyphenString(C15),"")</f>
        <v/>
      </c>
      <c r="M15" s="45" t="str">
        <f t="shared" si="0"/>
        <v/>
      </c>
      <c r="N15" s="1" t="s">
        <v>39</v>
      </c>
      <c r="O15" s="45" t="str">
        <f t="shared" si="1"/>
        <v/>
      </c>
      <c r="P15" s="45" t="str">
        <f t="shared" si="2"/>
        <v/>
      </c>
      <c r="R15" s="45" t="str">
        <f t="shared" si="3"/>
        <v/>
      </c>
      <c r="S15" s="45" t="str" cm="1">
        <f t="array" ref="S15">IFERROR([1]!FeetConvert(R15),"")</f>
        <v/>
      </c>
      <c r="T15" s="45" t="str">
        <f t="shared" si="4"/>
        <v/>
      </c>
    </row>
    <row r="16" spans="1:20" x14ac:dyDescent="0.7">
      <c r="D16" s="47" t="str" cm="1">
        <f t="array" ref="D16">IFERROR([2]!CalculateHyphenString(C16),"")</f>
        <v/>
      </c>
      <c r="M16" s="45" t="str">
        <f t="shared" si="0"/>
        <v/>
      </c>
      <c r="N16" s="1" t="s">
        <v>39</v>
      </c>
      <c r="O16" s="45" t="str">
        <f t="shared" si="1"/>
        <v/>
      </c>
      <c r="P16" s="45" t="str">
        <f t="shared" si="2"/>
        <v/>
      </c>
      <c r="R16" s="45" t="str">
        <f t="shared" si="3"/>
        <v/>
      </c>
      <c r="S16" s="45" t="str" cm="1">
        <f t="array" ref="S16">IFERROR([1]!FeetConvert(R16),"")</f>
        <v/>
      </c>
      <c r="T16" s="45" t="str">
        <f t="shared" si="4"/>
        <v/>
      </c>
    </row>
    <row r="17" spans="4:20" x14ac:dyDescent="0.7">
      <c r="D17" s="47" t="str" cm="1">
        <f t="array" ref="D17">IFERROR([2]!CalculateHyphenString(C17),"")</f>
        <v/>
      </c>
      <c r="M17" s="45" t="str">
        <f t="shared" si="0"/>
        <v/>
      </c>
      <c r="N17" s="1" t="s">
        <v>39</v>
      </c>
      <c r="O17" s="45" t="str">
        <f t="shared" si="1"/>
        <v/>
      </c>
      <c r="P17" s="45" t="str">
        <f t="shared" si="2"/>
        <v/>
      </c>
      <c r="R17" s="45" t="str">
        <f t="shared" si="3"/>
        <v/>
      </c>
      <c r="S17" s="45" t="str" cm="1">
        <f t="array" ref="S17">IFERROR([1]!FeetConvert(R17),"")</f>
        <v/>
      </c>
      <c r="T17" s="45" t="str">
        <f t="shared" si="4"/>
        <v/>
      </c>
    </row>
    <row r="18" spans="4:20" x14ac:dyDescent="0.7">
      <c r="D18" s="47" t="str" cm="1">
        <f t="array" ref="D18">IFERROR([2]!CalculateHyphenString(C18),"")</f>
        <v/>
      </c>
      <c r="M18" s="45" t="str">
        <f t="shared" si="0"/>
        <v/>
      </c>
      <c r="N18" s="1" t="s">
        <v>39</v>
      </c>
      <c r="O18" s="45" t="str">
        <f t="shared" si="1"/>
        <v/>
      </c>
      <c r="P18" s="45" t="str">
        <f t="shared" si="2"/>
        <v/>
      </c>
      <c r="R18" s="45" t="str">
        <f t="shared" si="3"/>
        <v/>
      </c>
      <c r="S18" s="45" t="str" cm="1">
        <f t="array" ref="S18">IFERROR([1]!FeetConvert(R18),"")</f>
        <v/>
      </c>
      <c r="T18" s="45" t="str">
        <f t="shared" si="4"/>
        <v/>
      </c>
    </row>
    <row r="19" spans="4:20" x14ac:dyDescent="0.7">
      <c r="D19" s="47" t="str" cm="1">
        <f t="array" ref="D19">IFERROR([2]!CalculateHyphenString(C19),"")</f>
        <v/>
      </c>
      <c r="M19" s="45" t="str">
        <f t="shared" si="0"/>
        <v/>
      </c>
      <c r="N19" s="1" t="s">
        <v>39</v>
      </c>
      <c r="O19" s="45" t="str">
        <f t="shared" si="1"/>
        <v/>
      </c>
      <c r="P19" s="45" t="str">
        <f t="shared" si="2"/>
        <v/>
      </c>
      <c r="R19" s="45" t="str">
        <f t="shared" si="3"/>
        <v/>
      </c>
      <c r="S19" s="45" t="str" cm="1">
        <f t="array" ref="S19">IFERROR([1]!FeetConvert(R19),"")</f>
        <v/>
      </c>
      <c r="T19" s="45" t="str">
        <f t="shared" si="4"/>
        <v/>
      </c>
    </row>
    <row r="20" spans="4:20" x14ac:dyDescent="0.7">
      <c r="D20" s="47" t="str" cm="1">
        <f t="array" ref="D20">IFERROR([2]!CalculateHyphenString(C20),"")</f>
        <v/>
      </c>
      <c r="M20" s="45" t="str">
        <f t="shared" si="0"/>
        <v/>
      </c>
      <c r="N20" s="1" t="s">
        <v>39</v>
      </c>
      <c r="O20" s="45" t="str">
        <f t="shared" si="1"/>
        <v/>
      </c>
      <c r="P20" s="45" t="str">
        <f t="shared" si="2"/>
        <v/>
      </c>
      <c r="R20" s="45" t="str">
        <f t="shared" si="3"/>
        <v/>
      </c>
      <c r="S20" s="45" t="str" cm="1">
        <f t="array" ref="S20">IFERROR([1]!FeetConvert(R20),"")</f>
        <v/>
      </c>
      <c r="T20" s="45" t="str">
        <f t="shared" si="4"/>
        <v/>
      </c>
    </row>
    <row r="21" spans="4:20" x14ac:dyDescent="0.7">
      <c r="D21" s="47" t="str" cm="1">
        <f t="array" ref="D21">IFERROR([2]!CalculateHyphenString(C21),"")</f>
        <v/>
      </c>
      <c r="M21" s="45" t="str">
        <f t="shared" si="0"/>
        <v/>
      </c>
      <c r="N21" s="1" t="s">
        <v>39</v>
      </c>
      <c r="O21" s="45" t="str">
        <f t="shared" si="1"/>
        <v/>
      </c>
      <c r="P21" s="45" t="str">
        <f t="shared" si="2"/>
        <v/>
      </c>
      <c r="R21" s="45" t="str">
        <f t="shared" si="3"/>
        <v/>
      </c>
      <c r="S21" s="45" t="str" cm="1">
        <f t="array" ref="S21">IFERROR([1]!FeetConvert(R21),"")</f>
        <v/>
      </c>
      <c r="T21" s="45" t="str">
        <f t="shared" si="4"/>
        <v/>
      </c>
    </row>
    <row r="22" spans="4:20" x14ac:dyDescent="0.7">
      <c r="D22" s="47" t="str" cm="1">
        <f t="array" ref="D22">IFERROR([2]!CalculateHyphenString(C22),"")</f>
        <v/>
      </c>
      <c r="M22" s="45" t="str">
        <f t="shared" si="0"/>
        <v/>
      </c>
      <c r="N22" s="1" t="s">
        <v>39</v>
      </c>
      <c r="O22" s="45" t="str">
        <f t="shared" si="1"/>
        <v/>
      </c>
      <c r="P22" s="45" t="str">
        <f t="shared" si="2"/>
        <v/>
      </c>
      <c r="R22" s="45" t="str">
        <f t="shared" si="3"/>
        <v/>
      </c>
      <c r="S22" s="45" t="str" cm="1">
        <f t="array" ref="S22">IFERROR([1]!FeetConvert(R22),"")</f>
        <v/>
      </c>
      <c r="T22" s="45" t="str">
        <f t="shared" si="4"/>
        <v/>
      </c>
    </row>
    <row r="23" spans="4:20" x14ac:dyDescent="0.7">
      <c r="D23" s="47" t="str" cm="1">
        <f t="array" ref="D23">IFERROR([2]!CalculateHyphenString(C23),"")</f>
        <v/>
      </c>
      <c r="M23" s="45" t="str">
        <f t="shared" si="0"/>
        <v/>
      </c>
      <c r="N23" s="1" t="s">
        <v>39</v>
      </c>
      <c r="O23" s="45" t="str">
        <f t="shared" si="1"/>
        <v/>
      </c>
      <c r="P23" s="45" t="str">
        <f t="shared" si="2"/>
        <v/>
      </c>
      <c r="R23" s="45" t="str">
        <f t="shared" si="3"/>
        <v/>
      </c>
      <c r="S23" s="45" t="str" cm="1">
        <f t="array" ref="S23">IFERROR([1]!FeetConvert(R23),"")</f>
        <v/>
      </c>
      <c r="T23" s="45" t="str">
        <f t="shared" si="4"/>
        <v/>
      </c>
    </row>
    <row r="24" spans="4:20" x14ac:dyDescent="0.7">
      <c r="D24" s="47" t="str" cm="1">
        <f t="array" ref="D24">IFERROR([2]!CalculateHyphenString(C24),"")</f>
        <v/>
      </c>
      <c r="M24" s="45" t="str">
        <f t="shared" si="0"/>
        <v/>
      </c>
      <c r="N24" s="1" t="s">
        <v>39</v>
      </c>
      <c r="O24" s="45" t="str">
        <f t="shared" si="1"/>
        <v/>
      </c>
      <c r="P24" s="45" t="str">
        <f t="shared" si="2"/>
        <v/>
      </c>
      <c r="R24" s="45" t="str">
        <f t="shared" si="3"/>
        <v/>
      </c>
      <c r="S24" s="45" t="str" cm="1">
        <f t="array" ref="S24">IFERROR([1]!FeetConvert(R24),"")</f>
        <v/>
      </c>
      <c r="T24" s="45" t="str">
        <f t="shared" si="4"/>
        <v/>
      </c>
    </row>
    <row r="25" spans="4:20" x14ac:dyDescent="0.7">
      <c r="D25" s="47" t="str" cm="1">
        <f t="array" ref="D25">IFERROR([2]!CalculateHyphenString(C25),"")</f>
        <v/>
      </c>
      <c r="M25" s="45" t="str">
        <f t="shared" si="0"/>
        <v/>
      </c>
      <c r="N25" s="1" t="s">
        <v>39</v>
      </c>
      <c r="O25" s="45" t="str">
        <f t="shared" si="1"/>
        <v/>
      </c>
      <c r="P25" s="45" t="str">
        <f t="shared" si="2"/>
        <v/>
      </c>
      <c r="R25" s="45" t="str">
        <f t="shared" si="3"/>
        <v/>
      </c>
      <c r="S25" s="45" t="str" cm="1">
        <f t="array" ref="S25">IFERROR([1]!FeetConvert(R25),"")</f>
        <v/>
      </c>
      <c r="T25" s="45" t="str">
        <f t="shared" si="4"/>
        <v/>
      </c>
    </row>
    <row r="26" spans="4:20" x14ac:dyDescent="0.7">
      <c r="D26" s="47" t="str" cm="1">
        <f t="array" ref="D26">IFERROR([2]!CalculateHyphenString(C26),"")</f>
        <v/>
      </c>
      <c r="M26" s="45" t="str">
        <f t="shared" si="0"/>
        <v/>
      </c>
      <c r="N26" s="1" t="s">
        <v>39</v>
      </c>
      <c r="O26" s="45" t="str">
        <f t="shared" si="1"/>
        <v/>
      </c>
      <c r="P26" s="45" t="str">
        <f t="shared" si="2"/>
        <v/>
      </c>
      <c r="R26" s="45" t="str">
        <f t="shared" si="3"/>
        <v/>
      </c>
      <c r="S26" s="45" t="str" cm="1">
        <f t="array" ref="S26">IFERROR([1]!FeetConvert(R26),"")</f>
        <v/>
      </c>
      <c r="T26" s="45" t="str">
        <f t="shared" si="4"/>
        <v/>
      </c>
    </row>
    <row r="27" spans="4:20" x14ac:dyDescent="0.7">
      <c r="D27" s="47" t="str" cm="1">
        <f t="array" ref="D27">IFERROR([2]!CalculateHyphenString(C27),"")</f>
        <v/>
      </c>
      <c r="M27" s="45" t="str">
        <f t="shared" si="0"/>
        <v/>
      </c>
      <c r="N27" s="1" t="s">
        <v>39</v>
      </c>
      <c r="O27" s="45" t="str">
        <f t="shared" si="1"/>
        <v/>
      </c>
      <c r="P27" s="45" t="str">
        <f t="shared" si="2"/>
        <v/>
      </c>
      <c r="R27" s="45" t="str">
        <f t="shared" si="3"/>
        <v/>
      </c>
      <c r="S27" s="45" t="str" cm="1">
        <f t="array" ref="S27">IFERROR([1]!FeetConvert(R27),"")</f>
        <v/>
      </c>
      <c r="T27" s="45" t="str">
        <f t="shared" si="4"/>
        <v/>
      </c>
    </row>
    <row r="28" spans="4:20" x14ac:dyDescent="0.7">
      <c r="D28" s="47" t="str" cm="1">
        <f t="array" ref="D28">IFERROR([2]!CalculateHyphenString(C28),"")</f>
        <v/>
      </c>
      <c r="M28" s="45" t="str">
        <f t="shared" si="0"/>
        <v/>
      </c>
      <c r="N28" s="1" t="s">
        <v>39</v>
      </c>
      <c r="O28" s="45" t="str">
        <f t="shared" si="1"/>
        <v/>
      </c>
      <c r="P28" s="45" t="str">
        <f t="shared" si="2"/>
        <v/>
      </c>
      <c r="R28" s="45" t="str">
        <f t="shared" si="3"/>
        <v/>
      </c>
      <c r="S28" s="45" t="str" cm="1">
        <f t="array" ref="S28">IFERROR([1]!FeetConvert(R28),"")</f>
        <v/>
      </c>
      <c r="T28" s="45" t="str">
        <f t="shared" si="4"/>
        <v/>
      </c>
    </row>
    <row r="29" spans="4:20" x14ac:dyDescent="0.7">
      <c r="D29" s="47" t="str" cm="1">
        <f t="array" ref="D29">IFERROR([2]!CalculateHyphenString(C29),"")</f>
        <v/>
      </c>
      <c r="M29" s="45" t="str">
        <f t="shared" si="0"/>
        <v/>
      </c>
      <c r="N29" s="1" t="s">
        <v>39</v>
      </c>
      <c r="O29" s="45" t="str">
        <f t="shared" si="1"/>
        <v/>
      </c>
      <c r="P29" s="45" t="str">
        <f t="shared" si="2"/>
        <v/>
      </c>
      <c r="R29" s="45" t="str">
        <f t="shared" si="3"/>
        <v/>
      </c>
      <c r="S29" s="45" t="str" cm="1">
        <f t="array" ref="S29">IFERROR([1]!FeetConvert(R29),"")</f>
        <v/>
      </c>
      <c r="T29" s="45" t="str">
        <f t="shared" si="4"/>
        <v/>
      </c>
    </row>
    <row r="30" spans="4:20" x14ac:dyDescent="0.7">
      <c r="D30" s="47" t="str" cm="1">
        <f t="array" ref="D30">IFERROR([2]!CalculateHyphenString(C30),"")</f>
        <v/>
      </c>
      <c r="M30" s="45" t="str">
        <f t="shared" si="0"/>
        <v/>
      </c>
      <c r="N30" s="1" t="s">
        <v>39</v>
      </c>
      <c r="O30" s="45" t="str">
        <f t="shared" si="1"/>
        <v/>
      </c>
      <c r="P30" s="45" t="str">
        <f t="shared" si="2"/>
        <v/>
      </c>
      <c r="R30" s="45" t="str">
        <f t="shared" si="3"/>
        <v/>
      </c>
      <c r="S30" s="45" t="str" cm="1">
        <f t="array" ref="S30">IFERROR([1]!FeetConvert(R30),"")</f>
        <v/>
      </c>
      <c r="T30" s="45" t="str">
        <f t="shared" si="4"/>
        <v/>
      </c>
    </row>
    <row r="31" spans="4:20" x14ac:dyDescent="0.7">
      <c r="D31" s="47" t="str" cm="1">
        <f t="array" ref="D31">IFERROR([2]!CalculateHyphenString(C31),"")</f>
        <v/>
      </c>
      <c r="M31" s="45" t="str">
        <f t="shared" si="0"/>
        <v/>
      </c>
      <c r="N31" s="1" t="s">
        <v>39</v>
      </c>
      <c r="O31" s="45" t="str">
        <f t="shared" si="1"/>
        <v/>
      </c>
      <c r="P31" s="45" t="str">
        <f t="shared" si="2"/>
        <v/>
      </c>
      <c r="R31" s="45" t="str">
        <f t="shared" si="3"/>
        <v/>
      </c>
      <c r="S31" s="45" t="str" cm="1">
        <f t="array" ref="S31">IFERROR([1]!FeetConvert(R31),"")</f>
        <v/>
      </c>
      <c r="T31" s="45" t="str">
        <f t="shared" si="4"/>
        <v/>
      </c>
    </row>
    <row r="32" spans="4:20" x14ac:dyDescent="0.7">
      <c r="D32" s="47" t="str" cm="1">
        <f t="array" ref="D32">IFERROR([2]!CalculateHyphenString(C32),"")</f>
        <v/>
      </c>
      <c r="M32" s="45" t="str">
        <f t="shared" si="0"/>
        <v/>
      </c>
      <c r="N32" s="1" t="s">
        <v>39</v>
      </c>
      <c r="O32" s="45" t="str">
        <f t="shared" si="1"/>
        <v/>
      </c>
      <c r="P32" s="45" t="str">
        <f t="shared" si="2"/>
        <v/>
      </c>
      <c r="R32" s="45" t="str">
        <f t="shared" si="3"/>
        <v/>
      </c>
      <c r="S32" s="45" t="str" cm="1">
        <f t="array" ref="S32">IFERROR([1]!FeetConvert(R32),"")</f>
        <v/>
      </c>
      <c r="T32" s="45" t="str">
        <f t="shared" si="4"/>
        <v/>
      </c>
    </row>
    <row r="33" spans="4:20" x14ac:dyDescent="0.7">
      <c r="D33" s="47" t="str" cm="1">
        <f t="array" ref="D33">IFERROR([2]!CalculateHyphenString(C33),"")</f>
        <v/>
      </c>
      <c r="M33" s="45" t="str">
        <f t="shared" si="0"/>
        <v/>
      </c>
      <c r="N33" s="1" t="s">
        <v>39</v>
      </c>
      <c r="O33" s="45" t="str">
        <f t="shared" si="1"/>
        <v/>
      </c>
      <c r="P33" s="45" t="str">
        <f t="shared" si="2"/>
        <v/>
      </c>
      <c r="R33" s="45" t="str">
        <f t="shared" si="3"/>
        <v/>
      </c>
      <c r="S33" s="45" t="str" cm="1">
        <f t="array" ref="S33">IFERROR([1]!FeetConvert(R33),"")</f>
        <v/>
      </c>
      <c r="T33" s="45" t="str">
        <f t="shared" si="4"/>
        <v/>
      </c>
    </row>
    <row r="34" spans="4:20" x14ac:dyDescent="0.7">
      <c r="D34" s="47" t="str" cm="1">
        <f t="array" ref="D34">IFERROR([2]!CalculateHyphenString(C34),"")</f>
        <v/>
      </c>
      <c r="M34" s="45" t="str">
        <f t="shared" si="0"/>
        <v/>
      </c>
      <c r="N34" s="1" t="s">
        <v>39</v>
      </c>
      <c r="O34" s="45" t="str">
        <f t="shared" si="1"/>
        <v/>
      </c>
      <c r="P34" s="45" t="str">
        <f t="shared" si="2"/>
        <v/>
      </c>
      <c r="R34" s="45" t="str">
        <f t="shared" si="3"/>
        <v/>
      </c>
      <c r="S34" s="45" t="str" cm="1">
        <f t="array" ref="S34">IFERROR([1]!FeetConvert(R34),"")</f>
        <v/>
      </c>
      <c r="T34" s="45" t="str">
        <f t="shared" si="4"/>
        <v/>
      </c>
    </row>
    <row r="35" spans="4:20" x14ac:dyDescent="0.7">
      <c r="D35" s="47" t="str" cm="1">
        <f t="array" ref="D35">IFERROR([2]!CalculateHyphenString(C35),"")</f>
        <v/>
      </c>
      <c r="M35" s="45" t="str">
        <f t="shared" si="0"/>
        <v/>
      </c>
      <c r="N35" s="1" t="s">
        <v>39</v>
      </c>
      <c r="O35" s="45" t="str">
        <f t="shared" si="1"/>
        <v/>
      </c>
      <c r="P35" s="45" t="str">
        <f t="shared" si="2"/>
        <v/>
      </c>
      <c r="R35" s="45" t="str">
        <f t="shared" si="3"/>
        <v/>
      </c>
      <c r="S35" s="45" t="str" cm="1">
        <f t="array" ref="S35">IFERROR([1]!FeetConvert(R35),"")</f>
        <v/>
      </c>
      <c r="T35" s="45" t="str">
        <f t="shared" si="4"/>
        <v/>
      </c>
    </row>
    <row r="36" spans="4:20" x14ac:dyDescent="0.7">
      <c r="D36" s="47" t="str" cm="1">
        <f t="array" ref="D36">IFERROR([2]!CalculateHyphenString(C36),"")</f>
        <v/>
      </c>
      <c r="M36" s="45" t="str">
        <f t="shared" si="0"/>
        <v/>
      </c>
      <c r="N36" s="1" t="s">
        <v>39</v>
      </c>
      <c r="O36" s="45" t="str">
        <f t="shared" si="1"/>
        <v/>
      </c>
      <c r="P36" s="45" t="str">
        <f t="shared" si="2"/>
        <v/>
      </c>
      <c r="R36" s="45" t="str">
        <f t="shared" si="3"/>
        <v/>
      </c>
      <c r="S36" s="45" t="str" cm="1">
        <f t="array" ref="S36">IFERROR([1]!FeetConvert(R36),"")</f>
        <v/>
      </c>
      <c r="T36" s="45" t="str">
        <f t="shared" si="4"/>
        <v/>
      </c>
    </row>
    <row r="37" spans="4:20" x14ac:dyDescent="0.7">
      <c r="D37" s="47" t="str" cm="1">
        <f t="array" ref="D37">IFERROR([2]!CalculateHyphenString(C37),"")</f>
        <v/>
      </c>
      <c r="M37" s="45" t="str">
        <f t="shared" si="0"/>
        <v/>
      </c>
      <c r="N37" s="1" t="s">
        <v>39</v>
      </c>
      <c r="O37" s="45" t="str">
        <f t="shared" si="1"/>
        <v/>
      </c>
      <c r="P37" s="45" t="str">
        <f t="shared" si="2"/>
        <v/>
      </c>
      <c r="R37" s="45" t="str">
        <f t="shared" si="3"/>
        <v/>
      </c>
      <c r="S37" s="45" t="str" cm="1">
        <f t="array" ref="S37">IFERROR([1]!FeetConvert(R37),"")</f>
        <v/>
      </c>
      <c r="T37" s="45" t="str">
        <f t="shared" si="4"/>
        <v/>
      </c>
    </row>
    <row r="38" spans="4:20" x14ac:dyDescent="0.7">
      <c r="D38" s="47" t="str" cm="1">
        <f t="array" ref="D38">IFERROR([2]!CalculateHyphenString(C38),"")</f>
        <v/>
      </c>
      <c r="M38" s="45" t="str">
        <f t="shared" si="0"/>
        <v/>
      </c>
      <c r="N38" s="1" t="s">
        <v>39</v>
      </c>
      <c r="O38" s="45" t="str">
        <f t="shared" si="1"/>
        <v/>
      </c>
      <c r="P38" s="45" t="str">
        <f t="shared" si="2"/>
        <v/>
      </c>
      <c r="R38" s="45" t="str">
        <f t="shared" si="3"/>
        <v/>
      </c>
      <c r="S38" s="45" t="str" cm="1">
        <f t="array" ref="S38">IFERROR([1]!FeetConvert(R38),"")</f>
        <v/>
      </c>
      <c r="T38" s="45" t="str">
        <f t="shared" si="4"/>
        <v/>
      </c>
    </row>
    <row r="39" spans="4:20" x14ac:dyDescent="0.7">
      <c r="D39" s="47" t="str" cm="1">
        <f t="array" ref="D39">IFERROR([2]!CalculateHyphenString(C39),"")</f>
        <v/>
      </c>
      <c r="M39" s="45" t="str">
        <f t="shared" si="0"/>
        <v/>
      </c>
      <c r="N39" s="1" t="s">
        <v>39</v>
      </c>
      <c r="O39" s="45" t="str">
        <f t="shared" si="1"/>
        <v/>
      </c>
      <c r="P39" s="45" t="str">
        <f t="shared" si="2"/>
        <v/>
      </c>
      <c r="R39" s="45" t="str">
        <f t="shared" si="3"/>
        <v/>
      </c>
      <c r="S39" s="45" t="str" cm="1">
        <f t="array" ref="S39">IFERROR([1]!FeetConvert(R39),"")</f>
        <v/>
      </c>
      <c r="T39" s="45" t="str">
        <f t="shared" si="4"/>
        <v/>
      </c>
    </row>
    <row r="40" spans="4:20" x14ac:dyDescent="0.7">
      <c r="D40" s="47" t="str" cm="1">
        <f t="array" ref="D40">IFERROR([2]!CalculateHyphenString(C40),"")</f>
        <v/>
      </c>
      <c r="M40" s="45" t="str">
        <f t="shared" si="0"/>
        <v/>
      </c>
      <c r="N40" s="1" t="s">
        <v>39</v>
      </c>
      <c r="O40" s="45" t="str">
        <f t="shared" si="1"/>
        <v/>
      </c>
      <c r="P40" s="45" t="str">
        <f t="shared" si="2"/>
        <v/>
      </c>
      <c r="R40" s="45" t="str">
        <f t="shared" si="3"/>
        <v/>
      </c>
      <c r="S40" s="45" t="str" cm="1">
        <f t="array" ref="S40">IFERROR([1]!FeetConvert(R40),"")</f>
        <v/>
      </c>
      <c r="T40" s="45" t="str">
        <f t="shared" si="4"/>
        <v/>
      </c>
    </row>
    <row r="41" spans="4:20" x14ac:dyDescent="0.7">
      <c r="D41" s="47" t="str" cm="1">
        <f t="array" ref="D41">IFERROR([2]!CalculateHyphenString(C41),"")</f>
        <v/>
      </c>
      <c r="M41" s="45" t="str">
        <f t="shared" si="0"/>
        <v/>
      </c>
      <c r="N41" s="1" t="s">
        <v>39</v>
      </c>
      <c r="O41" s="45" t="str">
        <f t="shared" si="1"/>
        <v/>
      </c>
      <c r="P41" s="45" t="str">
        <f t="shared" si="2"/>
        <v/>
      </c>
      <c r="R41" s="45" t="str">
        <f t="shared" si="3"/>
        <v/>
      </c>
      <c r="S41" s="45" t="str" cm="1">
        <f t="array" ref="S41">IFERROR([1]!FeetConvert(R41),"")</f>
        <v/>
      </c>
      <c r="T41" s="45" t="str">
        <f t="shared" si="4"/>
        <v/>
      </c>
    </row>
    <row r="42" spans="4:20" x14ac:dyDescent="0.7">
      <c r="D42" s="47" t="str" cm="1">
        <f t="array" ref="D42">IFERROR([2]!CalculateHyphenString(C42),"")</f>
        <v/>
      </c>
      <c r="M42" s="45" t="str">
        <f t="shared" si="0"/>
        <v/>
      </c>
      <c r="N42" s="1" t="s">
        <v>39</v>
      </c>
      <c r="O42" s="45" t="str">
        <f t="shared" si="1"/>
        <v/>
      </c>
      <c r="P42" s="45" t="str">
        <f t="shared" si="2"/>
        <v/>
      </c>
      <c r="R42" s="45" t="str">
        <f t="shared" si="3"/>
        <v/>
      </c>
      <c r="S42" s="45" t="str" cm="1">
        <f t="array" ref="S42">IFERROR([1]!FeetConvert(R42),"")</f>
        <v/>
      </c>
      <c r="T42" s="45" t="str">
        <f t="shared" si="4"/>
        <v/>
      </c>
    </row>
    <row r="43" spans="4:20" x14ac:dyDescent="0.7">
      <c r="D43" s="47" t="str" cm="1">
        <f t="array" ref="D43">IFERROR([2]!CalculateHyphenString(C43),"")</f>
        <v/>
      </c>
      <c r="M43" s="45" t="str">
        <f t="shared" si="0"/>
        <v/>
      </c>
      <c r="N43" s="1" t="s">
        <v>39</v>
      </c>
      <c r="O43" s="45" t="str">
        <f t="shared" si="1"/>
        <v/>
      </c>
      <c r="P43" s="45" t="str">
        <f t="shared" si="2"/>
        <v/>
      </c>
      <c r="R43" s="45" t="str">
        <f t="shared" si="3"/>
        <v/>
      </c>
      <c r="S43" s="45" t="str" cm="1">
        <f t="array" ref="S43">IFERROR([1]!FeetConvert(R43),"")</f>
        <v/>
      </c>
      <c r="T43" s="45" t="str">
        <f t="shared" si="4"/>
        <v/>
      </c>
    </row>
    <row r="44" spans="4:20" x14ac:dyDescent="0.7">
      <c r="D44" s="47" t="str" cm="1">
        <f t="array" ref="D44">IFERROR([2]!CalculateHyphenString(C44),"")</f>
        <v/>
      </c>
      <c r="M44" s="45" t="str">
        <f t="shared" si="0"/>
        <v/>
      </c>
      <c r="N44" s="1" t="s">
        <v>39</v>
      </c>
      <c r="O44" s="45" t="str">
        <f t="shared" si="1"/>
        <v/>
      </c>
      <c r="P44" s="45" t="str">
        <f t="shared" si="2"/>
        <v/>
      </c>
      <c r="R44" s="45" t="str">
        <f t="shared" si="3"/>
        <v/>
      </c>
      <c r="S44" s="45" t="str" cm="1">
        <f t="array" ref="S44">IFERROR([1]!FeetConvert(R44),"")</f>
        <v/>
      </c>
      <c r="T44" s="45" t="str">
        <f t="shared" si="4"/>
        <v/>
      </c>
    </row>
    <row r="45" spans="4:20" x14ac:dyDescent="0.7">
      <c r="D45" s="47" t="str" cm="1">
        <f t="array" ref="D45">IFERROR([2]!CalculateHyphenString(C45),"")</f>
        <v/>
      </c>
      <c r="M45" s="45" t="str">
        <f t="shared" si="0"/>
        <v/>
      </c>
      <c r="N45" s="1" t="s">
        <v>39</v>
      </c>
      <c r="O45" s="45" t="str">
        <f t="shared" si="1"/>
        <v/>
      </c>
      <c r="P45" s="45" t="str">
        <f t="shared" si="2"/>
        <v/>
      </c>
      <c r="R45" s="45" t="str">
        <f t="shared" si="3"/>
        <v/>
      </c>
      <c r="S45" s="45" t="str" cm="1">
        <f t="array" ref="S45">IFERROR([1]!FeetConvert(R45),"")</f>
        <v/>
      </c>
      <c r="T45" s="45" t="str">
        <f t="shared" si="4"/>
        <v/>
      </c>
    </row>
    <row r="46" spans="4:20" x14ac:dyDescent="0.7">
      <c r="D46" s="47" t="str" cm="1">
        <f t="array" ref="D46">IFERROR([2]!CalculateHyphenString(C46),"")</f>
        <v/>
      </c>
      <c r="M46" s="45" t="str">
        <f t="shared" si="0"/>
        <v/>
      </c>
      <c r="N46" s="1" t="s">
        <v>39</v>
      </c>
      <c r="O46" s="45" t="str">
        <f t="shared" si="1"/>
        <v/>
      </c>
      <c r="P46" s="45" t="str">
        <f t="shared" si="2"/>
        <v/>
      </c>
      <c r="R46" s="45" t="str">
        <f t="shared" si="3"/>
        <v/>
      </c>
      <c r="S46" s="45" t="str" cm="1">
        <f t="array" ref="S46">IFERROR([1]!FeetConvert(R46),"")</f>
        <v/>
      </c>
      <c r="T46" s="45" t="str">
        <f t="shared" si="4"/>
        <v/>
      </c>
    </row>
    <row r="47" spans="4:20" x14ac:dyDescent="0.7">
      <c r="D47" s="47" t="str" cm="1">
        <f t="array" ref="D47">IFERROR([2]!CalculateHyphenString(C47),"")</f>
        <v/>
      </c>
      <c r="M47" s="45" t="str">
        <f t="shared" si="0"/>
        <v/>
      </c>
      <c r="N47" s="1" t="s">
        <v>39</v>
      </c>
      <c r="O47" s="45" t="str">
        <f t="shared" si="1"/>
        <v/>
      </c>
      <c r="P47" s="45" t="str">
        <f t="shared" si="2"/>
        <v/>
      </c>
      <c r="R47" s="45" t="str">
        <f t="shared" si="3"/>
        <v/>
      </c>
      <c r="S47" s="45" t="str" cm="1">
        <f t="array" ref="S47">IFERROR([1]!FeetConvert(R47),"")</f>
        <v/>
      </c>
      <c r="T47" s="45" t="str">
        <f t="shared" si="4"/>
        <v/>
      </c>
    </row>
    <row r="48" spans="4:20" x14ac:dyDescent="0.7">
      <c r="D48" s="47" t="str" cm="1">
        <f t="array" ref="D48">IFERROR([2]!CalculateHyphenString(C48),"")</f>
        <v/>
      </c>
      <c r="M48" s="45" t="str">
        <f t="shared" si="0"/>
        <v/>
      </c>
      <c r="N48" s="1" t="s">
        <v>39</v>
      </c>
      <c r="O48" s="45" t="str">
        <f t="shared" si="1"/>
        <v/>
      </c>
      <c r="P48" s="45" t="str">
        <f t="shared" si="2"/>
        <v/>
      </c>
      <c r="R48" s="45" t="str">
        <f t="shared" si="3"/>
        <v/>
      </c>
      <c r="S48" s="45" t="str" cm="1">
        <f t="array" ref="S48">IFERROR([1]!FeetConvert(R48),"")</f>
        <v/>
      </c>
      <c r="T48" s="45" t="str">
        <f t="shared" si="4"/>
        <v/>
      </c>
    </row>
    <row r="49" spans="4:20" x14ac:dyDescent="0.7">
      <c r="D49" s="47" t="str" cm="1">
        <f t="array" ref="D49">IFERROR([2]!CalculateHyphenString(C49),"")</f>
        <v/>
      </c>
      <c r="M49" s="45" t="str">
        <f t="shared" si="0"/>
        <v/>
      </c>
      <c r="N49" s="1" t="s">
        <v>39</v>
      </c>
      <c r="O49" s="45" t="str">
        <f t="shared" si="1"/>
        <v/>
      </c>
      <c r="P49" s="45" t="str">
        <f t="shared" si="2"/>
        <v/>
      </c>
      <c r="R49" s="45" t="str">
        <f t="shared" si="3"/>
        <v/>
      </c>
      <c r="S49" s="45" t="str" cm="1">
        <f t="array" ref="S49">IFERROR([1]!FeetConvert(R49),"")</f>
        <v/>
      </c>
      <c r="T49" s="45" t="str">
        <f t="shared" si="4"/>
        <v/>
      </c>
    </row>
    <row r="50" spans="4:20" x14ac:dyDescent="0.7">
      <c r="D50" s="47" t="str" cm="1">
        <f t="array" ref="D50">IFERROR([2]!CalculateHyphenString(C50),"")</f>
        <v/>
      </c>
      <c r="M50" s="45" t="str">
        <f t="shared" si="0"/>
        <v/>
      </c>
      <c r="N50" s="1" t="s">
        <v>39</v>
      </c>
      <c r="O50" s="45" t="str">
        <f t="shared" si="1"/>
        <v/>
      </c>
      <c r="P50" s="45" t="str">
        <f t="shared" si="2"/>
        <v/>
      </c>
      <c r="R50" s="45" t="str">
        <f t="shared" si="3"/>
        <v/>
      </c>
      <c r="S50" s="45" t="str" cm="1">
        <f t="array" ref="S50">IFERROR([1]!FeetConvert(R50),"")</f>
        <v/>
      </c>
      <c r="T50" s="45" t="str">
        <f t="shared" si="4"/>
        <v/>
      </c>
    </row>
    <row r="51" spans="4:20" x14ac:dyDescent="0.7">
      <c r="D51" s="47" t="str" cm="1">
        <f t="array" ref="D51">IFERROR([2]!CalculateHyphenString(C51),"")</f>
        <v/>
      </c>
      <c r="M51" s="45" t="str">
        <f t="shared" si="0"/>
        <v/>
      </c>
      <c r="N51" s="1" t="s">
        <v>39</v>
      </c>
      <c r="O51" s="45" t="str">
        <f t="shared" si="1"/>
        <v/>
      </c>
      <c r="P51" s="45" t="str">
        <f t="shared" si="2"/>
        <v/>
      </c>
      <c r="R51" s="45" t="str">
        <f t="shared" si="3"/>
        <v/>
      </c>
      <c r="S51" s="45" t="str" cm="1">
        <f t="array" ref="S51">IFERROR([1]!FeetConvert(R51),"")</f>
        <v/>
      </c>
      <c r="T51" s="45" t="str">
        <f t="shared" si="4"/>
        <v/>
      </c>
    </row>
    <row r="52" spans="4:20" x14ac:dyDescent="0.7">
      <c r="D52" s="47" t="str" cm="1">
        <f t="array" ref="D52">IFERROR([2]!CalculateHyphenString(C52),"")</f>
        <v/>
      </c>
      <c r="M52" s="45" t="str">
        <f t="shared" si="0"/>
        <v/>
      </c>
      <c r="N52" s="1" t="s">
        <v>39</v>
      </c>
      <c r="O52" s="45" t="str">
        <f t="shared" si="1"/>
        <v/>
      </c>
      <c r="P52" s="45" t="str">
        <f t="shared" si="2"/>
        <v/>
      </c>
      <c r="R52" s="45" t="str">
        <f t="shared" si="3"/>
        <v/>
      </c>
      <c r="S52" s="45" t="str" cm="1">
        <f t="array" ref="S52">IFERROR([1]!FeetConvert(R52),"")</f>
        <v/>
      </c>
      <c r="T52" s="45" t="str">
        <f t="shared" si="4"/>
        <v/>
      </c>
    </row>
    <row r="53" spans="4:20" x14ac:dyDescent="0.7">
      <c r="D53" s="47" t="str" cm="1">
        <f t="array" ref="D53">IFERROR([2]!CalculateHyphenString(C53),"")</f>
        <v/>
      </c>
      <c r="M53" s="45" t="str">
        <f t="shared" si="0"/>
        <v/>
      </c>
      <c r="N53" s="1" t="s">
        <v>39</v>
      </c>
      <c r="O53" s="45" t="str">
        <f t="shared" si="1"/>
        <v/>
      </c>
      <c r="P53" s="45" t="str">
        <f t="shared" si="2"/>
        <v/>
      </c>
      <c r="R53" s="45" t="str">
        <f t="shared" si="3"/>
        <v/>
      </c>
      <c r="S53" s="45" t="str" cm="1">
        <f t="array" ref="S53">IFERROR([1]!FeetConvert(R53),"")</f>
        <v/>
      </c>
      <c r="T53" s="45" t="str">
        <f t="shared" si="4"/>
        <v/>
      </c>
    </row>
    <row r="54" spans="4:20" x14ac:dyDescent="0.7">
      <c r="D54" s="47" t="str" cm="1">
        <f t="array" ref="D54">IFERROR([2]!CalculateHyphenString(C54),"")</f>
        <v/>
      </c>
      <c r="M54" s="45" t="str">
        <f t="shared" si="0"/>
        <v/>
      </c>
      <c r="N54" s="1" t="s">
        <v>39</v>
      </c>
      <c r="O54" s="45" t="str">
        <f t="shared" si="1"/>
        <v/>
      </c>
      <c r="P54" s="45" t="str">
        <f t="shared" si="2"/>
        <v/>
      </c>
      <c r="R54" s="45" t="str">
        <f t="shared" si="3"/>
        <v/>
      </c>
      <c r="S54" s="45" t="str" cm="1">
        <f t="array" ref="S54">IFERROR([1]!FeetConvert(R54),"")</f>
        <v/>
      </c>
      <c r="T54" s="45" t="str">
        <f t="shared" si="4"/>
        <v/>
      </c>
    </row>
    <row r="55" spans="4:20" x14ac:dyDescent="0.7">
      <c r="D55" s="47" t="str" cm="1">
        <f t="array" ref="D55">IFERROR([2]!CalculateHyphenString(C55),"")</f>
        <v/>
      </c>
      <c r="M55" s="45" t="str">
        <f t="shared" si="0"/>
        <v/>
      </c>
      <c r="N55" s="1" t="s">
        <v>39</v>
      </c>
      <c r="O55" s="45" t="str">
        <f t="shared" si="1"/>
        <v/>
      </c>
      <c r="P55" s="45" t="str">
        <f t="shared" si="2"/>
        <v/>
      </c>
      <c r="R55" s="45" t="str">
        <f t="shared" si="3"/>
        <v/>
      </c>
      <c r="S55" s="45" t="str" cm="1">
        <f t="array" ref="S55">IFERROR([1]!FeetConvert(R55),"")</f>
        <v/>
      </c>
      <c r="T55" s="45" t="str">
        <f t="shared" si="4"/>
        <v/>
      </c>
    </row>
    <row r="56" spans="4:20" x14ac:dyDescent="0.7">
      <c r="D56" s="47" t="str" cm="1">
        <f t="array" ref="D56">IFERROR([2]!CalculateHyphenString(C56),"")</f>
        <v/>
      </c>
      <c r="M56" s="45" t="str">
        <f t="shared" si="0"/>
        <v/>
      </c>
      <c r="N56" s="1" t="s">
        <v>39</v>
      </c>
      <c r="O56" s="45" t="str">
        <f t="shared" si="1"/>
        <v/>
      </c>
      <c r="P56" s="45" t="str">
        <f t="shared" si="2"/>
        <v/>
      </c>
      <c r="R56" s="45" t="str">
        <f t="shared" si="3"/>
        <v/>
      </c>
      <c r="S56" s="45" t="str" cm="1">
        <f t="array" ref="S56">IFERROR([1]!FeetConvert(R56),"")</f>
        <v/>
      </c>
      <c r="T56" s="45" t="str">
        <f t="shared" si="4"/>
        <v/>
      </c>
    </row>
    <row r="57" spans="4:20" x14ac:dyDescent="0.7">
      <c r="D57" s="47" t="str" cm="1">
        <f t="array" ref="D57">IFERROR([2]!CalculateHyphenString(C57),"")</f>
        <v/>
      </c>
      <c r="M57" s="45" t="str">
        <f t="shared" si="0"/>
        <v/>
      </c>
      <c r="N57" s="1" t="s">
        <v>39</v>
      </c>
      <c r="O57" s="45" t="str">
        <f t="shared" si="1"/>
        <v/>
      </c>
      <c r="P57" s="45" t="str">
        <f t="shared" si="2"/>
        <v/>
      </c>
      <c r="R57" s="45" t="str">
        <f t="shared" si="3"/>
        <v/>
      </c>
      <c r="S57" s="45" t="str" cm="1">
        <f t="array" ref="S57">IFERROR([1]!FeetConvert(R57),"")</f>
        <v/>
      </c>
      <c r="T57" s="45" t="str">
        <f t="shared" si="4"/>
        <v/>
      </c>
    </row>
    <row r="58" spans="4:20" x14ac:dyDescent="0.7">
      <c r="D58" s="47" t="str" cm="1">
        <f t="array" ref="D58">IFERROR([2]!CalculateHyphenString(C58),"")</f>
        <v/>
      </c>
      <c r="M58" s="45" t="str">
        <f t="shared" si="0"/>
        <v/>
      </c>
      <c r="N58" s="1" t="s">
        <v>39</v>
      </c>
      <c r="O58" s="45" t="str">
        <f t="shared" si="1"/>
        <v/>
      </c>
      <c r="P58" s="45" t="str">
        <f t="shared" si="2"/>
        <v/>
      </c>
      <c r="R58" s="45" t="str">
        <f t="shared" si="3"/>
        <v/>
      </c>
      <c r="S58" s="45" t="str" cm="1">
        <f t="array" ref="S58">IFERROR([1]!FeetConvert(R58),"")</f>
        <v/>
      </c>
      <c r="T58" s="45" t="str">
        <f t="shared" si="4"/>
        <v/>
      </c>
    </row>
    <row r="59" spans="4:20" x14ac:dyDescent="0.7">
      <c r="D59" s="47" t="str" cm="1">
        <f t="array" ref="D59">IFERROR([2]!CalculateHyphenString(C59),"")</f>
        <v/>
      </c>
      <c r="M59" s="45" t="str">
        <f t="shared" si="0"/>
        <v/>
      </c>
      <c r="N59" s="1" t="s">
        <v>39</v>
      </c>
      <c r="O59" s="45" t="str">
        <f t="shared" si="1"/>
        <v/>
      </c>
      <c r="P59" s="45" t="str">
        <f t="shared" si="2"/>
        <v/>
      </c>
      <c r="R59" s="45" t="str">
        <f t="shared" si="3"/>
        <v/>
      </c>
      <c r="S59" s="45" t="str" cm="1">
        <f t="array" ref="S59">IFERROR([1]!FeetConvert(R59),"")</f>
        <v/>
      </c>
      <c r="T59" s="45" t="str">
        <f t="shared" si="4"/>
        <v/>
      </c>
    </row>
    <row r="60" spans="4:20" x14ac:dyDescent="0.7">
      <c r="D60" s="47" t="str" cm="1">
        <f t="array" ref="D60">IFERROR([2]!CalculateHyphenString(C60),"")</f>
        <v/>
      </c>
      <c r="M60" s="45" t="str">
        <f t="shared" si="0"/>
        <v/>
      </c>
      <c r="N60" s="1" t="s">
        <v>39</v>
      </c>
      <c r="O60" s="45" t="str">
        <f t="shared" si="1"/>
        <v/>
      </c>
      <c r="P60" s="45" t="str">
        <f t="shared" si="2"/>
        <v/>
      </c>
      <c r="R60" s="45" t="str">
        <f t="shared" si="3"/>
        <v/>
      </c>
      <c r="S60" s="45" t="str" cm="1">
        <f t="array" ref="S60">IFERROR([1]!FeetConvert(R60),"")</f>
        <v/>
      </c>
      <c r="T60" s="45" t="str">
        <f t="shared" si="4"/>
        <v/>
      </c>
    </row>
    <row r="61" spans="4:20" x14ac:dyDescent="0.7">
      <c r="D61" s="47" t="str" cm="1">
        <f t="array" ref="D61">IFERROR([2]!CalculateHyphenString(C61),"")</f>
        <v/>
      </c>
      <c r="M61" s="45" t="str">
        <f t="shared" si="0"/>
        <v/>
      </c>
      <c r="N61" s="1" t="s">
        <v>39</v>
      </c>
      <c r="O61" s="45" t="str">
        <f t="shared" si="1"/>
        <v/>
      </c>
      <c r="P61" s="45" t="str">
        <f t="shared" si="2"/>
        <v/>
      </c>
      <c r="R61" s="45" t="str">
        <f t="shared" si="3"/>
        <v/>
      </c>
      <c r="S61" s="45" t="str" cm="1">
        <f t="array" ref="S61">IFERROR([1]!FeetConvert(R61),"")</f>
        <v/>
      </c>
      <c r="T61" s="45" t="str">
        <f t="shared" si="4"/>
        <v/>
      </c>
    </row>
    <row r="62" spans="4:20" x14ac:dyDescent="0.7">
      <c r="D62" s="47" t="str" cm="1">
        <f t="array" ref="D62">IFERROR([2]!CalculateHyphenString(C62),"")</f>
        <v/>
      </c>
      <c r="M62" s="45" t="str">
        <f t="shared" si="0"/>
        <v/>
      </c>
      <c r="N62" s="1" t="s">
        <v>39</v>
      </c>
      <c r="O62" s="45" t="str">
        <f t="shared" si="1"/>
        <v/>
      </c>
      <c r="P62" s="45" t="str">
        <f t="shared" si="2"/>
        <v/>
      </c>
      <c r="R62" s="45" t="str">
        <f t="shared" si="3"/>
        <v/>
      </c>
      <c r="S62" s="45" t="str" cm="1">
        <f t="array" ref="S62">IFERROR([1]!FeetConvert(R62),"")</f>
        <v/>
      </c>
      <c r="T62" s="45" t="str">
        <f t="shared" si="4"/>
        <v/>
      </c>
    </row>
    <row r="63" spans="4:20" x14ac:dyDescent="0.7">
      <c r="D63" s="47" t="str" cm="1">
        <f t="array" ref="D63">IFERROR([2]!CalculateHyphenString(C63),"")</f>
        <v/>
      </c>
      <c r="M63" s="45" t="str">
        <f t="shared" si="0"/>
        <v/>
      </c>
      <c r="N63" s="1" t="s">
        <v>39</v>
      </c>
      <c r="O63" s="45" t="str">
        <f t="shared" si="1"/>
        <v/>
      </c>
      <c r="P63" s="45" t="str">
        <f t="shared" si="2"/>
        <v/>
      </c>
      <c r="R63" s="45" t="str">
        <f t="shared" si="3"/>
        <v/>
      </c>
      <c r="S63" s="45" t="str" cm="1">
        <f t="array" ref="S63">IFERROR([1]!FeetConvert(R63),"")</f>
        <v/>
      </c>
      <c r="T63" s="45" t="str">
        <f t="shared" si="4"/>
        <v/>
      </c>
    </row>
    <row r="64" spans="4:20" x14ac:dyDescent="0.7">
      <c r="D64" s="47" t="str" cm="1">
        <f t="array" ref="D64">IFERROR([2]!CalculateHyphenString(C64),"")</f>
        <v/>
      </c>
      <c r="M64" s="45" t="str">
        <f t="shared" si="0"/>
        <v/>
      </c>
      <c r="N64" s="1" t="s">
        <v>39</v>
      </c>
      <c r="O64" s="45" t="str">
        <f t="shared" si="1"/>
        <v/>
      </c>
      <c r="P64" s="45" t="str">
        <f t="shared" si="2"/>
        <v/>
      </c>
      <c r="R64" s="45" t="str">
        <f t="shared" si="3"/>
        <v/>
      </c>
      <c r="S64" s="45" t="str" cm="1">
        <f t="array" ref="S64">IFERROR([1]!FeetConvert(R64),"")</f>
        <v/>
      </c>
      <c r="T64" s="45" t="str">
        <f t="shared" si="4"/>
        <v/>
      </c>
    </row>
    <row r="65" spans="4:20" x14ac:dyDescent="0.7">
      <c r="D65" s="47" t="str" cm="1">
        <f t="array" ref="D65">IFERROR([2]!CalculateHyphenString(C65),"")</f>
        <v/>
      </c>
      <c r="M65" s="45" t="str">
        <f t="shared" si="0"/>
        <v/>
      </c>
      <c r="N65" s="1" t="s">
        <v>39</v>
      </c>
      <c r="O65" s="45" t="str">
        <f t="shared" si="1"/>
        <v/>
      </c>
      <c r="P65" s="45" t="str">
        <f t="shared" si="2"/>
        <v/>
      </c>
      <c r="R65" s="45" t="str">
        <f t="shared" si="3"/>
        <v/>
      </c>
      <c r="S65" s="45" t="str" cm="1">
        <f t="array" ref="S65">IFERROR([1]!FeetConvert(R65),"")</f>
        <v/>
      </c>
      <c r="T65" s="45" t="str">
        <f t="shared" si="4"/>
        <v/>
      </c>
    </row>
    <row r="66" spans="4:20" x14ac:dyDescent="0.7">
      <c r="D66" s="47" t="str" cm="1">
        <f t="array" ref="D66">IFERROR([2]!CalculateHyphenString(C66),"")</f>
        <v/>
      </c>
      <c r="M66" s="45" t="str">
        <f t="shared" si="0"/>
        <v/>
      </c>
      <c r="N66" s="1" t="s">
        <v>39</v>
      </c>
      <c r="O66" s="45" t="str">
        <f t="shared" si="1"/>
        <v/>
      </c>
      <c r="P66" s="45" t="str">
        <f t="shared" si="2"/>
        <v/>
      </c>
      <c r="R66" s="45" t="str">
        <f t="shared" si="3"/>
        <v/>
      </c>
      <c r="S66" s="45" t="str" cm="1">
        <f t="array" ref="S66">IFERROR([1]!FeetConvert(R66),"")</f>
        <v/>
      </c>
      <c r="T66" s="45" t="str">
        <f t="shared" si="4"/>
        <v/>
      </c>
    </row>
    <row r="67" spans="4:20" x14ac:dyDescent="0.7">
      <c r="D67" s="47" t="str" cm="1">
        <f t="array" ref="D67">IFERROR([2]!CalculateHyphenString(C67),"")</f>
        <v/>
      </c>
      <c r="M67" s="45" t="str">
        <f t="shared" si="0"/>
        <v/>
      </c>
      <c r="N67" s="1" t="s">
        <v>39</v>
      </c>
      <c r="O67" s="45" t="str">
        <f t="shared" si="1"/>
        <v/>
      </c>
      <c r="P67" s="45" t="str">
        <f t="shared" si="2"/>
        <v/>
      </c>
      <c r="R67" s="45" t="str">
        <f t="shared" si="3"/>
        <v/>
      </c>
      <c r="S67" s="45" t="str" cm="1">
        <f t="array" ref="S67">IFERROR([1]!FeetConvert(R67),"")</f>
        <v/>
      </c>
      <c r="T67" s="45" t="str">
        <f t="shared" si="4"/>
        <v/>
      </c>
    </row>
    <row r="68" spans="4:20" x14ac:dyDescent="0.7">
      <c r="D68" s="47" t="str" cm="1">
        <f t="array" ref="D68">IFERROR([2]!CalculateHyphenString(C68),"")</f>
        <v/>
      </c>
      <c r="M68" s="45" t="str">
        <f t="shared" si="0"/>
        <v/>
      </c>
      <c r="N68" s="1" t="s">
        <v>39</v>
      </c>
      <c r="O68" s="45" t="str">
        <f t="shared" si="1"/>
        <v/>
      </c>
      <c r="P68" s="45" t="str">
        <f t="shared" si="2"/>
        <v/>
      </c>
      <c r="R68" s="45" t="str">
        <f t="shared" si="3"/>
        <v/>
      </c>
      <c r="S68" s="45" t="str" cm="1">
        <f t="array" ref="S68">IFERROR([1]!FeetConvert(R68),"")</f>
        <v/>
      </c>
      <c r="T68" s="45" t="str">
        <f t="shared" si="4"/>
        <v/>
      </c>
    </row>
    <row r="69" spans="4:20" x14ac:dyDescent="0.7">
      <c r="D69" s="47" t="str" cm="1">
        <f t="array" ref="D69">IFERROR([2]!CalculateHyphenString(C69),"")</f>
        <v/>
      </c>
      <c r="M69" s="45" t="str">
        <f t="shared" ref="M69:M132" si="5">IFERROR(K69*$E$2/L69,"")</f>
        <v/>
      </c>
      <c r="N69" s="1" t="s">
        <v>39</v>
      </c>
      <c r="O69" s="45" t="str">
        <f t="shared" ref="O69:O132" si="6">IFERROR(IF(ISBLANK(N69),"",N69*$G$2/100),"")</f>
        <v/>
      </c>
      <c r="P69" s="45" t="str">
        <f t="shared" ref="P69:P132" si="7">IFERROR(N69-O69,"")</f>
        <v/>
      </c>
      <c r="R69" s="45" t="str">
        <f t="shared" ref="R69:R132" si="8">IFERROR(P69-Q69,"")</f>
        <v/>
      </c>
      <c r="S69" s="45" t="str" cm="1">
        <f t="array" ref="S69">IFERROR([1]!FeetConvert(R69),"")</f>
        <v/>
      </c>
      <c r="T69" s="45" t="str">
        <f t="shared" ref="T69:T132" si="9">IFERROR(ROUND(R69,0),"")</f>
        <v/>
      </c>
    </row>
    <row r="70" spans="4:20" x14ac:dyDescent="0.7">
      <c r="D70" s="47" t="str" cm="1">
        <f t="array" ref="D70">IFERROR([2]!CalculateHyphenString(C70),"")</f>
        <v/>
      </c>
      <c r="M70" s="45" t="str">
        <f t="shared" si="5"/>
        <v/>
      </c>
      <c r="N70" s="1" t="s">
        <v>39</v>
      </c>
      <c r="O70" s="45" t="str">
        <f t="shared" si="6"/>
        <v/>
      </c>
      <c r="P70" s="45" t="str">
        <f t="shared" si="7"/>
        <v/>
      </c>
      <c r="R70" s="45" t="str">
        <f t="shared" si="8"/>
        <v/>
      </c>
      <c r="S70" s="45" t="str" cm="1">
        <f t="array" ref="S70">IFERROR([1]!FeetConvert(R70),"")</f>
        <v/>
      </c>
      <c r="T70" s="45" t="str">
        <f t="shared" si="9"/>
        <v/>
      </c>
    </row>
    <row r="71" spans="4:20" x14ac:dyDescent="0.7">
      <c r="D71" s="47" t="str" cm="1">
        <f t="array" ref="D71">IFERROR([2]!CalculateHyphenString(C71),"")</f>
        <v/>
      </c>
      <c r="M71" s="45" t="str">
        <f t="shared" si="5"/>
        <v/>
      </c>
      <c r="N71" s="1" t="s">
        <v>39</v>
      </c>
      <c r="O71" s="45" t="str">
        <f t="shared" si="6"/>
        <v/>
      </c>
      <c r="P71" s="45" t="str">
        <f t="shared" si="7"/>
        <v/>
      </c>
      <c r="R71" s="45" t="str">
        <f t="shared" si="8"/>
        <v/>
      </c>
      <c r="S71" s="45" t="str" cm="1">
        <f t="array" ref="S71">IFERROR([1]!FeetConvert(R71),"")</f>
        <v/>
      </c>
      <c r="T71" s="45" t="str">
        <f t="shared" si="9"/>
        <v/>
      </c>
    </row>
    <row r="72" spans="4:20" x14ac:dyDescent="0.7">
      <c r="D72" s="47" t="str" cm="1">
        <f t="array" ref="D72">IFERROR([2]!CalculateHyphenString(C72),"")</f>
        <v/>
      </c>
      <c r="M72" s="45" t="str">
        <f t="shared" si="5"/>
        <v/>
      </c>
      <c r="N72" s="1" t="s">
        <v>39</v>
      </c>
      <c r="O72" s="45" t="str">
        <f t="shared" si="6"/>
        <v/>
      </c>
      <c r="P72" s="45" t="str">
        <f t="shared" si="7"/>
        <v/>
      </c>
      <c r="R72" s="45" t="str">
        <f t="shared" si="8"/>
        <v/>
      </c>
      <c r="S72" s="45" t="str" cm="1">
        <f t="array" ref="S72">IFERROR([1]!FeetConvert(R72),"")</f>
        <v/>
      </c>
      <c r="T72" s="45" t="str">
        <f t="shared" si="9"/>
        <v/>
      </c>
    </row>
    <row r="73" spans="4:20" x14ac:dyDescent="0.7">
      <c r="D73" s="47" t="str" cm="1">
        <f t="array" ref="D73">IFERROR([2]!CalculateHyphenString(C73),"")</f>
        <v/>
      </c>
      <c r="M73" s="45" t="str">
        <f t="shared" si="5"/>
        <v/>
      </c>
      <c r="N73" s="1" t="s">
        <v>39</v>
      </c>
      <c r="O73" s="45" t="str">
        <f t="shared" si="6"/>
        <v/>
      </c>
      <c r="P73" s="45" t="str">
        <f t="shared" si="7"/>
        <v/>
      </c>
      <c r="R73" s="45" t="str">
        <f t="shared" si="8"/>
        <v/>
      </c>
      <c r="S73" s="45" t="str" cm="1">
        <f t="array" ref="S73">IFERROR([1]!FeetConvert(R73),"")</f>
        <v/>
      </c>
      <c r="T73" s="45" t="str">
        <f t="shared" si="9"/>
        <v/>
      </c>
    </row>
    <row r="74" spans="4:20" x14ac:dyDescent="0.7">
      <c r="D74" s="47" t="str" cm="1">
        <f t="array" ref="D74">IFERROR([2]!CalculateHyphenString(C74),"")</f>
        <v/>
      </c>
      <c r="M74" s="45" t="str">
        <f t="shared" si="5"/>
        <v/>
      </c>
      <c r="N74" s="1" t="s">
        <v>39</v>
      </c>
      <c r="O74" s="45" t="str">
        <f t="shared" si="6"/>
        <v/>
      </c>
      <c r="P74" s="45" t="str">
        <f t="shared" si="7"/>
        <v/>
      </c>
      <c r="R74" s="45" t="str">
        <f t="shared" si="8"/>
        <v/>
      </c>
      <c r="S74" s="45" t="str" cm="1">
        <f t="array" ref="S74">IFERROR([1]!FeetConvert(R74),"")</f>
        <v/>
      </c>
      <c r="T74" s="45" t="str">
        <f t="shared" si="9"/>
        <v/>
      </c>
    </row>
    <row r="75" spans="4:20" x14ac:dyDescent="0.7">
      <c r="D75" s="47" t="str" cm="1">
        <f t="array" ref="D75">IFERROR([2]!CalculateHyphenString(C75),"")</f>
        <v/>
      </c>
      <c r="M75" s="45" t="str">
        <f t="shared" si="5"/>
        <v/>
      </c>
      <c r="N75" s="1" t="s">
        <v>39</v>
      </c>
      <c r="O75" s="45" t="str">
        <f t="shared" si="6"/>
        <v/>
      </c>
      <c r="P75" s="45" t="str">
        <f t="shared" si="7"/>
        <v/>
      </c>
      <c r="R75" s="45" t="str">
        <f t="shared" si="8"/>
        <v/>
      </c>
      <c r="S75" s="45" t="str" cm="1">
        <f t="array" ref="S75">IFERROR([1]!FeetConvert(R75),"")</f>
        <v/>
      </c>
      <c r="T75" s="45" t="str">
        <f t="shared" si="9"/>
        <v/>
      </c>
    </row>
    <row r="76" spans="4:20" x14ac:dyDescent="0.7">
      <c r="D76" s="47" t="str" cm="1">
        <f t="array" ref="D76">IFERROR([2]!CalculateHyphenString(C76),"")</f>
        <v/>
      </c>
      <c r="M76" s="45" t="str">
        <f t="shared" si="5"/>
        <v/>
      </c>
      <c r="N76" s="1" t="s">
        <v>39</v>
      </c>
      <c r="O76" s="45" t="str">
        <f t="shared" si="6"/>
        <v/>
      </c>
      <c r="P76" s="45" t="str">
        <f t="shared" si="7"/>
        <v/>
      </c>
      <c r="R76" s="45" t="str">
        <f t="shared" si="8"/>
        <v/>
      </c>
      <c r="S76" s="45" t="str" cm="1">
        <f t="array" ref="S76">IFERROR([1]!FeetConvert(R76),"")</f>
        <v/>
      </c>
      <c r="T76" s="45" t="str">
        <f t="shared" si="9"/>
        <v/>
      </c>
    </row>
    <row r="77" spans="4:20" x14ac:dyDescent="0.7">
      <c r="D77" s="47" t="str" cm="1">
        <f t="array" ref="D77">IFERROR([2]!CalculateHyphenString(C77),"")</f>
        <v/>
      </c>
      <c r="M77" s="45" t="str">
        <f t="shared" si="5"/>
        <v/>
      </c>
      <c r="N77" s="1" t="s">
        <v>39</v>
      </c>
      <c r="O77" s="45" t="str">
        <f t="shared" si="6"/>
        <v/>
      </c>
      <c r="P77" s="45" t="str">
        <f t="shared" si="7"/>
        <v/>
      </c>
      <c r="R77" s="45" t="str">
        <f t="shared" si="8"/>
        <v/>
      </c>
      <c r="S77" s="45" t="str" cm="1">
        <f t="array" ref="S77">IFERROR([1]!FeetConvert(R77),"")</f>
        <v/>
      </c>
      <c r="T77" s="45" t="str">
        <f t="shared" si="9"/>
        <v/>
      </c>
    </row>
    <row r="78" spans="4:20" x14ac:dyDescent="0.7">
      <c r="D78" s="47" t="str" cm="1">
        <f t="array" ref="D78">IFERROR([2]!CalculateHyphenString(C78),"")</f>
        <v/>
      </c>
      <c r="M78" s="45" t="str">
        <f t="shared" si="5"/>
        <v/>
      </c>
      <c r="N78" s="1" t="s">
        <v>39</v>
      </c>
      <c r="O78" s="45" t="str">
        <f t="shared" si="6"/>
        <v/>
      </c>
      <c r="P78" s="45" t="str">
        <f t="shared" si="7"/>
        <v/>
      </c>
      <c r="R78" s="45" t="str">
        <f t="shared" si="8"/>
        <v/>
      </c>
      <c r="S78" s="45" t="str" cm="1">
        <f t="array" ref="S78">IFERROR([1]!FeetConvert(R78),"")</f>
        <v/>
      </c>
      <c r="T78" s="45" t="str">
        <f t="shared" si="9"/>
        <v/>
      </c>
    </row>
    <row r="79" spans="4:20" x14ac:dyDescent="0.7">
      <c r="D79" s="47" t="str" cm="1">
        <f t="array" ref="D79">IFERROR([2]!CalculateHyphenString(C79),"")</f>
        <v/>
      </c>
      <c r="M79" s="45" t="str">
        <f t="shared" si="5"/>
        <v/>
      </c>
      <c r="N79" s="1" t="s">
        <v>39</v>
      </c>
      <c r="O79" s="45" t="str">
        <f t="shared" si="6"/>
        <v/>
      </c>
      <c r="P79" s="45" t="str">
        <f t="shared" si="7"/>
        <v/>
      </c>
      <c r="R79" s="45" t="str">
        <f t="shared" si="8"/>
        <v/>
      </c>
      <c r="S79" s="45" t="str" cm="1">
        <f t="array" ref="S79">IFERROR([1]!FeetConvert(R79),"")</f>
        <v/>
      </c>
      <c r="T79" s="45" t="str">
        <f t="shared" si="9"/>
        <v/>
      </c>
    </row>
    <row r="80" spans="4:20" x14ac:dyDescent="0.7">
      <c r="D80" s="47" t="str" cm="1">
        <f t="array" ref="D80">IFERROR([2]!CalculateHyphenString(C80),"")</f>
        <v/>
      </c>
      <c r="M80" s="45" t="str">
        <f t="shared" si="5"/>
        <v/>
      </c>
      <c r="N80" s="1" t="s">
        <v>39</v>
      </c>
      <c r="O80" s="45" t="str">
        <f t="shared" si="6"/>
        <v/>
      </c>
      <c r="P80" s="45" t="str">
        <f t="shared" si="7"/>
        <v/>
      </c>
      <c r="R80" s="45" t="str">
        <f t="shared" si="8"/>
        <v/>
      </c>
      <c r="S80" s="45" t="str" cm="1">
        <f t="array" ref="S80">IFERROR([1]!FeetConvert(R80),"")</f>
        <v/>
      </c>
      <c r="T80" s="45" t="str">
        <f t="shared" si="9"/>
        <v/>
      </c>
    </row>
    <row r="81" spans="4:20" x14ac:dyDescent="0.7">
      <c r="D81" s="47" t="str" cm="1">
        <f t="array" ref="D81">IFERROR([2]!CalculateHyphenString(C81),"")</f>
        <v/>
      </c>
      <c r="M81" s="45" t="str">
        <f t="shared" si="5"/>
        <v/>
      </c>
      <c r="N81" s="1" t="s">
        <v>39</v>
      </c>
      <c r="O81" s="45" t="str">
        <f t="shared" si="6"/>
        <v/>
      </c>
      <c r="P81" s="45" t="str">
        <f t="shared" si="7"/>
        <v/>
      </c>
      <c r="R81" s="45" t="str">
        <f t="shared" si="8"/>
        <v/>
      </c>
      <c r="S81" s="45" t="str" cm="1">
        <f t="array" ref="S81">IFERROR([1]!FeetConvert(R81),"")</f>
        <v/>
      </c>
      <c r="T81" s="45" t="str">
        <f t="shared" si="9"/>
        <v/>
      </c>
    </row>
    <row r="82" spans="4:20" x14ac:dyDescent="0.7">
      <c r="D82" s="47" t="str" cm="1">
        <f t="array" ref="D82">IFERROR([2]!CalculateHyphenString(C82),"")</f>
        <v/>
      </c>
      <c r="M82" s="45" t="str">
        <f t="shared" si="5"/>
        <v/>
      </c>
      <c r="N82" s="1" t="s">
        <v>39</v>
      </c>
      <c r="O82" s="45" t="str">
        <f t="shared" si="6"/>
        <v/>
      </c>
      <c r="P82" s="45" t="str">
        <f t="shared" si="7"/>
        <v/>
      </c>
      <c r="R82" s="45" t="str">
        <f t="shared" si="8"/>
        <v/>
      </c>
      <c r="S82" s="45" t="str" cm="1">
        <f t="array" ref="S82">IFERROR([1]!FeetConvert(R82),"")</f>
        <v/>
      </c>
      <c r="T82" s="45" t="str">
        <f t="shared" si="9"/>
        <v/>
      </c>
    </row>
    <row r="83" spans="4:20" x14ac:dyDescent="0.7">
      <c r="D83" s="47" t="str" cm="1">
        <f t="array" ref="D83">IFERROR([2]!CalculateHyphenString(C83),"")</f>
        <v/>
      </c>
      <c r="M83" s="45" t="str">
        <f t="shared" si="5"/>
        <v/>
      </c>
      <c r="N83" s="1" t="s">
        <v>39</v>
      </c>
      <c r="O83" s="45" t="str">
        <f t="shared" si="6"/>
        <v/>
      </c>
      <c r="P83" s="45" t="str">
        <f t="shared" si="7"/>
        <v/>
      </c>
      <c r="R83" s="45" t="str">
        <f t="shared" si="8"/>
        <v/>
      </c>
      <c r="S83" s="45" t="str" cm="1">
        <f t="array" ref="S83">IFERROR([1]!FeetConvert(R83),"")</f>
        <v/>
      </c>
      <c r="T83" s="45" t="str">
        <f t="shared" si="9"/>
        <v/>
      </c>
    </row>
    <row r="84" spans="4:20" x14ac:dyDescent="0.7">
      <c r="D84" s="47" t="str" cm="1">
        <f t="array" ref="D84">IFERROR([2]!CalculateHyphenString(C84),"")</f>
        <v/>
      </c>
      <c r="M84" s="45" t="str">
        <f t="shared" si="5"/>
        <v/>
      </c>
      <c r="N84" s="1" t="s">
        <v>39</v>
      </c>
      <c r="O84" s="45" t="str">
        <f t="shared" si="6"/>
        <v/>
      </c>
      <c r="P84" s="45" t="str">
        <f t="shared" si="7"/>
        <v/>
      </c>
      <c r="R84" s="45" t="str">
        <f t="shared" si="8"/>
        <v/>
      </c>
      <c r="S84" s="45" t="str" cm="1">
        <f t="array" ref="S84">IFERROR([1]!FeetConvert(R84),"")</f>
        <v/>
      </c>
      <c r="T84" s="45" t="str">
        <f t="shared" si="9"/>
        <v/>
      </c>
    </row>
    <row r="85" spans="4:20" x14ac:dyDescent="0.7">
      <c r="D85" s="47" t="str" cm="1">
        <f t="array" ref="D85">IFERROR([2]!CalculateHyphenString(C85),"")</f>
        <v/>
      </c>
      <c r="M85" s="45" t="str">
        <f t="shared" si="5"/>
        <v/>
      </c>
      <c r="N85" s="1" t="s">
        <v>39</v>
      </c>
      <c r="O85" s="45" t="str">
        <f t="shared" si="6"/>
        <v/>
      </c>
      <c r="P85" s="45" t="str">
        <f t="shared" si="7"/>
        <v/>
      </c>
      <c r="R85" s="45" t="str">
        <f t="shared" si="8"/>
        <v/>
      </c>
      <c r="S85" s="45" t="str" cm="1">
        <f t="array" ref="S85">IFERROR([1]!FeetConvert(R85),"")</f>
        <v/>
      </c>
      <c r="T85" s="45" t="str">
        <f t="shared" si="9"/>
        <v/>
      </c>
    </row>
    <row r="86" spans="4:20" x14ac:dyDescent="0.7">
      <c r="D86" s="47" t="str" cm="1">
        <f t="array" ref="D86">IFERROR([2]!CalculateHyphenString(C86),"")</f>
        <v/>
      </c>
      <c r="M86" s="45" t="str">
        <f t="shared" si="5"/>
        <v/>
      </c>
      <c r="N86" s="1" t="s">
        <v>39</v>
      </c>
      <c r="O86" s="45" t="str">
        <f t="shared" si="6"/>
        <v/>
      </c>
      <c r="P86" s="45" t="str">
        <f t="shared" si="7"/>
        <v/>
      </c>
      <c r="R86" s="45" t="str">
        <f t="shared" si="8"/>
        <v/>
      </c>
      <c r="S86" s="45" t="str" cm="1">
        <f t="array" ref="S86">IFERROR([1]!FeetConvert(R86),"")</f>
        <v/>
      </c>
      <c r="T86" s="45" t="str">
        <f t="shared" si="9"/>
        <v/>
      </c>
    </row>
    <row r="87" spans="4:20" x14ac:dyDescent="0.7">
      <c r="D87" s="47" t="str" cm="1">
        <f t="array" ref="D87">IFERROR([2]!CalculateHyphenString(C87),"")</f>
        <v/>
      </c>
      <c r="M87" s="45" t="str">
        <f t="shared" si="5"/>
        <v/>
      </c>
      <c r="N87" s="1" t="s">
        <v>39</v>
      </c>
      <c r="O87" s="45" t="str">
        <f t="shared" si="6"/>
        <v/>
      </c>
      <c r="P87" s="45" t="str">
        <f t="shared" si="7"/>
        <v/>
      </c>
      <c r="R87" s="45" t="str">
        <f t="shared" si="8"/>
        <v/>
      </c>
      <c r="S87" s="45" t="str" cm="1">
        <f t="array" ref="S87">IFERROR([1]!FeetConvert(R87),"")</f>
        <v/>
      </c>
      <c r="T87" s="45" t="str">
        <f t="shared" si="9"/>
        <v/>
      </c>
    </row>
    <row r="88" spans="4:20" x14ac:dyDescent="0.7">
      <c r="D88" s="47" t="str" cm="1">
        <f t="array" ref="D88">IFERROR([2]!CalculateHyphenString(C88),"")</f>
        <v/>
      </c>
      <c r="M88" s="45" t="str">
        <f t="shared" si="5"/>
        <v/>
      </c>
      <c r="N88" s="1" t="s">
        <v>39</v>
      </c>
      <c r="O88" s="45" t="str">
        <f t="shared" si="6"/>
        <v/>
      </c>
      <c r="P88" s="45" t="str">
        <f t="shared" si="7"/>
        <v/>
      </c>
      <c r="R88" s="45" t="str">
        <f t="shared" si="8"/>
        <v/>
      </c>
      <c r="S88" s="45" t="str" cm="1">
        <f t="array" ref="S88">IFERROR([1]!FeetConvert(R88),"")</f>
        <v/>
      </c>
      <c r="T88" s="45" t="str">
        <f t="shared" si="9"/>
        <v/>
      </c>
    </row>
    <row r="89" spans="4:20" x14ac:dyDescent="0.7">
      <c r="D89" s="47" t="str" cm="1">
        <f t="array" ref="D89">IFERROR([2]!CalculateHyphenString(C89),"")</f>
        <v/>
      </c>
      <c r="M89" s="45" t="str">
        <f t="shared" si="5"/>
        <v/>
      </c>
      <c r="N89" s="1" t="s">
        <v>39</v>
      </c>
      <c r="O89" s="45" t="str">
        <f t="shared" si="6"/>
        <v/>
      </c>
      <c r="P89" s="45" t="str">
        <f t="shared" si="7"/>
        <v/>
      </c>
      <c r="R89" s="45" t="str">
        <f t="shared" si="8"/>
        <v/>
      </c>
      <c r="S89" s="45" t="str" cm="1">
        <f t="array" ref="S89">IFERROR([1]!FeetConvert(R89),"")</f>
        <v/>
      </c>
      <c r="T89" s="45" t="str">
        <f t="shared" si="9"/>
        <v/>
      </c>
    </row>
    <row r="90" spans="4:20" x14ac:dyDescent="0.7">
      <c r="D90" s="47" t="str" cm="1">
        <f t="array" ref="D90">IFERROR([2]!CalculateHyphenString(C90),"")</f>
        <v/>
      </c>
      <c r="M90" s="45" t="str">
        <f t="shared" si="5"/>
        <v/>
      </c>
      <c r="N90" s="1" t="s">
        <v>39</v>
      </c>
      <c r="O90" s="45" t="str">
        <f t="shared" si="6"/>
        <v/>
      </c>
      <c r="P90" s="45" t="str">
        <f t="shared" si="7"/>
        <v/>
      </c>
      <c r="R90" s="45" t="str">
        <f t="shared" si="8"/>
        <v/>
      </c>
      <c r="S90" s="45" t="str" cm="1">
        <f t="array" ref="S90">IFERROR([1]!FeetConvert(R90),"")</f>
        <v/>
      </c>
      <c r="T90" s="45" t="str">
        <f t="shared" si="9"/>
        <v/>
      </c>
    </row>
    <row r="91" spans="4:20" x14ac:dyDescent="0.7">
      <c r="D91" s="47" t="str" cm="1">
        <f t="array" ref="D91">IFERROR([2]!CalculateHyphenString(C91),"")</f>
        <v/>
      </c>
      <c r="M91" s="45" t="str">
        <f t="shared" si="5"/>
        <v/>
      </c>
      <c r="N91" s="1" t="s">
        <v>39</v>
      </c>
      <c r="O91" s="45" t="str">
        <f t="shared" si="6"/>
        <v/>
      </c>
      <c r="P91" s="45" t="str">
        <f t="shared" si="7"/>
        <v/>
      </c>
      <c r="R91" s="45" t="str">
        <f t="shared" si="8"/>
        <v/>
      </c>
      <c r="S91" s="45" t="str" cm="1">
        <f t="array" ref="S91">IFERROR([1]!FeetConvert(R91),"")</f>
        <v/>
      </c>
      <c r="T91" s="45" t="str">
        <f t="shared" si="9"/>
        <v/>
      </c>
    </row>
    <row r="92" spans="4:20" x14ac:dyDescent="0.7">
      <c r="D92" s="47" t="str" cm="1">
        <f t="array" ref="D92">IFERROR([2]!CalculateHyphenString(C92),"")</f>
        <v/>
      </c>
      <c r="M92" s="45" t="str">
        <f t="shared" si="5"/>
        <v/>
      </c>
      <c r="N92" s="1" t="s">
        <v>39</v>
      </c>
      <c r="O92" s="45" t="str">
        <f t="shared" si="6"/>
        <v/>
      </c>
      <c r="P92" s="45" t="str">
        <f t="shared" si="7"/>
        <v/>
      </c>
      <c r="R92" s="45" t="str">
        <f t="shared" si="8"/>
        <v/>
      </c>
      <c r="S92" s="45" t="str" cm="1">
        <f t="array" ref="S92">IFERROR([1]!FeetConvert(R92),"")</f>
        <v/>
      </c>
      <c r="T92" s="45" t="str">
        <f t="shared" si="9"/>
        <v/>
      </c>
    </row>
    <row r="93" spans="4:20" x14ac:dyDescent="0.7">
      <c r="D93" s="47" t="str" cm="1">
        <f t="array" ref="D93">IFERROR([2]!CalculateHyphenString(C93),"")</f>
        <v/>
      </c>
      <c r="M93" s="45" t="str">
        <f t="shared" si="5"/>
        <v/>
      </c>
      <c r="N93" s="1" t="s">
        <v>39</v>
      </c>
      <c r="O93" s="45" t="str">
        <f t="shared" si="6"/>
        <v/>
      </c>
      <c r="P93" s="45" t="str">
        <f t="shared" si="7"/>
        <v/>
      </c>
      <c r="R93" s="45" t="str">
        <f t="shared" si="8"/>
        <v/>
      </c>
      <c r="S93" s="45" t="str" cm="1">
        <f t="array" ref="S93">IFERROR([1]!FeetConvert(R93),"")</f>
        <v/>
      </c>
      <c r="T93" s="45" t="str">
        <f t="shared" si="9"/>
        <v/>
      </c>
    </row>
    <row r="94" spans="4:20" x14ac:dyDescent="0.7">
      <c r="D94" s="47" t="str" cm="1">
        <f t="array" ref="D94">IFERROR([2]!CalculateHyphenString(C94),"")</f>
        <v/>
      </c>
      <c r="M94" s="45" t="str">
        <f t="shared" si="5"/>
        <v/>
      </c>
      <c r="N94" s="1" t="s">
        <v>39</v>
      </c>
      <c r="O94" s="45" t="str">
        <f t="shared" si="6"/>
        <v/>
      </c>
      <c r="P94" s="45" t="str">
        <f t="shared" si="7"/>
        <v/>
      </c>
      <c r="R94" s="45" t="str">
        <f t="shared" si="8"/>
        <v/>
      </c>
      <c r="S94" s="45" t="str" cm="1">
        <f t="array" ref="S94">IFERROR([1]!FeetConvert(R94),"")</f>
        <v/>
      </c>
      <c r="T94" s="45" t="str">
        <f t="shared" si="9"/>
        <v/>
      </c>
    </row>
    <row r="95" spans="4:20" x14ac:dyDescent="0.7">
      <c r="D95" s="47" t="str" cm="1">
        <f t="array" ref="D95">IFERROR([2]!CalculateHyphenString(C95),"")</f>
        <v/>
      </c>
      <c r="M95" s="45" t="str">
        <f t="shared" si="5"/>
        <v/>
      </c>
      <c r="N95" s="1" t="s">
        <v>39</v>
      </c>
      <c r="O95" s="45" t="str">
        <f t="shared" si="6"/>
        <v/>
      </c>
      <c r="P95" s="45" t="str">
        <f t="shared" si="7"/>
        <v/>
      </c>
      <c r="R95" s="45" t="str">
        <f t="shared" si="8"/>
        <v/>
      </c>
      <c r="S95" s="45" t="str" cm="1">
        <f t="array" ref="S95">IFERROR([1]!FeetConvert(R95),"")</f>
        <v/>
      </c>
      <c r="T95" s="45" t="str">
        <f t="shared" si="9"/>
        <v/>
      </c>
    </row>
    <row r="96" spans="4:20" x14ac:dyDescent="0.7">
      <c r="D96" s="47" t="str" cm="1">
        <f t="array" ref="D96">IFERROR([2]!CalculateHyphenString(C96),"")</f>
        <v/>
      </c>
      <c r="M96" s="45" t="str">
        <f t="shared" si="5"/>
        <v/>
      </c>
      <c r="N96" s="1" t="s">
        <v>39</v>
      </c>
      <c r="O96" s="45" t="str">
        <f t="shared" si="6"/>
        <v/>
      </c>
      <c r="P96" s="45" t="str">
        <f t="shared" si="7"/>
        <v/>
      </c>
      <c r="R96" s="45" t="str">
        <f t="shared" si="8"/>
        <v/>
      </c>
      <c r="S96" s="45" t="str" cm="1">
        <f t="array" ref="S96">IFERROR([1]!FeetConvert(R96),"")</f>
        <v/>
      </c>
      <c r="T96" s="45" t="str">
        <f t="shared" si="9"/>
        <v/>
      </c>
    </row>
    <row r="97" spans="4:20" x14ac:dyDescent="0.7">
      <c r="D97" s="47" t="str" cm="1">
        <f t="array" ref="D97">IFERROR([2]!CalculateHyphenString(C97),"")</f>
        <v/>
      </c>
      <c r="M97" s="45" t="str">
        <f t="shared" si="5"/>
        <v/>
      </c>
      <c r="N97" s="1" t="s">
        <v>39</v>
      </c>
      <c r="O97" s="45" t="str">
        <f t="shared" si="6"/>
        <v/>
      </c>
      <c r="P97" s="45" t="str">
        <f t="shared" si="7"/>
        <v/>
      </c>
      <c r="R97" s="45" t="str">
        <f t="shared" si="8"/>
        <v/>
      </c>
      <c r="S97" s="45" t="str" cm="1">
        <f t="array" ref="S97">IFERROR([1]!FeetConvert(R97),"")</f>
        <v/>
      </c>
      <c r="T97" s="45" t="str">
        <f t="shared" si="9"/>
        <v/>
      </c>
    </row>
    <row r="98" spans="4:20" x14ac:dyDescent="0.7">
      <c r="D98" s="47" t="str" cm="1">
        <f t="array" ref="D98">IFERROR([2]!CalculateHyphenString(C98),"")</f>
        <v/>
      </c>
      <c r="M98" s="45" t="str">
        <f t="shared" si="5"/>
        <v/>
      </c>
      <c r="N98" s="1" t="s">
        <v>39</v>
      </c>
      <c r="O98" s="45" t="str">
        <f t="shared" si="6"/>
        <v/>
      </c>
      <c r="P98" s="45" t="str">
        <f t="shared" si="7"/>
        <v/>
      </c>
      <c r="R98" s="45" t="str">
        <f t="shared" si="8"/>
        <v/>
      </c>
      <c r="S98" s="45" t="str" cm="1">
        <f t="array" ref="S98">IFERROR([1]!FeetConvert(R98),"")</f>
        <v/>
      </c>
      <c r="T98" s="45" t="str">
        <f t="shared" si="9"/>
        <v/>
      </c>
    </row>
    <row r="99" spans="4:20" x14ac:dyDescent="0.7">
      <c r="D99" s="47" t="str" cm="1">
        <f t="array" ref="D99">IFERROR([2]!CalculateHyphenString(C99),"")</f>
        <v/>
      </c>
      <c r="M99" s="45" t="str">
        <f t="shared" si="5"/>
        <v/>
      </c>
      <c r="N99" s="1" t="s">
        <v>39</v>
      </c>
      <c r="O99" s="45" t="str">
        <f t="shared" si="6"/>
        <v/>
      </c>
      <c r="P99" s="45" t="str">
        <f t="shared" si="7"/>
        <v/>
      </c>
      <c r="R99" s="45" t="str">
        <f t="shared" si="8"/>
        <v/>
      </c>
      <c r="S99" s="45" t="str" cm="1">
        <f t="array" ref="S99">IFERROR([1]!FeetConvert(R99),"")</f>
        <v/>
      </c>
      <c r="T99" s="45" t="str">
        <f t="shared" si="9"/>
        <v/>
      </c>
    </row>
    <row r="100" spans="4:20" x14ac:dyDescent="0.7">
      <c r="D100" s="47" t="str" cm="1">
        <f t="array" ref="D100">IFERROR([2]!CalculateHyphenString(C100),"")</f>
        <v/>
      </c>
      <c r="M100" s="45" t="str">
        <f t="shared" si="5"/>
        <v/>
      </c>
      <c r="N100" s="1" t="s">
        <v>39</v>
      </c>
      <c r="O100" s="45" t="str">
        <f t="shared" si="6"/>
        <v/>
      </c>
      <c r="P100" s="45" t="str">
        <f t="shared" si="7"/>
        <v/>
      </c>
      <c r="R100" s="45" t="str">
        <f t="shared" si="8"/>
        <v/>
      </c>
      <c r="S100" s="45" t="str" cm="1">
        <f t="array" ref="S100">IFERROR([1]!FeetConvert(R100),"")</f>
        <v/>
      </c>
      <c r="T100" s="45" t="str">
        <f t="shared" si="9"/>
        <v/>
      </c>
    </row>
    <row r="101" spans="4:20" x14ac:dyDescent="0.7">
      <c r="D101" s="47" t="str" cm="1">
        <f t="array" ref="D101">IFERROR([2]!CalculateHyphenString(C101),"")</f>
        <v/>
      </c>
      <c r="M101" s="45" t="str">
        <f t="shared" si="5"/>
        <v/>
      </c>
      <c r="N101" s="1" t="s">
        <v>39</v>
      </c>
      <c r="O101" s="45" t="str">
        <f t="shared" si="6"/>
        <v/>
      </c>
      <c r="P101" s="45" t="str">
        <f t="shared" si="7"/>
        <v/>
      </c>
      <c r="R101" s="45" t="str">
        <f t="shared" si="8"/>
        <v/>
      </c>
      <c r="S101" s="45" t="str" cm="1">
        <f t="array" ref="S101">IFERROR([1]!FeetConvert(R101),"")</f>
        <v/>
      </c>
      <c r="T101" s="45" t="str">
        <f t="shared" si="9"/>
        <v/>
      </c>
    </row>
    <row r="102" spans="4:20" x14ac:dyDescent="0.7">
      <c r="D102" s="47" t="str" cm="1">
        <f t="array" ref="D102">IFERROR([2]!CalculateHyphenString(C102),"")</f>
        <v/>
      </c>
      <c r="M102" s="45" t="str">
        <f t="shared" si="5"/>
        <v/>
      </c>
      <c r="N102" s="1" t="s">
        <v>39</v>
      </c>
      <c r="O102" s="45" t="str">
        <f t="shared" si="6"/>
        <v/>
      </c>
      <c r="P102" s="45" t="str">
        <f t="shared" si="7"/>
        <v/>
      </c>
      <c r="R102" s="45" t="str">
        <f t="shared" si="8"/>
        <v/>
      </c>
      <c r="S102" s="45" t="str" cm="1">
        <f t="array" ref="S102">IFERROR([1]!FeetConvert(R102),"")</f>
        <v/>
      </c>
      <c r="T102" s="45" t="str">
        <f t="shared" si="9"/>
        <v/>
      </c>
    </row>
    <row r="103" spans="4:20" x14ac:dyDescent="0.7">
      <c r="D103" s="47" t="str" cm="1">
        <f t="array" ref="D103">IFERROR([2]!CalculateHyphenString(C103),"")</f>
        <v/>
      </c>
      <c r="M103" s="45" t="str">
        <f t="shared" si="5"/>
        <v/>
      </c>
      <c r="N103" s="1" t="s">
        <v>39</v>
      </c>
      <c r="O103" s="45" t="str">
        <f t="shared" si="6"/>
        <v/>
      </c>
      <c r="P103" s="45" t="str">
        <f t="shared" si="7"/>
        <v/>
      </c>
      <c r="R103" s="45" t="str">
        <f t="shared" si="8"/>
        <v/>
      </c>
      <c r="S103" s="45" t="str" cm="1">
        <f t="array" ref="S103">IFERROR([1]!FeetConvert(R103),"")</f>
        <v/>
      </c>
      <c r="T103" s="45" t="str">
        <f t="shared" si="9"/>
        <v/>
      </c>
    </row>
    <row r="104" spans="4:20" x14ac:dyDescent="0.7">
      <c r="D104" s="47" t="str" cm="1">
        <f t="array" ref="D104">IFERROR([2]!CalculateHyphenString(C104),"")</f>
        <v/>
      </c>
      <c r="M104" s="45" t="str">
        <f t="shared" si="5"/>
        <v/>
      </c>
      <c r="N104" s="1" t="s">
        <v>39</v>
      </c>
      <c r="O104" s="45" t="str">
        <f t="shared" si="6"/>
        <v/>
      </c>
      <c r="P104" s="45" t="str">
        <f t="shared" si="7"/>
        <v/>
      </c>
      <c r="R104" s="45" t="str">
        <f t="shared" si="8"/>
        <v/>
      </c>
      <c r="S104" s="45" t="str" cm="1">
        <f t="array" ref="S104">IFERROR([1]!FeetConvert(R104),"")</f>
        <v/>
      </c>
      <c r="T104" s="45" t="str">
        <f t="shared" si="9"/>
        <v/>
      </c>
    </row>
    <row r="105" spans="4:20" x14ac:dyDescent="0.7">
      <c r="D105" s="47" t="str" cm="1">
        <f t="array" ref="D105">IFERROR([2]!CalculateHyphenString(C105),"")</f>
        <v/>
      </c>
      <c r="M105" s="45" t="str">
        <f t="shared" si="5"/>
        <v/>
      </c>
      <c r="N105" s="1" t="s">
        <v>39</v>
      </c>
      <c r="O105" s="45" t="str">
        <f t="shared" si="6"/>
        <v/>
      </c>
      <c r="P105" s="45" t="str">
        <f t="shared" si="7"/>
        <v/>
      </c>
      <c r="R105" s="45" t="str">
        <f t="shared" si="8"/>
        <v/>
      </c>
      <c r="S105" s="45" t="str" cm="1">
        <f t="array" ref="S105">IFERROR([1]!FeetConvert(R105),"")</f>
        <v/>
      </c>
      <c r="T105" s="45" t="str">
        <f t="shared" si="9"/>
        <v/>
      </c>
    </row>
    <row r="106" spans="4:20" x14ac:dyDescent="0.7">
      <c r="D106" s="47" t="str" cm="1">
        <f t="array" ref="D106">IFERROR([2]!CalculateHyphenString(C106),"")</f>
        <v/>
      </c>
      <c r="M106" s="45" t="str">
        <f t="shared" si="5"/>
        <v/>
      </c>
      <c r="N106" s="1" t="s">
        <v>39</v>
      </c>
      <c r="O106" s="45" t="str">
        <f t="shared" si="6"/>
        <v/>
      </c>
      <c r="P106" s="45" t="str">
        <f t="shared" si="7"/>
        <v/>
      </c>
      <c r="R106" s="45" t="str">
        <f t="shared" si="8"/>
        <v/>
      </c>
      <c r="S106" s="45" t="str" cm="1">
        <f t="array" ref="S106">IFERROR([1]!FeetConvert(R106),"")</f>
        <v/>
      </c>
      <c r="T106" s="45" t="str">
        <f t="shared" si="9"/>
        <v/>
      </c>
    </row>
    <row r="107" spans="4:20" x14ac:dyDescent="0.7">
      <c r="D107" s="47" t="str" cm="1">
        <f t="array" ref="D107">IFERROR([2]!CalculateHyphenString(C107),"")</f>
        <v/>
      </c>
      <c r="M107" s="45" t="str">
        <f t="shared" si="5"/>
        <v/>
      </c>
      <c r="N107" s="1" t="s">
        <v>39</v>
      </c>
      <c r="O107" s="45" t="str">
        <f t="shared" si="6"/>
        <v/>
      </c>
      <c r="P107" s="45" t="str">
        <f t="shared" si="7"/>
        <v/>
      </c>
      <c r="R107" s="45" t="str">
        <f t="shared" si="8"/>
        <v/>
      </c>
      <c r="S107" s="45" t="str" cm="1">
        <f t="array" ref="S107">IFERROR([1]!FeetConvert(R107),"")</f>
        <v/>
      </c>
      <c r="T107" s="45" t="str">
        <f t="shared" si="9"/>
        <v/>
      </c>
    </row>
    <row r="108" spans="4:20" x14ac:dyDescent="0.7">
      <c r="D108" s="47" t="str" cm="1">
        <f t="array" ref="D108">IFERROR([2]!CalculateHyphenString(C108),"")</f>
        <v/>
      </c>
      <c r="M108" s="45" t="str">
        <f t="shared" si="5"/>
        <v/>
      </c>
      <c r="N108" s="1" t="s">
        <v>39</v>
      </c>
      <c r="O108" s="45" t="str">
        <f t="shared" si="6"/>
        <v/>
      </c>
      <c r="P108" s="45" t="str">
        <f t="shared" si="7"/>
        <v/>
      </c>
      <c r="R108" s="45" t="str">
        <f t="shared" si="8"/>
        <v/>
      </c>
      <c r="S108" s="45" t="str" cm="1">
        <f t="array" ref="S108">IFERROR([1]!FeetConvert(R108),"")</f>
        <v/>
      </c>
      <c r="T108" s="45" t="str">
        <f t="shared" si="9"/>
        <v/>
      </c>
    </row>
    <row r="109" spans="4:20" x14ac:dyDescent="0.7">
      <c r="D109" s="47" t="str" cm="1">
        <f t="array" ref="D109">IFERROR([2]!CalculateHyphenString(C109),"")</f>
        <v/>
      </c>
      <c r="M109" s="45" t="str">
        <f t="shared" si="5"/>
        <v/>
      </c>
      <c r="N109" s="1" t="s">
        <v>39</v>
      </c>
      <c r="O109" s="45" t="str">
        <f t="shared" si="6"/>
        <v/>
      </c>
      <c r="P109" s="45" t="str">
        <f t="shared" si="7"/>
        <v/>
      </c>
      <c r="R109" s="45" t="str">
        <f t="shared" si="8"/>
        <v/>
      </c>
      <c r="S109" s="45" t="str" cm="1">
        <f t="array" ref="S109">IFERROR([1]!FeetConvert(R109),"")</f>
        <v/>
      </c>
      <c r="T109" s="45" t="str">
        <f t="shared" si="9"/>
        <v/>
      </c>
    </row>
    <row r="110" spans="4:20" x14ac:dyDescent="0.7">
      <c r="D110" s="47" t="str" cm="1">
        <f t="array" ref="D110">IFERROR([2]!CalculateHyphenString(C110),"")</f>
        <v/>
      </c>
      <c r="M110" s="45" t="str">
        <f t="shared" si="5"/>
        <v/>
      </c>
      <c r="N110" s="1" t="s">
        <v>39</v>
      </c>
      <c r="O110" s="45" t="str">
        <f t="shared" si="6"/>
        <v/>
      </c>
      <c r="P110" s="45" t="str">
        <f t="shared" si="7"/>
        <v/>
      </c>
      <c r="R110" s="45" t="str">
        <f t="shared" si="8"/>
        <v/>
      </c>
      <c r="S110" s="45" t="str" cm="1">
        <f t="array" ref="S110">IFERROR([1]!FeetConvert(R110),"")</f>
        <v/>
      </c>
      <c r="T110" s="45" t="str">
        <f t="shared" si="9"/>
        <v/>
      </c>
    </row>
    <row r="111" spans="4:20" x14ac:dyDescent="0.7">
      <c r="D111" s="47" t="str" cm="1">
        <f t="array" ref="D111">IFERROR([2]!CalculateHyphenString(C111),"")</f>
        <v/>
      </c>
      <c r="M111" s="45" t="str">
        <f t="shared" si="5"/>
        <v/>
      </c>
      <c r="N111" s="1" t="s">
        <v>39</v>
      </c>
      <c r="O111" s="45" t="str">
        <f t="shared" si="6"/>
        <v/>
      </c>
      <c r="P111" s="45" t="str">
        <f t="shared" si="7"/>
        <v/>
      </c>
      <c r="R111" s="45" t="str">
        <f t="shared" si="8"/>
        <v/>
      </c>
      <c r="S111" s="45" t="str" cm="1">
        <f t="array" ref="S111">IFERROR([1]!FeetConvert(R111),"")</f>
        <v/>
      </c>
      <c r="T111" s="45" t="str">
        <f t="shared" si="9"/>
        <v/>
      </c>
    </row>
    <row r="112" spans="4:20" x14ac:dyDescent="0.7">
      <c r="D112" s="47" t="str" cm="1">
        <f t="array" ref="D112">IFERROR([2]!CalculateHyphenString(C112),"")</f>
        <v/>
      </c>
      <c r="M112" s="45" t="str">
        <f t="shared" si="5"/>
        <v/>
      </c>
      <c r="N112" s="1" t="s">
        <v>39</v>
      </c>
      <c r="O112" s="45" t="str">
        <f t="shared" si="6"/>
        <v/>
      </c>
      <c r="P112" s="45" t="str">
        <f t="shared" si="7"/>
        <v/>
      </c>
      <c r="R112" s="45" t="str">
        <f t="shared" si="8"/>
        <v/>
      </c>
      <c r="S112" s="45" t="str" cm="1">
        <f t="array" ref="S112">IFERROR([1]!FeetConvert(R112),"")</f>
        <v/>
      </c>
      <c r="T112" s="45" t="str">
        <f t="shared" si="9"/>
        <v/>
      </c>
    </row>
    <row r="113" spans="4:20" x14ac:dyDescent="0.7">
      <c r="D113" s="47" t="str" cm="1">
        <f t="array" ref="D113">IFERROR([2]!CalculateHyphenString(C113),"")</f>
        <v/>
      </c>
      <c r="M113" s="45" t="str">
        <f t="shared" si="5"/>
        <v/>
      </c>
      <c r="N113" s="1" t="s">
        <v>39</v>
      </c>
      <c r="O113" s="45" t="str">
        <f t="shared" si="6"/>
        <v/>
      </c>
      <c r="P113" s="45" t="str">
        <f t="shared" si="7"/>
        <v/>
      </c>
      <c r="R113" s="45" t="str">
        <f t="shared" si="8"/>
        <v/>
      </c>
      <c r="S113" s="45" t="str" cm="1">
        <f t="array" ref="S113">IFERROR([1]!FeetConvert(R113),"")</f>
        <v/>
      </c>
      <c r="T113" s="45" t="str">
        <f t="shared" si="9"/>
        <v/>
      </c>
    </row>
    <row r="114" spans="4:20" x14ac:dyDescent="0.7">
      <c r="D114" s="47" t="str" cm="1">
        <f t="array" ref="D114">IFERROR([2]!CalculateHyphenString(C114),"")</f>
        <v/>
      </c>
      <c r="M114" s="45" t="str">
        <f t="shared" si="5"/>
        <v/>
      </c>
      <c r="N114" s="1" t="s">
        <v>39</v>
      </c>
      <c r="O114" s="45" t="str">
        <f t="shared" si="6"/>
        <v/>
      </c>
      <c r="P114" s="45" t="str">
        <f t="shared" si="7"/>
        <v/>
      </c>
      <c r="R114" s="45" t="str">
        <f t="shared" si="8"/>
        <v/>
      </c>
      <c r="S114" s="45" t="str" cm="1">
        <f t="array" ref="S114">IFERROR([1]!FeetConvert(R114),"")</f>
        <v/>
      </c>
      <c r="T114" s="45" t="str">
        <f t="shared" si="9"/>
        <v/>
      </c>
    </row>
    <row r="115" spans="4:20" x14ac:dyDescent="0.7">
      <c r="D115" s="47" t="str" cm="1">
        <f t="array" ref="D115">IFERROR([2]!CalculateHyphenString(C115),"")</f>
        <v/>
      </c>
      <c r="M115" s="45" t="str">
        <f t="shared" si="5"/>
        <v/>
      </c>
      <c r="N115" s="1" t="s">
        <v>39</v>
      </c>
      <c r="O115" s="45" t="str">
        <f t="shared" si="6"/>
        <v/>
      </c>
      <c r="P115" s="45" t="str">
        <f t="shared" si="7"/>
        <v/>
      </c>
      <c r="R115" s="45" t="str">
        <f t="shared" si="8"/>
        <v/>
      </c>
      <c r="S115" s="45" t="str" cm="1">
        <f t="array" ref="S115">IFERROR([1]!FeetConvert(R115),"")</f>
        <v/>
      </c>
      <c r="T115" s="45" t="str">
        <f t="shared" si="9"/>
        <v/>
      </c>
    </row>
    <row r="116" spans="4:20" x14ac:dyDescent="0.7">
      <c r="D116" s="47" t="str" cm="1">
        <f t="array" ref="D116">IFERROR([2]!CalculateHyphenString(C116),"")</f>
        <v/>
      </c>
      <c r="M116" s="45" t="str">
        <f t="shared" si="5"/>
        <v/>
      </c>
      <c r="N116" s="1" t="s">
        <v>39</v>
      </c>
      <c r="O116" s="45" t="str">
        <f t="shared" si="6"/>
        <v/>
      </c>
      <c r="P116" s="45" t="str">
        <f t="shared" si="7"/>
        <v/>
      </c>
      <c r="R116" s="45" t="str">
        <f t="shared" si="8"/>
        <v/>
      </c>
      <c r="S116" s="45" t="str" cm="1">
        <f t="array" ref="S116">IFERROR([1]!FeetConvert(R116),"")</f>
        <v/>
      </c>
      <c r="T116" s="45" t="str">
        <f t="shared" si="9"/>
        <v/>
      </c>
    </row>
    <row r="117" spans="4:20" x14ac:dyDescent="0.7">
      <c r="D117" s="47" t="str" cm="1">
        <f t="array" ref="D117">IFERROR([2]!CalculateHyphenString(C117),"")</f>
        <v/>
      </c>
      <c r="M117" s="45" t="str">
        <f t="shared" si="5"/>
        <v/>
      </c>
      <c r="N117" s="1" t="s">
        <v>39</v>
      </c>
      <c r="O117" s="45" t="str">
        <f t="shared" si="6"/>
        <v/>
      </c>
      <c r="P117" s="45" t="str">
        <f t="shared" si="7"/>
        <v/>
      </c>
      <c r="R117" s="45" t="str">
        <f t="shared" si="8"/>
        <v/>
      </c>
      <c r="S117" s="45" t="str" cm="1">
        <f t="array" ref="S117">IFERROR([1]!FeetConvert(R117),"")</f>
        <v/>
      </c>
      <c r="T117" s="45" t="str">
        <f t="shared" si="9"/>
        <v/>
      </c>
    </row>
    <row r="118" spans="4:20" x14ac:dyDescent="0.7">
      <c r="D118" s="47" t="str" cm="1">
        <f t="array" ref="D118">IFERROR([2]!CalculateHyphenString(C118),"")</f>
        <v/>
      </c>
      <c r="M118" s="45" t="str">
        <f t="shared" si="5"/>
        <v/>
      </c>
      <c r="N118" s="1" t="s">
        <v>39</v>
      </c>
      <c r="O118" s="45" t="str">
        <f t="shared" si="6"/>
        <v/>
      </c>
      <c r="P118" s="45" t="str">
        <f t="shared" si="7"/>
        <v/>
      </c>
      <c r="R118" s="45" t="str">
        <f t="shared" si="8"/>
        <v/>
      </c>
      <c r="S118" s="45" t="str" cm="1">
        <f t="array" ref="S118">IFERROR([1]!FeetConvert(R118),"")</f>
        <v/>
      </c>
      <c r="T118" s="45" t="str">
        <f t="shared" si="9"/>
        <v/>
      </c>
    </row>
    <row r="119" spans="4:20" x14ac:dyDescent="0.7">
      <c r="D119" s="47" t="str" cm="1">
        <f t="array" ref="D119">IFERROR([2]!CalculateHyphenString(C119),"")</f>
        <v/>
      </c>
      <c r="M119" s="45" t="str">
        <f t="shared" si="5"/>
        <v/>
      </c>
      <c r="N119" s="1" t="s">
        <v>39</v>
      </c>
      <c r="O119" s="45" t="str">
        <f t="shared" si="6"/>
        <v/>
      </c>
      <c r="P119" s="45" t="str">
        <f t="shared" si="7"/>
        <v/>
      </c>
      <c r="R119" s="45" t="str">
        <f t="shared" si="8"/>
        <v/>
      </c>
      <c r="S119" s="45" t="str" cm="1">
        <f t="array" ref="S119">IFERROR([1]!FeetConvert(R119),"")</f>
        <v/>
      </c>
      <c r="T119" s="45" t="str">
        <f t="shared" si="9"/>
        <v/>
      </c>
    </row>
    <row r="120" spans="4:20" x14ac:dyDescent="0.7">
      <c r="D120" s="47" t="str" cm="1">
        <f t="array" ref="D120">IFERROR([2]!CalculateHyphenString(C120),"")</f>
        <v/>
      </c>
      <c r="M120" s="45" t="str">
        <f t="shared" si="5"/>
        <v/>
      </c>
      <c r="N120" s="1" t="s">
        <v>39</v>
      </c>
      <c r="O120" s="45" t="str">
        <f t="shared" si="6"/>
        <v/>
      </c>
      <c r="P120" s="45" t="str">
        <f t="shared" si="7"/>
        <v/>
      </c>
      <c r="R120" s="45" t="str">
        <f t="shared" si="8"/>
        <v/>
      </c>
      <c r="S120" s="45" t="str" cm="1">
        <f t="array" ref="S120">IFERROR([1]!FeetConvert(R120),"")</f>
        <v/>
      </c>
      <c r="T120" s="45" t="str">
        <f t="shared" si="9"/>
        <v/>
      </c>
    </row>
    <row r="121" spans="4:20" x14ac:dyDescent="0.7">
      <c r="D121" s="47" t="str" cm="1">
        <f t="array" ref="D121">IFERROR([2]!CalculateHyphenString(C121),"")</f>
        <v/>
      </c>
      <c r="M121" s="45" t="str">
        <f t="shared" si="5"/>
        <v/>
      </c>
      <c r="N121" s="1" t="s">
        <v>39</v>
      </c>
      <c r="O121" s="45" t="str">
        <f t="shared" si="6"/>
        <v/>
      </c>
      <c r="P121" s="45" t="str">
        <f t="shared" si="7"/>
        <v/>
      </c>
      <c r="R121" s="45" t="str">
        <f t="shared" si="8"/>
        <v/>
      </c>
      <c r="S121" s="45" t="str" cm="1">
        <f t="array" ref="S121">IFERROR([1]!FeetConvert(R121),"")</f>
        <v/>
      </c>
      <c r="T121" s="45" t="str">
        <f t="shared" si="9"/>
        <v/>
      </c>
    </row>
    <row r="122" spans="4:20" x14ac:dyDescent="0.7">
      <c r="D122" s="47" t="str" cm="1">
        <f t="array" ref="D122">IFERROR([2]!CalculateHyphenString(C122),"")</f>
        <v/>
      </c>
      <c r="M122" s="45" t="str">
        <f t="shared" si="5"/>
        <v/>
      </c>
      <c r="N122" s="1" t="s">
        <v>39</v>
      </c>
      <c r="O122" s="45" t="str">
        <f t="shared" si="6"/>
        <v/>
      </c>
      <c r="P122" s="45" t="str">
        <f t="shared" si="7"/>
        <v/>
      </c>
      <c r="R122" s="45" t="str">
        <f t="shared" si="8"/>
        <v/>
      </c>
      <c r="S122" s="45" t="str" cm="1">
        <f t="array" ref="S122">IFERROR([1]!FeetConvert(R122),"")</f>
        <v/>
      </c>
      <c r="T122" s="45" t="str">
        <f t="shared" si="9"/>
        <v/>
      </c>
    </row>
    <row r="123" spans="4:20" x14ac:dyDescent="0.7">
      <c r="D123" s="47" t="str" cm="1">
        <f t="array" ref="D123">IFERROR([2]!CalculateHyphenString(C123),"")</f>
        <v/>
      </c>
      <c r="M123" s="45" t="str">
        <f t="shared" si="5"/>
        <v/>
      </c>
      <c r="N123" s="1" t="s">
        <v>39</v>
      </c>
      <c r="O123" s="45" t="str">
        <f t="shared" si="6"/>
        <v/>
      </c>
      <c r="P123" s="45" t="str">
        <f t="shared" si="7"/>
        <v/>
      </c>
      <c r="R123" s="45" t="str">
        <f t="shared" si="8"/>
        <v/>
      </c>
      <c r="S123" s="45" t="str" cm="1">
        <f t="array" ref="S123">IFERROR([1]!FeetConvert(R123),"")</f>
        <v/>
      </c>
      <c r="T123" s="45" t="str">
        <f t="shared" si="9"/>
        <v/>
      </c>
    </row>
    <row r="124" spans="4:20" x14ac:dyDescent="0.7">
      <c r="D124" s="47" t="str" cm="1">
        <f t="array" ref="D124">IFERROR([2]!CalculateHyphenString(C124),"")</f>
        <v/>
      </c>
      <c r="M124" s="45" t="str">
        <f t="shared" si="5"/>
        <v/>
      </c>
      <c r="N124" s="1" t="s">
        <v>39</v>
      </c>
      <c r="O124" s="45" t="str">
        <f t="shared" si="6"/>
        <v/>
      </c>
      <c r="P124" s="45" t="str">
        <f t="shared" si="7"/>
        <v/>
      </c>
      <c r="R124" s="45" t="str">
        <f t="shared" si="8"/>
        <v/>
      </c>
      <c r="S124" s="45" t="str" cm="1">
        <f t="array" ref="S124">IFERROR([1]!FeetConvert(R124),"")</f>
        <v/>
      </c>
      <c r="T124" s="45" t="str">
        <f t="shared" si="9"/>
        <v/>
      </c>
    </row>
    <row r="125" spans="4:20" x14ac:dyDescent="0.7">
      <c r="D125" s="47" t="str" cm="1">
        <f t="array" ref="D125">IFERROR([2]!CalculateHyphenString(C125),"")</f>
        <v/>
      </c>
      <c r="M125" s="45" t="str">
        <f t="shared" si="5"/>
        <v/>
      </c>
      <c r="N125" s="1" t="s">
        <v>39</v>
      </c>
      <c r="O125" s="45" t="str">
        <f t="shared" si="6"/>
        <v/>
      </c>
      <c r="P125" s="45" t="str">
        <f t="shared" si="7"/>
        <v/>
      </c>
      <c r="R125" s="45" t="str">
        <f t="shared" si="8"/>
        <v/>
      </c>
      <c r="S125" s="45" t="str" cm="1">
        <f t="array" ref="S125">IFERROR([1]!FeetConvert(R125),"")</f>
        <v/>
      </c>
      <c r="T125" s="45" t="str">
        <f t="shared" si="9"/>
        <v/>
      </c>
    </row>
    <row r="126" spans="4:20" x14ac:dyDescent="0.7">
      <c r="D126" s="47" t="str" cm="1">
        <f t="array" ref="D126">IFERROR([2]!CalculateHyphenString(C126),"")</f>
        <v/>
      </c>
      <c r="M126" s="45" t="str">
        <f t="shared" si="5"/>
        <v/>
      </c>
      <c r="N126" s="1" t="s">
        <v>39</v>
      </c>
      <c r="O126" s="45" t="str">
        <f t="shared" si="6"/>
        <v/>
      </c>
      <c r="P126" s="45" t="str">
        <f t="shared" si="7"/>
        <v/>
      </c>
      <c r="R126" s="45" t="str">
        <f t="shared" si="8"/>
        <v/>
      </c>
      <c r="S126" s="45" t="str" cm="1">
        <f t="array" ref="S126">IFERROR([1]!FeetConvert(R126),"")</f>
        <v/>
      </c>
      <c r="T126" s="45" t="str">
        <f t="shared" si="9"/>
        <v/>
      </c>
    </row>
    <row r="127" spans="4:20" x14ac:dyDescent="0.7">
      <c r="D127" s="47" t="str" cm="1">
        <f t="array" ref="D127">IFERROR([2]!CalculateHyphenString(C127),"")</f>
        <v/>
      </c>
      <c r="M127" s="45" t="str">
        <f t="shared" si="5"/>
        <v/>
      </c>
      <c r="N127" s="1" t="s">
        <v>39</v>
      </c>
      <c r="O127" s="45" t="str">
        <f t="shared" si="6"/>
        <v/>
      </c>
      <c r="P127" s="45" t="str">
        <f t="shared" si="7"/>
        <v/>
      </c>
      <c r="R127" s="45" t="str">
        <f t="shared" si="8"/>
        <v/>
      </c>
      <c r="S127" s="45" t="str" cm="1">
        <f t="array" ref="S127">IFERROR([1]!FeetConvert(R127),"")</f>
        <v/>
      </c>
      <c r="T127" s="45" t="str">
        <f t="shared" si="9"/>
        <v/>
      </c>
    </row>
    <row r="128" spans="4:20" x14ac:dyDescent="0.7">
      <c r="D128" s="47" t="str" cm="1">
        <f t="array" ref="D128">IFERROR([2]!CalculateHyphenString(C128),"")</f>
        <v/>
      </c>
      <c r="M128" s="45" t="str">
        <f t="shared" si="5"/>
        <v/>
      </c>
      <c r="N128" s="1" t="s">
        <v>39</v>
      </c>
      <c r="O128" s="45" t="str">
        <f t="shared" si="6"/>
        <v/>
      </c>
      <c r="P128" s="45" t="str">
        <f t="shared" si="7"/>
        <v/>
      </c>
      <c r="R128" s="45" t="str">
        <f t="shared" si="8"/>
        <v/>
      </c>
      <c r="S128" s="45" t="str" cm="1">
        <f t="array" ref="S128">IFERROR([1]!FeetConvert(R128),"")</f>
        <v/>
      </c>
      <c r="T128" s="45" t="str">
        <f t="shared" si="9"/>
        <v/>
      </c>
    </row>
    <row r="129" spans="4:20" x14ac:dyDescent="0.7">
      <c r="D129" s="47" t="str" cm="1">
        <f t="array" ref="D129">IFERROR([2]!CalculateHyphenString(C129),"")</f>
        <v/>
      </c>
      <c r="M129" s="45" t="str">
        <f t="shared" si="5"/>
        <v/>
      </c>
      <c r="N129" s="1" t="s">
        <v>39</v>
      </c>
      <c r="O129" s="45" t="str">
        <f t="shared" si="6"/>
        <v/>
      </c>
      <c r="P129" s="45" t="str">
        <f t="shared" si="7"/>
        <v/>
      </c>
      <c r="R129" s="45" t="str">
        <f t="shared" si="8"/>
        <v/>
      </c>
      <c r="S129" s="45" t="str" cm="1">
        <f t="array" ref="S129">IFERROR([1]!FeetConvert(R129),"")</f>
        <v/>
      </c>
      <c r="T129" s="45" t="str">
        <f t="shared" si="9"/>
        <v/>
      </c>
    </row>
    <row r="130" spans="4:20" x14ac:dyDescent="0.7">
      <c r="D130" s="47" t="str" cm="1">
        <f t="array" ref="D130">IFERROR([2]!CalculateHyphenString(C130),"")</f>
        <v/>
      </c>
      <c r="M130" s="45" t="str">
        <f t="shared" si="5"/>
        <v/>
      </c>
      <c r="N130" s="1" t="s">
        <v>39</v>
      </c>
      <c r="O130" s="45" t="str">
        <f t="shared" si="6"/>
        <v/>
      </c>
      <c r="P130" s="45" t="str">
        <f t="shared" si="7"/>
        <v/>
      </c>
      <c r="R130" s="45" t="str">
        <f t="shared" si="8"/>
        <v/>
      </c>
      <c r="S130" s="45" t="str" cm="1">
        <f t="array" ref="S130">IFERROR([1]!FeetConvert(R130),"")</f>
        <v/>
      </c>
      <c r="T130" s="45" t="str">
        <f t="shared" si="9"/>
        <v/>
      </c>
    </row>
    <row r="131" spans="4:20" x14ac:dyDescent="0.7">
      <c r="D131" s="47" t="str" cm="1">
        <f t="array" ref="D131">IFERROR([2]!CalculateHyphenString(C131),"")</f>
        <v/>
      </c>
      <c r="M131" s="45" t="str">
        <f t="shared" si="5"/>
        <v/>
      </c>
      <c r="N131" s="1" t="s">
        <v>39</v>
      </c>
      <c r="O131" s="45" t="str">
        <f t="shared" si="6"/>
        <v/>
      </c>
      <c r="P131" s="45" t="str">
        <f t="shared" si="7"/>
        <v/>
      </c>
      <c r="R131" s="45" t="str">
        <f t="shared" si="8"/>
        <v/>
      </c>
      <c r="S131" s="45" t="str" cm="1">
        <f t="array" ref="S131">IFERROR([1]!FeetConvert(R131),"")</f>
        <v/>
      </c>
      <c r="T131" s="45" t="str">
        <f t="shared" si="9"/>
        <v/>
      </c>
    </row>
    <row r="132" spans="4:20" x14ac:dyDescent="0.7">
      <c r="D132" s="47" t="str" cm="1">
        <f t="array" ref="D132">IFERROR([2]!CalculateHyphenString(C132),"")</f>
        <v/>
      </c>
      <c r="M132" s="45" t="str">
        <f t="shared" si="5"/>
        <v/>
      </c>
      <c r="N132" s="1" t="s">
        <v>39</v>
      </c>
      <c r="O132" s="45" t="str">
        <f t="shared" si="6"/>
        <v/>
      </c>
      <c r="P132" s="45" t="str">
        <f t="shared" si="7"/>
        <v/>
      </c>
      <c r="R132" s="45" t="str">
        <f t="shared" si="8"/>
        <v/>
      </c>
      <c r="S132" s="45" t="str" cm="1">
        <f t="array" ref="S132">IFERROR([1]!FeetConvert(R132),"")</f>
        <v/>
      </c>
      <c r="T132" s="45" t="str">
        <f t="shared" si="9"/>
        <v/>
      </c>
    </row>
    <row r="133" spans="4:20" x14ac:dyDescent="0.7">
      <c r="D133" s="47" t="str" cm="1">
        <f t="array" ref="D133">IFERROR([2]!CalculateHyphenString(C133),"")</f>
        <v/>
      </c>
      <c r="M133" s="45" t="str">
        <f t="shared" ref="M133:M196" si="10">IFERROR(K133*$E$2/L133,"")</f>
        <v/>
      </c>
      <c r="N133" s="1" t="s">
        <v>39</v>
      </c>
      <c r="O133" s="45" t="str">
        <f t="shared" ref="O133:O196" si="11">IFERROR(IF(ISBLANK(N133),"",N133*$G$2/100),"")</f>
        <v/>
      </c>
      <c r="P133" s="45" t="str">
        <f t="shared" ref="P133:P196" si="12">IFERROR(N133-O133,"")</f>
        <v/>
      </c>
      <c r="R133" s="45" t="str">
        <f t="shared" ref="R133:R196" si="13">IFERROR(P133-Q133,"")</f>
        <v/>
      </c>
      <c r="S133" s="45" t="str" cm="1">
        <f t="array" ref="S133">IFERROR([1]!FeetConvert(R133),"")</f>
        <v/>
      </c>
      <c r="T133" s="45" t="str">
        <f t="shared" ref="T133:T196" si="14">IFERROR(ROUND(R133,0),"")</f>
        <v/>
      </c>
    </row>
    <row r="134" spans="4:20" x14ac:dyDescent="0.7">
      <c r="D134" s="47" t="str" cm="1">
        <f t="array" ref="D134">IFERROR([2]!CalculateHyphenString(C134),"")</f>
        <v/>
      </c>
      <c r="M134" s="45" t="str">
        <f t="shared" si="10"/>
        <v/>
      </c>
      <c r="N134" s="1" t="s">
        <v>39</v>
      </c>
      <c r="O134" s="45" t="str">
        <f t="shared" si="11"/>
        <v/>
      </c>
      <c r="P134" s="45" t="str">
        <f t="shared" si="12"/>
        <v/>
      </c>
      <c r="R134" s="45" t="str">
        <f t="shared" si="13"/>
        <v/>
      </c>
      <c r="S134" s="45" t="str" cm="1">
        <f t="array" ref="S134">IFERROR([1]!FeetConvert(R134),"")</f>
        <v/>
      </c>
      <c r="T134" s="45" t="str">
        <f t="shared" si="14"/>
        <v/>
      </c>
    </row>
    <row r="135" spans="4:20" x14ac:dyDescent="0.7">
      <c r="D135" s="47" t="str" cm="1">
        <f t="array" ref="D135">IFERROR([2]!CalculateHyphenString(C135),"")</f>
        <v/>
      </c>
      <c r="M135" s="45" t="str">
        <f t="shared" si="10"/>
        <v/>
      </c>
      <c r="N135" s="1" t="s">
        <v>39</v>
      </c>
      <c r="O135" s="45" t="str">
        <f t="shared" si="11"/>
        <v/>
      </c>
      <c r="P135" s="45" t="str">
        <f t="shared" si="12"/>
        <v/>
      </c>
      <c r="R135" s="45" t="str">
        <f t="shared" si="13"/>
        <v/>
      </c>
      <c r="S135" s="45" t="str" cm="1">
        <f t="array" ref="S135">IFERROR([1]!FeetConvert(R135),"")</f>
        <v/>
      </c>
      <c r="T135" s="45" t="str">
        <f t="shared" si="14"/>
        <v/>
      </c>
    </row>
    <row r="136" spans="4:20" x14ac:dyDescent="0.7">
      <c r="D136" s="47" t="str" cm="1">
        <f t="array" ref="D136">IFERROR([2]!CalculateHyphenString(C136),"")</f>
        <v/>
      </c>
      <c r="M136" s="45" t="str">
        <f t="shared" si="10"/>
        <v/>
      </c>
      <c r="N136" s="1" t="s">
        <v>39</v>
      </c>
      <c r="O136" s="45" t="str">
        <f t="shared" si="11"/>
        <v/>
      </c>
      <c r="P136" s="45" t="str">
        <f t="shared" si="12"/>
        <v/>
      </c>
      <c r="R136" s="45" t="str">
        <f t="shared" si="13"/>
        <v/>
      </c>
      <c r="S136" s="45" t="str" cm="1">
        <f t="array" ref="S136">IFERROR([1]!FeetConvert(R136),"")</f>
        <v/>
      </c>
      <c r="T136" s="45" t="str">
        <f t="shared" si="14"/>
        <v/>
      </c>
    </row>
    <row r="137" spans="4:20" x14ac:dyDescent="0.7">
      <c r="D137" s="47" t="str" cm="1">
        <f t="array" ref="D137">IFERROR([2]!CalculateHyphenString(C137),"")</f>
        <v/>
      </c>
      <c r="M137" s="45" t="str">
        <f t="shared" si="10"/>
        <v/>
      </c>
      <c r="N137" s="1" t="s">
        <v>39</v>
      </c>
      <c r="O137" s="45" t="str">
        <f t="shared" si="11"/>
        <v/>
      </c>
      <c r="P137" s="45" t="str">
        <f t="shared" si="12"/>
        <v/>
      </c>
      <c r="R137" s="45" t="str">
        <f t="shared" si="13"/>
        <v/>
      </c>
      <c r="S137" s="45" t="str" cm="1">
        <f t="array" ref="S137">IFERROR([1]!FeetConvert(R137),"")</f>
        <v/>
      </c>
      <c r="T137" s="45" t="str">
        <f t="shared" si="14"/>
        <v/>
      </c>
    </row>
    <row r="138" spans="4:20" x14ac:dyDescent="0.7">
      <c r="D138" s="47" t="str" cm="1">
        <f t="array" ref="D138">IFERROR([2]!CalculateHyphenString(C138),"")</f>
        <v/>
      </c>
      <c r="M138" s="45" t="str">
        <f t="shared" si="10"/>
        <v/>
      </c>
      <c r="N138" s="1" t="s">
        <v>39</v>
      </c>
      <c r="O138" s="45" t="str">
        <f t="shared" si="11"/>
        <v/>
      </c>
      <c r="P138" s="45" t="str">
        <f t="shared" si="12"/>
        <v/>
      </c>
      <c r="R138" s="45" t="str">
        <f t="shared" si="13"/>
        <v/>
      </c>
      <c r="S138" s="45" t="str" cm="1">
        <f t="array" ref="S138">IFERROR([1]!FeetConvert(R138),"")</f>
        <v/>
      </c>
      <c r="T138" s="45" t="str">
        <f t="shared" si="14"/>
        <v/>
      </c>
    </row>
    <row r="139" spans="4:20" x14ac:dyDescent="0.7">
      <c r="D139" s="47" t="str" cm="1">
        <f t="array" ref="D139">IFERROR([2]!CalculateHyphenString(C139),"")</f>
        <v/>
      </c>
      <c r="M139" s="45" t="str">
        <f t="shared" si="10"/>
        <v/>
      </c>
      <c r="N139" s="1" t="s">
        <v>39</v>
      </c>
      <c r="O139" s="45" t="str">
        <f t="shared" si="11"/>
        <v/>
      </c>
      <c r="P139" s="45" t="str">
        <f t="shared" si="12"/>
        <v/>
      </c>
      <c r="R139" s="45" t="str">
        <f t="shared" si="13"/>
        <v/>
      </c>
      <c r="S139" s="45" t="str" cm="1">
        <f t="array" ref="S139">IFERROR([1]!FeetConvert(R139),"")</f>
        <v/>
      </c>
      <c r="T139" s="45" t="str">
        <f t="shared" si="14"/>
        <v/>
      </c>
    </row>
    <row r="140" spans="4:20" x14ac:dyDescent="0.7">
      <c r="D140" s="47" t="str" cm="1">
        <f t="array" ref="D140">IFERROR([2]!CalculateHyphenString(C140),"")</f>
        <v/>
      </c>
      <c r="M140" s="45" t="str">
        <f t="shared" si="10"/>
        <v/>
      </c>
      <c r="N140" s="1" t="s">
        <v>39</v>
      </c>
      <c r="O140" s="45" t="str">
        <f t="shared" si="11"/>
        <v/>
      </c>
      <c r="P140" s="45" t="str">
        <f t="shared" si="12"/>
        <v/>
      </c>
      <c r="R140" s="45" t="str">
        <f t="shared" si="13"/>
        <v/>
      </c>
      <c r="S140" s="45" t="str" cm="1">
        <f t="array" ref="S140">IFERROR([1]!FeetConvert(R140),"")</f>
        <v/>
      </c>
      <c r="T140" s="45" t="str">
        <f t="shared" si="14"/>
        <v/>
      </c>
    </row>
    <row r="141" spans="4:20" x14ac:dyDescent="0.7">
      <c r="D141" s="47" t="str" cm="1">
        <f t="array" ref="D141">IFERROR([2]!CalculateHyphenString(C141),"")</f>
        <v/>
      </c>
      <c r="M141" s="45" t="str">
        <f t="shared" si="10"/>
        <v/>
      </c>
      <c r="N141" s="1" t="s">
        <v>39</v>
      </c>
      <c r="O141" s="45" t="str">
        <f t="shared" si="11"/>
        <v/>
      </c>
      <c r="P141" s="45" t="str">
        <f t="shared" si="12"/>
        <v/>
      </c>
      <c r="R141" s="45" t="str">
        <f t="shared" si="13"/>
        <v/>
      </c>
      <c r="S141" s="45" t="str" cm="1">
        <f t="array" ref="S141">IFERROR([1]!FeetConvert(R141),"")</f>
        <v/>
      </c>
      <c r="T141" s="45" t="str">
        <f t="shared" si="14"/>
        <v/>
      </c>
    </row>
    <row r="142" spans="4:20" x14ac:dyDescent="0.7">
      <c r="D142" s="47" t="str" cm="1">
        <f t="array" ref="D142">IFERROR([2]!CalculateHyphenString(C142),"")</f>
        <v/>
      </c>
      <c r="M142" s="45" t="str">
        <f t="shared" si="10"/>
        <v/>
      </c>
      <c r="N142" s="1" t="s">
        <v>39</v>
      </c>
      <c r="O142" s="45" t="str">
        <f t="shared" si="11"/>
        <v/>
      </c>
      <c r="P142" s="45" t="str">
        <f t="shared" si="12"/>
        <v/>
      </c>
      <c r="R142" s="45" t="str">
        <f t="shared" si="13"/>
        <v/>
      </c>
      <c r="S142" s="45" t="str" cm="1">
        <f t="array" ref="S142">IFERROR([1]!FeetConvert(R142),"")</f>
        <v/>
      </c>
      <c r="T142" s="45" t="str">
        <f t="shared" si="14"/>
        <v/>
      </c>
    </row>
    <row r="143" spans="4:20" x14ac:dyDescent="0.7">
      <c r="D143" s="47" t="str" cm="1">
        <f t="array" ref="D143">IFERROR([2]!CalculateHyphenString(C143),"")</f>
        <v/>
      </c>
      <c r="M143" s="45" t="str">
        <f t="shared" si="10"/>
        <v/>
      </c>
      <c r="N143" s="1" t="s">
        <v>39</v>
      </c>
      <c r="O143" s="45" t="str">
        <f t="shared" si="11"/>
        <v/>
      </c>
      <c r="P143" s="45" t="str">
        <f t="shared" si="12"/>
        <v/>
      </c>
      <c r="R143" s="45" t="str">
        <f t="shared" si="13"/>
        <v/>
      </c>
      <c r="S143" s="45" t="str" cm="1">
        <f t="array" ref="S143">IFERROR([1]!FeetConvert(R143),"")</f>
        <v/>
      </c>
      <c r="T143" s="45" t="str">
        <f t="shared" si="14"/>
        <v/>
      </c>
    </row>
    <row r="144" spans="4:20" x14ac:dyDescent="0.7">
      <c r="D144" s="47" t="str" cm="1">
        <f t="array" ref="D144">IFERROR([2]!CalculateHyphenString(C144),"")</f>
        <v/>
      </c>
      <c r="M144" s="45" t="str">
        <f t="shared" si="10"/>
        <v/>
      </c>
      <c r="N144" s="1" t="s">
        <v>39</v>
      </c>
      <c r="O144" s="45" t="str">
        <f t="shared" si="11"/>
        <v/>
      </c>
      <c r="P144" s="45" t="str">
        <f t="shared" si="12"/>
        <v/>
      </c>
      <c r="R144" s="45" t="str">
        <f t="shared" si="13"/>
        <v/>
      </c>
      <c r="S144" s="45" t="str" cm="1">
        <f t="array" ref="S144">IFERROR([1]!FeetConvert(R144),"")</f>
        <v/>
      </c>
      <c r="T144" s="45" t="str">
        <f t="shared" si="14"/>
        <v/>
      </c>
    </row>
    <row r="145" spans="4:20" x14ac:dyDescent="0.7">
      <c r="D145" s="47" t="str" cm="1">
        <f t="array" ref="D145">IFERROR([2]!CalculateHyphenString(C145),"")</f>
        <v/>
      </c>
      <c r="M145" s="45" t="str">
        <f t="shared" si="10"/>
        <v/>
      </c>
      <c r="N145" s="1" t="s">
        <v>39</v>
      </c>
      <c r="O145" s="45" t="str">
        <f t="shared" si="11"/>
        <v/>
      </c>
      <c r="P145" s="45" t="str">
        <f t="shared" si="12"/>
        <v/>
      </c>
      <c r="R145" s="45" t="str">
        <f t="shared" si="13"/>
        <v/>
      </c>
      <c r="S145" s="45" t="str" cm="1">
        <f t="array" ref="S145">IFERROR([1]!FeetConvert(R145),"")</f>
        <v/>
      </c>
      <c r="T145" s="45" t="str">
        <f t="shared" si="14"/>
        <v/>
      </c>
    </row>
    <row r="146" spans="4:20" x14ac:dyDescent="0.7">
      <c r="D146" s="47" t="str" cm="1">
        <f t="array" ref="D146">IFERROR([2]!CalculateHyphenString(C146),"")</f>
        <v/>
      </c>
      <c r="M146" s="45" t="str">
        <f t="shared" si="10"/>
        <v/>
      </c>
      <c r="N146" s="1" t="s">
        <v>39</v>
      </c>
      <c r="O146" s="45" t="str">
        <f t="shared" si="11"/>
        <v/>
      </c>
      <c r="P146" s="45" t="str">
        <f t="shared" si="12"/>
        <v/>
      </c>
      <c r="R146" s="45" t="str">
        <f t="shared" si="13"/>
        <v/>
      </c>
      <c r="S146" s="45" t="str" cm="1">
        <f t="array" ref="S146">IFERROR([1]!FeetConvert(R146),"")</f>
        <v/>
      </c>
      <c r="T146" s="45" t="str">
        <f t="shared" si="14"/>
        <v/>
      </c>
    </row>
    <row r="147" spans="4:20" x14ac:dyDescent="0.7">
      <c r="D147" s="47" t="str" cm="1">
        <f t="array" ref="D147">IFERROR([2]!CalculateHyphenString(C147),"")</f>
        <v/>
      </c>
      <c r="M147" s="45" t="str">
        <f t="shared" si="10"/>
        <v/>
      </c>
      <c r="N147" s="1" t="s">
        <v>39</v>
      </c>
      <c r="O147" s="45" t="str">
        <f t="shared" si="11"/>
        <v/>
      </c>
      <c r="P147" s="45" t="str">
        <f t="shared" si="12"/>
        <v/>
      </c>
      <c r="R147" s="45" t="str">
        <f t="shared" si="13"/>
        <v/>
      </c>
      <c r="S147" s="45" t="str" cm="1">
        <f t="array" ref="S147">IFERROR([1]!FeetConvert(R147),"")</f>
        <v/>
      </c>
      <c r="T147" s="45" t="str">
        <f t="shared" si="14"/>
        <v/>
      </c>
    </row>
    <row r="148" spans="4:20" x14ac:dyDescent="0.7">
      <c r="D148" s="47" t="str" cm="1">
        <f t="array" ref="D148">IFERROR([2]!CalculateHyphenString(C148),"")</f>
        <v/>
      </c>
      <c r="M148" s="45" t="str">
        <f t="shared" si="10"/>
        <v/>
      </c>
      <c r="N148" s="1" t="s">
        <v>39</v>
      </c>
      <c r="O148" s="45" t="str">
        <f t="shared" si="11"/>
        <v/>
      </c>
      <c r="P148" s="45" t="str">
        <f t="shared" si="12"/>
        <v/>
      </c>
      <c r="R148" s="45" t="str">
        <f t="shared" si="13"/>
        <v/>
      </c>
      <c r="S148" s="45" t="str" cm="1">
        <f t="array" ref="S148">IFERROR([1]!FeetConvert(R148),"")</f>
        <v/>
      </c>
      <c r="T148" s="45" t="str">
        <f t="shared" si="14"/>
        <v/>
      </c>
    </row>
    <row r="149" spans="4:20" x14ac:dyDescent="0.7">
      <c r="D149" s="47" t="str" cm="1">
        <f t="array" ref="D149">IFERROR([2]!CalculateHyphenString(C149),"")</f>
        <v/>
      </c>
      <c r="M149" s="45" t="str">
        <f t="shared" si="10"/>
        <v/>
      </c>
      <c r="N149" s="1" t="s">
        <v>39</v>
      </c>
      <c r="O149" s="45" t="str">
        <f t="shared" si="11"/>
        <v/>
      </c>
      <c r="P149" s="45" t="str">
        <f t="shared" si="12"/>
        <v/>
      </c>
      <c r="R149" s="45" t="str">
        <f t="shared" si="13"/>
        <v/>
      </c>
      <c r="S149" s="45" t="str" cm="1">
        <f t="array" ref="S149">IFERROR([1]!FeetConvert(R149),"")</f>
        <v/>
      </c>
      <c r="T149" s="45" t="str">
        <f t="shared" si="14"/>
        <v/>
      </c>
    </row>
    <row r="150" spans="4:20" x14ac:dyDescent="0.7">
      <c r="D150" s="47" t="str" cm="1">
        <f t="array" ref="D150">IFERROR([2]!CalculateHyphenString(C150),"")</f>
        <v/>
      </c>
      <c r="M150" s="45" t="str">
        <f t="shared" si="10"/>
        <v/>
      </c>
      <c r="N150" s="1" t="s">
        <v>39</v>
      </c>
      <c r="O150" s="45" t="str">
        <f t="shared" si="11"/>
        <v/>
      </c>
      <c r="P150" s="45" t="str">
        <f t="shared" si="12"/>
        <v/>
      </c>
      <c r="R150" s="45" t="str">
        <f t="shared" si="13"/>
        <v/>
      </c>
      <c r="S150" s="45" t="str" cm="1">
        <f t="array" ref="S150">IFERROR([1]!FeetConvert(R150),"")</f>
        <v/>
      </c>
      <c r="T150" s="45" t="str">
        <f t="shared" si="14"/>
        <v/>
      </c>
    </row>
    <row r="151" spans="4:20" x14ac:dyDescent="0.7">
      <c r="D151" s="47" t="str" cm="1">
        <f t="array" ref="D151">IFERROR([2]!CalculateHyphenString(C151),"")</f>
        <v/>
      </c>
      <c r="M151" s="45" t="str">
        <f t="shared" si="10"/>
        <v/>
      </c>
      <c r="N151" s="1" t="s">
        <v>39</v>
      </c>
      <c r="O151" s="45" t="str">
        <f t="shared" si="11"/>
        <v/>
      </c>
      <c r="P151" s="45" t="str">
        <f t="shared" si="12"/>
        <v/>
      </c>
      <c r="R151" s="45" t="str">
        <f t="shared" si="13"/>
        <v/>
      </c>
      <c r="S151" s="45" t="str" cm="1">
        <f t="array" ref="S151">IFERROR([1]!FeetConvert(R151),"")</f>
        <v/>
      </c>
      <c r="T151" s="45" t="str">
        <f t="shared" si="14"/>
        <v/>
      </c>
    </row>
    <row r="152" spans="4:20" x14ac:dyDescent="0.7">
      <c r="D152" s="47" t="str" cm="1">
        <f t="array" ref="D152">IFERROR([2]!CalculateHyphenString(C152),"")</f>
        <v/>
      </c>
      <c r="M152" s="45" t="str">
        <f t="shared" si="10"/>
        <v/>
      </c>
      <c r="N152" s="1" t="s">
        <v>39</v>
      </c>
      <c r="O152" s="45" t="str">
        <f t="shared" si="11"/>
        <v/>
      </c>
      <c r="P152" s="45" t="str">
        <f t="shared" si="12"/>
        <v/>
      </c>
      <c r="R152" s="45" t="str">
        <f t="shared" si="13"/>
        <v/>
      </c>
      <c r="S152" s="45" t="str" cm="1">
        <f t="array" ref="S152">IFERROR([1]!FeetConvert(R152),"")</f>
        <v/>
      </c>
      <c r="T152" s="45" t="str">
        <f t="shared" si="14"/>
        <v/>
      </c>
    </row>
    <row r="153" spans="4:20" x14ac:dyDescent="0.7">
      <c r="D153" s="47" t="str" cm="1">
        <f t="array" ref="D153">IFERROR([2]!CalculateHyphenString(C153),"")</f>
        <v/>
      </c>
      <c r="M153" s="45" t="str">
        <f t="shared" si="10"/>
        <v/>
      </c>
      <c r="N153" s="1" t="s">
        <v>39</v>
      </c>
      <c r="O153" s="45" t="str">
        <f t="shared" si="11"/>
        <v/>
      </c>
      <c r="P153" s="45" t="str">
        <f t="shared" si="12"/>
        <v/>
      </c>
      <c r="R153" s="45" t="str">
        <f t="shared" si="13"/>
        <v/>
      </c>
      <c r="S153" s="45" t="str" cm="1">
        <f t="array" ref="S153">IFERROR([1]!FeetConvert(R153),"")</f>
        <v/>
      </c>
      <c r="T153" s="45" t="str">
        <f t="shared" si="14"/>
        <v/>
      </c>
    </row>
    <row r="154" spans="4:20" x14ac:dyDescent="0.7">
      <c r="D154" s="47" t="str" cm="1">
        <f t="array" ref="D154">IFERROR([2]!CalculateHyphenString(C154),"")</f>
        <v/>
      </c>
      <c r="M154" s="45" t="str">
        <f t="shared" si="10"/>
        <v/>
      </c>
      <c r="N154" s="1" t="s">
        <v>39</v>
      </c>
      <c r="O154" s="45" t="str">
        <f t="shared" si="11"/>
        <v/>
      </c>
      <c r="P154" s="45" t="str">
        <f t="shared" si="12"/>
        <v/>
      </c>
      <c r="R154" s="45" t="str">
        <f t="shared" si="13"/>
        <v/>
      </c>
      <c r="S154" s="45" t="str" cm="1">
        <f t="array" ref="S154">IFERROR([1]!FeetConvert(R154),"")</f>
        <v/>
      </c>
      <c r="T154" s="45" t="str">
        <f t="shared" si="14"/>
        <v/>
      </c>
    </row>
    <row r="155" spans="4:20" x14ac:dyDescent="0.7">
      <c r="D155" s="47" t="str" cm="1">
        <f t="array" ref="D155">IFERROR([2]!CalculateHyphenString(C155),"")</f>
        <v/>
      </c>
      <c r="M155" s="45" t="str">
        <f t="shared" si="10"/>
        <v/>
      </c>
      <c r="N155" s="1" t="s">
        <v>39</v>
      </c>
      <c r="O155" s="45" t="str">
        <f t="shared" si="11"/>
        <v/>
      </c>
      <c r="P155" s="45" t="str">
        <f t="shared" si="12"/>
        <v/>
      </c>
      <c r="R155" s="45" t="str">
        <f t="shared" si="13"/>
        <v/>
      </c>
      <c r="S155" s="45" t="str" cm="1">
        <f t="array" ref="S155">IFERROR([1]!FeetConvert(R155),"")</f>
        <v/>
      </c>
      <c r="T155" s="45" t="str">
        <f t="shared" si="14"/>
        <v/>
      </c>
    </row>
    <row r="156" spans="4:20" x14ac:dyDescent="0.7">
      <c r="D156" s="47" t="str" cm="1">
        <f t="array" ref="D156">IFERROR([2]!CalculateHyphenString(C156),"")</f>
        <v/>
      </c>
      <c r="M156" s="45" t="str">
        <f t="shared" si="10"/>
        <v/>
      </c>
      <c r="N156" s="1" t="s">
        <v>39</v>
      </c>
      <c r="O156" s="45" t="str">
        <f t="shared" si="11"/>
        <v/>
      </c>
      <c r="P156" s="45" t="str">
        <f t="shared" si="12"/>
        <v/>
      </c>
      <c r="R156" s="45" t="str">
        <f t="shared" si="13"/>
        <v/>
      </c>
      <c r="S156" s="45" t="str" cm="1">
        <f t="array" ref="S156">IFERROR([1]!FeetConvert(R156),"")</f>
        <v/>
      </c>
      <c r="T156" s="45" t="str">
        <f t="shared" si="14"/>
        <v/>
      </c>
    </row>
    <row r="157" spans="4:20" x14ac:dyDescent="0.7">
      <c r="D157" s="47" t="str" cm="1">
        <f t="array" ref="D157">IFERROR([2]!CalculateHyphenString(C157),"")</f>
        <v/>
      </c>
      <c r="M157" s="45" t="str">
        <f t="shared" si="10"/>
        <v/>
      </c>
      <c r="N157" s="1" t="s">
        <v>39</v>
      </c>
      <c r="O157" s="45" t="str">
        <f t="shared" si="11"/>
        <v/>
      </c>
      <c r="P157" s="45" t="str">
        <f t="shared" si="12"/>
        <v/>
      </c>
      <c r="R157" s="45" t="str">
        <f t="shared" si="13"/>
        <v/>
      </c>
      <c r="S157" s="45" t="str" cm="1">
        <f t="array" ref="S157">IFERROR([1]!FeetConvert(R157),"")</f>
        <v/>
      </c>
      <c r="T157" s="45" t="str">
        <f t="shared" si="14"/>
        <v/>
      </c>
    </row>
    <row r="158" spans="4:20" x14ac:dyDescent="0.7">
      <c r="D158" s="47" t="str" cm="1">
        <f t="array" ref="D158">IFERROR([2]!CalculateHyphenString(C158),"")</f>
        <v/>
      </c>
      <c r="M158" s="45" t="str">
        <f t="shared" si="10"/>
        <v/>
      </c>
      <c r="N158" s="1" t="s">
        <v>39</v>
      </c>
      <c r="O158" s="45" t="str">
        <f t="shared" si="11"/>
        <v/>
      </c>
      <c r="P158" s="45" t="str">
        <f t="shared" si="12"/>
        <v/>
      </c>
      <c r="R158" s="45" t="str">
        <f t="shared" si="13"/>
        <v/>
      </c>
      <c r="S158" s="45" t="str" cm="1">
        <f t="array" ref="S158">IFERROR([1]!FeetConvert(R158),"")</f>
        <v/>
      </c>
      <c r="T158" s="45" t="str">
        <f t="shared" si="14"/>
        <v/>
      </c>
    </row>
    <row r="159" spans="4:20" x14ac:dyDescent="0.7">
      <c r="D159" s="47" t="str" cm="1">
        <f t="array" ref="D159">IFERROR([2]!CalculateHyphenString(C159),"")</f>
        <v/>
      </c>
      <c r="M159" s="45" t="str">
        <f t="shared" si="10"/>
        <v/>
      </c>
      <c r="N159" s="1" t="s">
        <v>39</v>
      </c>
      <c r="O159" s="45" t="str">
        <f t="shared" si="11"/>
        <v/>
      </c>
      <c r="P159" s="45" t="str">
        <f t="shared" si="12"/>
        <v/>
      </c>
      <c r="R159" s="45" t="str">
        <f t="shared" si="13"/>
        <v/>
      </c>
      <c r="S159" s="45" t="str" cm="1">
        <f t="array" ref="S159">IFERROR([1]!FeetConvert(R159),"")</f>
        <v/>
      </c>
      <c r="T159" s="45" t="str">
        <f t="shared" si="14"/>
        <v/>
      </c>
    </row>
    <row r="160" spans="4:20" x14ac:dyDescent="0.7">
      <c r="D160" s="47" t="str" cm="1">
        <f t="array" ref="D160">IFERROR([2]!CalculateHyphenString(C160),"")</f>
        <v/>
      </c>
      <c r="M160" s="45" t="str">
        <f t="shared" si="10"/>
        <v/>
      </c>
      <c r="N160" s="1" t="s">
        <v>39</v>
      </c>
      <c r="O160" s="45" t="str">
        <f t="shared" si="11"/>
        <v/>
      </c>
      <c r="P160" s="45" t="str">
        <f t="shared" si="12"/>
        <v/>
      </c>
      <c r="R160" s="45" t="str">
        <f t="shared" si="13"/>
        <v/>
      </c>
      <c r="S160" s="45" t="str" cm="1">
        <f t="array" ref="S160">IFERROR([1]!FeetConvert(R160),"")</f>
        <v/>
      </c>
      <c r="T160" s="45" t="str">
        <f t="shared" si="14"/>
        <v/>
      </c>
    </row>
    <row r="161" spans="4:20" x14ac:dyDescent="0.7">
      <c r="D161" s="47" t="str" cm="1">
        <f t="array" ref="D161">IFERROR([2]!CalculateHyphenString(C161),"")</f>
        <v/>
      </c>
      <c r="M161" s="45" t="str">
        <f t="shared" si="10"/>
        <v/>
      </c>
      <c r="N161" s="1" t="s">
        <v>39</v>
      </c>
      <c r="O161" s="45" t="str">
        <f t="shared" si="11"/>
        <v/>
      </c>
      <c r="P161" s="45" t="str">
        <f t="shared" si="12"/>
        <v/>
      </c>
      <c r="R161" s="45" t="str">
        <f t="shared" si="13"/>
        <v/>
      </c>
      <c r="S161" s="45" t="str" cm="1">
        <f t="array" ref="S161">IFERROR([1]!FeetConvert(R161),"")</f>
        <v/>
      </c>
      <c r="T161" s="45" t="str">
        <f t="shared" si="14"/>
        <v/>
      </c>
    </row>
    <row r="162" spans="4:20" x14ac:dyDescent="0.7">
      <c r="D162" s="47" t="str" cm="1">
        <f t="array" ref="D162">IFERROR([2]!CalculateHyphenString(C162),"")</f>
        <v/>
      </c>
      <c r="M162" s="45" t="str">
        <f t="shared" si="10"/>
        <v/>
      </c>
      <c r="N162" s="1" t="s">
        <v>39</v>
      </c>
      <c r="O162" s="45" t="str">
        <f t="shared" si="11"/>
        <v/>
      </c>
      <c r="P162" s="45" t="str">
        <f t="shared" si="12"/>
        <v/>
      </c>
      <c r="R162" s="45" t="str">
        <f t="shared" si="13"/>
        <v/>
      </c>
      <c r="S162" s="45" t="str" cm="1">
        <f t="array" ref="S162">IFERROR([1]!FeetConvert(R162),"")</f>
        <v/>
      </c>
      <c r="T162" s="45" t="str">
        <f t="shared" si="14"/>
        <v/>
      </c>
    </row>
    <row r="163" spans="4:20" x14ac:dyDescent="0.7">
      <c r="D163" s="47" t="str" cm="1">
        <f t="array" ref="D163">IFERROR([2]!CalculateHyphenString(C163),"")</f>
        <v/>
      </c>
      <c r="M163" s="45" t="str">
        <f t="shared" si="10"/>
        <v/>
      </c>
      <c r="N163" s="1" t="s">
        <v>39</v>
      </c>
      <c r="O163" s="45" t="str">
        <f t="shared" si="11"/>
        <v/>
      </c>
      <c r="P163" s="45" t="str">
        <f t="shared" si="12"/>
        <v/>
      </c>
      <c r="R163" s="45" t="str">
        <f t="shared" si="13"/>
        <v/>
      </c>
      <c r="S163" s="45" t="str" cm="1">
        <f t="array" ref="S163">IFERROR([1]!FeetConvert(R163),"")</f>
        <v/>
      </c>
      <c r="T163" s="45" t="str">
        <f t="shared" si="14"/>
        <v/>
      </c>
    </row>
    <row r="164" spans="4:20" x14ac:dyDescent="0.7">
      <c r="D164" s="47" t="str" cm="1">
        <f t="array" ref="D164">IFERROR([2]!CalculateHyphenString(C164),"")</f>
        <v/>
      </c>
      <c r="M164" s="45" t="str">
        <f t="shared" si="10"/>
        <v/>
      </c>
      <c r="N164" s="1" t="s">
        <v>39</v>
      </c>
      <c r="O164" s="45" t="str">
        <f t="shared" si="11"/>
        <v/>
      </c>
      <c r="P164" s="45" t="str">
        <f t="shared" si="12"/>
        <v/>
      </c>
      <c r="R164" s="45" t="str">
        <f t="shared" si="13"/>
        <v/>
      </c>
      <c r="S164" s="45" t="str" cm="1">
        <f t="array" ref="S164">IFERROR([1]!FeetConvert(R164),"")</f>
        <v/>
      </c>
      <c r="T164" s="45" t="str">
        <f t="shared" si="14"/>
        <v/>
      </c>
    </row>
    <row r="165" spans="4:20" x14ac:dyDescent="0.7">
      <c r="D165" s="47" t="str" cm="1">
        <f t="array" ref="D165">IFERROR([2]!CalculateHyphenString(C165),"")</f>
        <v/>
      </c>
      <c r="M165" s="45" t="str">
        <f t="shared" si="10"/>
        <v/>
      </c>
      <c r="N165" s="1" t="s">
        <v>39</v>
      </c>
      <c r="O165" s="45" t="str">
        <f t="shared" si="11"/>
        <v/>
      </c>
      <c r="P165" s="45" t="str">
        <f t="shared" si="12"/>
        <v/>
      </c>
      <c r="R165" s="45" t="str">
        <f t="shared" si="13"/>
        <v/>
      </c>
      <c r="S165" s="45" t="str" cm="1">
        <f t="array" ref="S165">IFERROR([1]!FeetConvert(R165),"")</f>
        <v/>
      </c>
      <c r="T165" s="45" t="str">
        <f t="shared" si="14"/>
        <v/>
      </c>
    </row>
    <row r="166" spans="4:20" x14ac:dyDescent="0.7">
      <c r="D166" s="47" t="str" cm="1">
        <f t="array" ref="D166">IFERROR([2]!CalculateHyphenString(C166),"")</f>
        <v/>
      </c>
      <c r="M166" s="45" t="str">
        <f t="shared" si="10"/>
        <v/>
      </c>
      <c r="N166" s="1" t="s">
        <v>39</v>
      </c>
      <c r="O166" s="45" t="str">
        <f t="shared" si="11"/>
        <v/>
      </c>
      <c r="P166" s="45" t="str">
        <f t="shared" si="12"/>
        <v/>
      </c>
      <c r="R166" s="45" t="str">
        <f t="shared" si="13"/>
        <v/>
      </c>
      <c r="S166" s="45" t="str" cm="1">
        <f t="array" ref="S166">IFERROR([1]!FeetConvert(R166),"")</f>
        <v/>
      </c>
      <c r="T166" s="45" t="str">
        <f t="shared" si="14"/>
        <v/>
      </c>
    </row>
    <row r="167" spans="4:20" x14ac:dyDescent="0.7">
      <c r="D167" s="47" t="str" cm="1">
        <f t="array" ref="D167">IFERROR([2]!CalculateHyphenString(C167),"")</f>
        <v/>
      </c>
      <c r="M167" s="45" t="str">
        <f t="shared" si="10"/>
        <v/>
      </c>
      <c r="N167" s="1" t="s">
        <v>39</v>
      </c>
      <c r="O167" s="45" t="str">
        <f t="shared" si="11"/>
        <v/>
      </c>
      <c r="P167" s="45" t="str">
        <f t="shared" si="12"/>
        <v/>
      </c>
      <c r="R167" s="45" t="str">
        <f t="shared" si="13"/>
        <v/>
      </c>
      <c r="S167" s="45" t="str" cm="1">
        <f t="array" ref="S167">IFERROR([1]!FeetConvert(R167),"")</f>
        <v/>
      </c>
      <c r="T167" s="45" t="str">
        <f t="shared" si="14"/>
        <v/>
      </c>
    </row>
    <row r="168" spans="4:20" x14ac:dyDescent="0.7">
      <c r="D168" s="47" t="str" cm="1">
        <f t="array" ref="D168">IFERROR([2]!CalculateHyphenString(C168),"")</f>
        <v/>
      </c>
      <c r="M168" s="45" t="str">
        <f t="shared" si="10"/>
        <v/>
      </c>
      <c r="N168" s="1" t="s">
        <v>39</v>
      </c>
      <c r="O168" s="45" t="str">
        <f t="shared" si="11"/>
        <v/>
      </c>
      <c r="P168" s="45" t="str">
        <f t="shared" si="12"/>
        <v/>
      </c>
      <c r="R168" s="45" t="str">
        <f t="shared" si="13"/>
        <v/>
      </c>
      <c r="S168" s="45" t="str" cm="1">
        <f t="array" ref="S168">IFERROR([1]!FeetConvert(R168),"")</f>
        <v/>
      </c>
      <c r="T168" s="45" t="str">
        <f t="shared" si="14"/>
        <v/>
      </c>
    </row>
    <row r="169" spans="4:20" x14ac:dyDescent="0.7">
      <c r="D169" s="47" t="str" cm="1">
        <f t="array" ref="D169">IFERROR([2]!CalculateHyphenString(C169),"")</f>
        <v/>
      </c>
      <c r="M169" s="45" t="str">
        <f t="shared" si="10"/>
        <v/>
      </c>
      <c r="N169" s="1" t="s">
        <v>39</v>
      </c>
      <c r="O169" s="45" t="str">
        <f t="shared" si="11"/>
        <v/>
      </c>
      <c r="P169" s="45" t="str">
        <f t="shared" si="12"/>
        <v/>
      </c>
      <c r="R169" s="45" t="str">
        <f t="shared" si="13"/>
        <v/>
      </c>
      <c r="S169" s="45" t="str" cm="1">
        <f t="array" ref="S169">IFERROR([1]!FeetConvert(R169),"")</f>
        <v/>
      </c>
      <c r="T169" s="45" t="str">
        <f t="shared" si="14"/>
        <v/>
      </c>
    </row>
    <row r="170" spans="4:20" x14ac:dyDescent="0.7">
      <c r="D170" s="47" t="str" cm="1">
        <f t="array" ref="D170">IFERROR([2]!CalculateHyphenString(C170),"")</f>
        <v/>
      </c>
      <c r="M170" s="45" t="str">
        <f t="shared" si="10"/>
        <v/>
      </c>
      <c r="N170" s="1" t="s">
        <v>39</v>
      </c>
      <c r="O170" s="45" t="str">
        <f t="shared" si="11"/>
        <v/>
      </c>
      <c r="P170" s="45" t="str">
        <f t="shared" si="12"/>
        <v/>
      </c>
      <c r="R170" s="45" t="str">
        <f t="shared" si="13"/>
        <v/>
      </c>
      <c r="S170" s="45" t="str" cm="1">
        <f t="array" ref="S170">IFERROR([1]!FeetConvert(R170),"")</f>
        <v/>
      </c>
      <c r="T170" s="45" t="str">
        <f t="shared" si="14"/>
        <v/>
      </c>
    </row>
    <row r="171" spans="4:20" x14ac:dyDescent="0.7">
      <c r="D171" s="47" t="str" cm="1">
        <f t="array" ref="D171">IFERROR([2]!CalculateHyphenString(C171),"")</f>
        <v/>
      </c>
      <c r="M171" s="45" t="str">
        <f t="shared" si="10"/>
        <v/>
      </c>
      <c r="N171" s="1" t="s">
        <v>39</v>
      </c>
      <c r="O171" s="45" t="str">
        <f t="shared" si="11"/>
        <v/>
      </c>
      <c r="P171" s="45" t="str">
        <f t="shared" si="12"/>
        <v/>
      </c>
      <c r="R171" s="45" t="str">
        <f t="shared" si="13"/>
        <v/>
      </c>
      <c r="S171" s="45" t="str" cm="1">
        <f t="array" ref="S171">IFERROR([1]!FeetConvert(R171),"")</f>
        <v/>
      </c>
      <c r="T171" s="45" t="str">
        <f t="shared" si="14"/>
        <v/>
      </c>
    </row>
    <row r="172" spans="4:20" x14ac:dyDescent="0.7">
      <c r="D172" s="47" t="str" cm="1">
        <f t="array" ref="D172">IFERROR([2]!CalculateHyphenString(C172),"")</f>
        <v/>
      </c>
      <c r="M172" s="45" t="str">
        <f t="shared" si="10"/>
        <v/>
      </c>
      <c r="N172" s="1" t="s">
        <v>39</v>
      </c>
      <c r="O172" s="45" t="str">
        <f t="shared" si="11"/>
        <v/>
      </c>
      <c r="P172" s="45" t="str">
        <f t="shared" si="12"/>
        <v/>
      </c>
      <c r="R172" s="45" t="str">
        <f t="shared" si="13"/>
        <v/>
      </c>
      <c r="S172" s="45" t="str" cm="1">
        <f t="array" ref="S172">IFERROR([1]!FeetConvert(R172),"")</f>
        <v/>
      </c>
      <c r="T172" s="45" t="str">
        <f t="shared" si="14"/>
        <v/>
      </c>
    </row>
    <row r="173" spans="4:20" x14ac:dyDescent="0.7">
      <c r="D173" s="47" t="str" cm="1">
        <f t="array" ref="D173">IFERROR([2]!CalculateHyphenString(C173),"")</f>
        <v/>
      </c>
      <c r="M173" s="45" t="str">
        <f t="shared" si="10"/>
        <v/>
      </c>
      <c r="N173" s="1" t="s">
        <v>39</v>
      </c>
      <c r="O173" s="45" t="str">
        <f t="shared" si="11"/>
        <v/>
      </c>
      <c r="P173" s="45" t="str">
        <f t="shared" si="12"/>
        <v/>
      </c>
      <c r="R173" s="45" t="str">
        <f t="shared" si="13"/>
        <v/>
      </c>
      <c r="S173" s="45" t="str" cm="1">
        <f t="array" ref="S173">IFERROR([1]!FeetConvert(R173),"")</f>
        <v/>
      </c>
      <c r="T173" s="45" t="str">
        <f t="shared" si="14"/>
        <v/>
      </c>
    </row>
    <row r="174" spans="4:20" x14ac:dyDescent="0.7">
      <c r="D174" s="47" t="str" cm="1">
        <f t="array" ref="D174">IFERROR([2]!CalculateHyphenString(C174),"")</f>
        <v/>
      </c>
      <c r="M174" s="45" t="str">
        <f t="shared" si="10"/>
        <v/>
      </c>
      <c r="N174" s="1" t="s">
        <v>39</v>
      </c>
      <c r="O174" s="45" t="str">
        <f t="shared" si="11"/>
        <v/>
      </c>
      <c r="P174" s="45" t="str">
        <f t="shared" si="12"/>
        <v/>
      </c>
      <c r="R174" s="45" t="str">
        <f t="shared" si="13"/>
        <v/>
      </c>
      <c r="S174" s="45" t="str" cm="1">
        <f t="array" ref="S174">IFERROR([1]!FeetConvert(R174),"")</f>
        <v/>
      </c>
      <c r="T174" s="45" t="str">
        <f t="shared" si="14"/>
        <v/>
      </c>
    </row>
    <row r="175" spans="4:20" x14ac:dyDescent="0.7">
      <c r="D175" s="47" t="str" cm="1">
        <f t="array" ref="D175">IFERROR([2]!CalculateHyphenString(C175),"")</f>
        <v/>
      </c>
      <c r="M175" s="45" t="str">
        <f t="shared" si="10"/>
        <v/>
      </c>
      <c r="N175" s="1" t="s">
        <v>39</v>
      </c>
      <c r="O175" s="45" t="str">
        <f t="shared" si="11"/>
        <v/>
      </c>
      <c r="P175" s="45" t="str">
        <f t="shared" si="12"/>
        <v/>
      </c>
      <c r="R175" s="45" t="str">
        <f t="shared" si="13"/>
        <v/>
      </c>
      <c r="S175" s="45" t="str" cm="1">
        <f t="array" ref="S175">IFERROR([1]!FeetConvert(R175),"")</f>
        <v/>
      </c>
      <c r="T175" s="45" t="str">
        <f t="shared" si="14"/>
        <v/>
      </c>
    </row>
    <row r="176" spans="4:20" x14ac:dyDescent="0.7">
      <c r="D176" s="47" t="str" cm="1">
        <f t="array" ref="D176">IFERROR([2]!CalculateHyphenString(C176),"")</f>
        <v/>
      </c>
      <c r="M176" s="45" t="str">
        <f t="shared" si="10"/>
        <v/>
      </c>
      <c r="N176" s="1" t="s">
        <v>39</v>
      </c>
      <c r="O176" s="45" t="str">
        <f t="shared" si="11"/>
        <v/>
      </c>
      <c r="P176" s="45" t="str">
        <f t="shared" si="12"/>
        <v/>
      </c>
      <c r="R176" s="45" t="str">
        <f t="shared" si="13"/>
        <v/>
      </c>
      <c r="S176" s="45" t="str" cm="1">
        <f t="array" ref="S176">IFERROR([1]!FeetConvert(R176),"")</f>
        <v/>
      </c>
      <c r="T176" s="45" t="str">
        <f t="shared" si="14"/>
        <v/>
      </c>
    </row>
    <row r="177" spans="4:20" x14ac:dyDescent="0.7">
      <c r="D177" s="47" t="str" cm="1">
        <f t="array" ref="D177">IFERROR([2]!CalculateHyphenString(C177),"")</f>
        <v/>
      </c>
      <c r="M177" s="45" t="str">
        <f t="shared" si="10"/>
        <v/>
      </c>
      <c r="N177" s="1" t="s">
        <v>39</v>
      </c>
      <c r="O177" s="45" t="str">
        <f t="shared" si="11"/>
        <v/>
      </c>
      <c r="P177" s="45" t="str">
        <f t="shared" si="12"/>
        <v/>
      </c>
      <c r="R177" s="45" t="str">
        <f t="shared" si="13"/>
        <v/>
      </c>
      <c r="S177" s="45" t="str" cm="1">
        <f t="array" ref="S177">IFERROR([1]!FeetConvert(R177),"")</f>
        <v/>
      </c>
      <c r="T177" s="45" t="str">
        <f t="shared" si="14"/>
        <v/>
      </c>
    </row>
    <row r="178" spans="4:20" x14ac:dyDescent="0.7">
      <c r="D178" s="47" t="str" cm="1">
        <f t="array" ref="D178">IFERROR([2]!CalculateHyphenString(C178),"")</f>
        <v/>
      </c>
      <c r="M178" s="45" t="str">
        <f t="shared" si="10"/>
        <v/>
      </c>
      <c r="N178" s="1" t="s">
        <v>39</v>
      </c>
      <c r="O178" s="45" t="str">
        <f t="shared" si="11"/>
        <v/>
      </c>
      <c r="P178" s="45" t="str">
        <f t="shared" si="12"/>
        <v/>
      </c>
      <c r="R178" s="45" t="str">
        <f t="shared" si="13"/>
        <v/>
      </c>
      <c r="S178" s="45" t="str" cm="1">
        <f t="array" ref="S178">IFERROR([1]!FeetConvert(R178),"")</f>
        <v/>
      </c>
      <c r="T178" s="45" t="str">
        <f t="shared" si="14"/>
        <v/>
      </c>
    </row>
    <row r="179" spans="4:20" x14ac:dyDescent="0.7">
      <c r="D179" s="47" t="str" cm="1">
        <f t="array" ref="D179">IFERROR([2]!CalculateHyphenString(C179),"")</f>
        <v/>
      </c>
      <c r="M179" s="45" t="str">
        <f t="shared" si="10"/>
        <v/>
      </c>
      <c r="N179" s="1" t="s">
        <v>39</v>
      </c>
      <c r="O179" s="45" t="str">
        <f t="shared" si="11"/>
        <v/>
      </c>
      <c r="P179" s="45" t="str">
        <f t="shared" si="12"/>
        <v/>
      </c>
      <c r="R179" s="45" t="str">
        <f t="shared" si="13"/>
        <v/>
      </c>
      <c r="S179" s="45" t="str" cm="1">
        <f t="array" ref="S179">IFERROR([1]!FeetConvert(R179),"")</f>
        <v/>
      </c>
      <c r="T179" s="45" t="str">
        <f t="shared" si="14"/>
        <v/>
      </c>
    </row>
    <row r="180" spans="4:20" x14ac:dyDescent="0.7">
      <c r="D180" s="47" t="str" cm="1">
        <f t="array" ref="D180">IFERROR([2]!CalculateHyphenString(C180),"")</f>
        <v/>
      </c>
      <c r="M180" s="45" t="str">
        <f t="shared" si="10"/>
        <v/>
      </c>
      <c r="N180" s="1" t="s">
        <v>39</v>
      </c>
      <c r="O180" s="45" t="str">
        <f t="shared" si="11"/>
        <v/>
      </c>
      <c r="P180" s="45" t="str">
        <f t="shared" si="12"/>
        <v/>
      </c>
      <c r="R180" s="45" t="str">
        <f t="shared" si="13"/>
        <v/>
      </c>
      <c r="S180" s="45" t="str" cm="1">
        <f t="array" ref="S180">IFERROR([1]!FeetConvert(R180),"")</f>
        <v/>
      </c>
      <c r="T180" s="45" t="str">
        <f t="shared" si="14"/>
        <v/>
      </c>
    </row>
    <row r="181" spans="4:20" x14ac:dyDescent="0.7">
      <c r="D181" s="47" t="str" cm="1">
        <f t="array" ref="D181">IFERROR([2]!CalculateHyphenString(C181),"")</f>
        <v/>
      </c>
      <c r="M181" s="45" t="str">
        <f t="shared" si="10"/>
        <v/>
      </c>
      <c r="N181" s="1" t="s">
        <v>39</v>
      </c>
      <c r="O181" s="45" t="str">
        <f t="shared" si="11"/>
        <v/>
      </c>
      <c r="P181" s="45" t="str">
        <f t="shared" si="12"/>
        <v/>
      </c>
      <c r="R181" s="45" t="str">
        <f t="shared" si="13"/>
        <v/>
      </c>
      <c r="S181" s="45" t="str" cm="1">
        <f t="array" ref="S181">IFERROR([1]!FeetConvert(R181),"")</f>
        <v/>
      </c>
      <c r="T181" s="45" t="str">
        <f t="shared" si="14"/>
        <v/>
      </c>
    </row>
    <row r="182" spans="4:20" x14ac:dyDescent="0.7">
      <c r="D182" s="47" t="str" cm="1">
        <f t="array" ref="D182">IFERROR([2]!CalculateHyphenString(C182),"")</f>
        <v/>
      </c>
      <c r="M182" s="45" t="str">
        <f t="shared" si="10"/>
        <v/>
      </c>
      <c r="N182" s="1" t="s">
        <v>39</v>
      </c>
      <c r="O182" s="45" t="str">
        <f t="shared" si="11"/>
        <v/>
      </c>
      <c r="P182" s="45" t="str">
        <f t="shared" si="12"/>
        <v/>
      </c>
      <c r="R182" s="45" t="str">
        <f t="shared" si="13"/>
        <v/>
      </c>
      <c r="S182" s="45" t="str" cm="1">
        <f t="array" ref="S182">IFERROR([1]!FeetConvert(R182),"")</f>
        <v/>
      </c>
      <c r="T182" s="45" t="str">
        <f t="shared" si="14"/>
        <v/>
      </c>
    </row>
    <row r="183" spans="4:20" x14ac:dyDescent="0.7">
      <c r="D183" s="47" t="str" cm="1">
        <f t="array" ref="D183">IFERROR([2]!CalculateHyphenString(C183),"")</f>
        <v/>
      </c>
      <c r="M183" s="45" t="str">
        <f t="shared" si="10"/>
        <v/>
      </c>
      <c r="N183" s="1" t="s">
        <v>39</v>
      </c>
      <c r="O183" s="45" t="str">
        <f t="shared" si="11"/>
        <v/>
      </c>
      <c r="P183" s="45" t="str">
        <f t="shared" si="12"/>
        <v/>
      </c>
      <c r="R183" s="45" t="str">
        <f t="shared" si="13"/>
        <v/>
      </c>
      <c r="S183" s="45" t="str" cm="1">
        <f t="array" ref="S183">IFERROR([1]!FeetConvert(R183),"")</f>
        <v/>
      </c>
      <c r="T183" s="45" t="str">
        <f t="shared" si="14"/>
        <v/>
      </c>
    </row>
    <row r="184" spans="4:20" x14ac:dyDescent="0.7">
      <c r="D184" s="47" t="str" cm="1">
        <f t="array" ref="D184">IFERROR([2]!CalculateHyphenString(C184),"")</f>
        <v/>
      </c>
      <c r="M184" s="45" t="str">
        <f t="shared" si="10"/>
        <v/>
      </c>
      <c r="N184" s="1" t="s">
        <v>39</v>
      </c>
      <c r="O184" s="45" t="str">
        <f t="shared" si="11"/>
        <v/>
      </c>
      <c r="P184" s="45" t="str">
        <f t="shared" si="12"/>
        <v/>
      </c>
      <c r="R184" s="45" t="str">
        <f t="shared" si="13"/>
        <v/>
      </c>
      <c r="S184" s="45" t="str" cm="1">
        <f t="array" ref="S184">IFERROR([1]!FeetConvert(R184),"")</f>
        <v/>
      </c>
      <c r="T184" s="45" t="str">
        <f t="shared" si="14"/>
        <v/>
      </c>
    </row>
    <row r="185" spans="4:20" x14ac:dyDescent="0.7">
      <c r="D185" s="47" t="str" cm="1">
        <f t="array" ref="D185">IFERROR([2]!CalculateHyphenString(C185),"")</f>
        <v/>
      </c>
      <c r="M185" s="45" t="str">
        <f t="shared" si="10"/>
        <v/>
      </c>
      <c r="N185" s="1" t="s">
        <v>39</v>
      </c>
      <c r="O185" s="45" t="str">
        <f t="shared" si="11"/>
        <v/>
      </c>
      <c r="P185" s="45" t="str">
        <f t="shared" si="12"/>
        <v/>
      </c>
      <c r="R185" s="45" t="str">
        <f t="shared" si="13"/>
        <v/>
      </c>
      <c r="S185" s="45" t="str" cm="1">
        <f t="array" ref="S185">IFERROR([1]!FeetConvert(R185),"")</f>
        <v/>
      </c>
      <c r="T185" s="45" t="str">
        <f t="shared" si="14"/>
        <v/>
      </c>
    </row>
    <row r="186" spans="4:20" x14ac:dyDescent="0.7">
      <c r="D186" s="47" t="str" cm="1">
        <f t="array" ref="D186">IFERROR([2]!CalculateHyphenString(C186),"")</f>
        <v/>
      </c>
      <c r="M186" s="45" t="str">
        <f t="shared" si="10"/>
        <v/>
      </c>
      <c r="N186" s="1" t="s">
        <v>39</v>
      </c>
      <c r="O186" s="45" t="str">
        <f t="shared" si="11"/>
        <v/>
      </c>
      <c r="P186" s="45" t="str">
        <f t="shared" si="12"/>
        <v/>
      </c>
      <c r="R186" s="45" t="str">
        <f t="shared" si="13"/>
        <v/>
      </c>
      <c r="S186" s="45" t="str" cm="1">
        <f t="array" ref="S186">IFERROR([1]!FeetConvert(R186),"")</f>
        <v/>
      </c>
      <c r="T186" s="45" t="str">
        <f t="shared" si="14"/>
        <v/>
      </c>
    </row>
    <row r="187" spans="4:20" x14ac:dyDescent="0.7">
      <c r="D187" s="47" t="str" cm="1">
        <f t="array" ref="D187">IFERROR([2]!CalculateHyphenString(C187),"")</f>
        <v/>
      </c>
      <c r="M187" s="45" t="str">
        <f t="shared" si="10"/>
        <v/>
      </c>
      <c r="N187" s="1" t="s">
        <v>39</v>
      </c>
      <c r="O187" s="45" t="str">
        <f t="shared" si="11"/>
        <v/>
      </c>
      <c r="P187" s="45" t="str">
        <f t="shared" si="12"/>
        <v/>
      </c>
      <c r="R187" s="45" t="str">
        <f t="shared" si="13"/>
        <v/>
      </c>
      <c r="S187" s="45" t="str" cm="1">
        <f t="array" ref="S187">IFERROR([1]!FeetConvert(R187),"")</f>
        <v/>
      </c>
      <c r="T187" s="45" t="str">
        <f t="shared" si="14"/>
        <v/>
      </c>
    </row>
    <row r="188" spans="4:20" x14ac:dyDescent="0.7">
      <c r="D188" s="47" t="str" cm="1">
        <f t="array" ref="D188">IFERROR([2]!CalculateHyphenString(C188),"")</f>
        <v/>
      </c>
      <c r="M188" s="45" t="str">
        <f t="shared" si="10"/>
        <v/>
      </c>
      <c r="N188" s="1" t="s">
        <v>39</v>
      </c>
      <c r="O188" s="45" t="str">
        <f t="shared" si="11"/>
        <v/>
      </c>
      <c r="P188" s="45" t="str">
        <f t="shared" si="12"/>
        <v/>
      </c>
      <c r="R188" s="45" t="str">
        <f t="shared" si="13"/>
        <v/>
      </c>
      <c r="S188" s="45" t="str" cm="1">
        <f t="array" ref="S188">IFERROR([1]!FeetConvert(R188),"")</f>
        <v/>
      </c>
      <c r="T188" s="45" t="str">
        <f t="shared" si="14"/>
        <v/>
      </c>
    </row>
    <row r="189" spans="4:20" x14ac:dyDescent="0.7">
      <c r="D189" s="47" t="str" cm="1">
        <f t="array" ref="D189">IFERROR([2]!CalculateHyphenString(C189),"")</f>
        <v/>
      </c>
      <c r="M189" s="45" t="str">
        <f t="shared" si="10"/>
        <v/>
      </c>
      <c r="N189" s="1" t="s">
        <v>39</v>
      </c>
      <c r="O189" s="45" t="str">
        <f t="shared" si="11"/>
        <v/>
      </c>
      <c r="P189" s="45" t="str">
        <f t="shared" si="12"/>
        <v/>
      </c>
      <c r="R189" s="45" t="str">
        <f t="shared" si="13"/>
        <v/>
      </c>
      <c r="S189" s="45" t="str" cm="1">
        <f t="array" ref="S189">IFERROR([1]!FeetConvert(R189),"")</f>
        <v/>
      </c>
      <c r="T189" s="45" t="str">
        <f t="shared" si="14"/>
        <v/>
      </c>
    </row>
    <row r="190" spans="4:20" x14ac:dyDescent="0.7">
      <c r="D190" s="47" t="str" cm="1">
        <f t="array" ref="D190">IFERROR([2]!CalculateHyphenString(C190),"")</f>
        <v/>
      </c>
      <c r="M190" s="45" t="str">
        <f t="shared" si="10"/>
        <v/>
      </c>
      <c r="N190" s="1" t="s">
        <v>39</v>
      </c>
      <c r="O190" s="45" t="str">
        <f t="shared" si="11"/>
        <v/>
      </c>
      <c r="P190" s="45" t="str">
        <f t="shared" si="12"/>
        <v/>
      </c>
      <c r="R190" s="45" t="str">
        <f t="shared" si="13"/>
        <v/>
      </c>
      <c r="S190" s="45" t="str" cm="1">
        <f t="array" ref="S190">IFERROR([1]!FeetConvert(R190),"")</f>
        <v/>
      </c>
      <c r="T190" s="45" t="str">
        <f t="shared" si="14"/>
        <v/>
      </c>
    </row>
    <row r="191" spans="4:20" x14ac:dyDescent="0.7">
      <c r="D191" s="47" t="str" cm="1">
        <f t="array" ref="D191">IFERROR([2]!CalculateHyphenString(C191),"")</f>
        <v/>
      </c>
      <c r="M191" s="45" t="str">
        <f t="shared" si="10"/>
        <v/>
      </c>
      <c r="N191" s="1" t="s">
        <v>39</v>
      </c>
      <c r="O191" s="45" t="str">
        <f t="shared" si="11"/>
        <v/>
      </c>
      <c r="P191" s="45" t="str">
        <f t="shared" si="12"/>
        <v/>
      </c>
      <c r="R191" s="45" t="str">
        <f t="shared" si="13"/>
        <v/>
      </c>
      <c r="S191" s="45" t="str" cm="1">
        <f t="array" ref="S191">IFERROR([1]!FeetConvert(R191),"")</f>
        <v/>
      </c>
      <c r="T191" s="45" t="str">
        <f t="shared" si="14"/>
        <v/>
      </c>
    </row>
    <row r="192" spans="4:20" x14ac:dyDescent="0.7">
      <c r="D192" s="47" t="str" cm="1">
        <f t="array" ref="D192">IFERROR([2]!CalculateHyphenString(C192),"")</f>
        <v/>
      </c>
      <c r="M192" s="45" t="str">
        <f t="shared" si="10"/>
        <v/>
      </c>
      <c r="N192" s="1" t="s">
        <v>39</v>
      </c>
      <c r="O192" s="45" t="str">
        <f t="shared" si="11"/>
        <v/>
      </c>
      <c r="P192" s="45" t="str">
        <f t="shared" si="12"/>
        <v/>
      </c>
      <c r="R192" s="45" t="str">
        <f t="shared" si="13"/>
        <v/>
      </c>
      <c r="S192" s="45" t="str" cm="1">
        <f t="array" ref="S192">IFERROR([1]!FeetConvert(R192),"")</f>
        <v/>
      </c>
      <c r="T192" s="45" t="str">
        <f t="shared" si="14"/>
        <v/>
      </c>
    </row>
    <row r="193" spans="4:20" x14ac:dyDescent="0.7">
      <c r="D193" s="47" t="str" cm="1">
        <f t="array" ref="D193">IFERROR([2]!CalculateHyphenString(C193),"")</f>
        <v/>
      </c>
      <c r="M193" s="45" t="str">
        <f t="shared" si="10"/>
        <v/>
      </c>
      <c r="N193" s="1" t="s">
        <v>39</v>
      </c>
      <c r="O193" s="45" t="str">
        <f t="shared" si="11"/>
        <v/>
      </c>
      <c r="P193" s="45" t="str">
        <f t="shared" si="12"/>
        <v/>
      </c>
      <c r="R193" s="45" t="str">
        <f t="shared" si="13"/>
        <v/>
      </c>
      <c r="S193" s="45" t="str" cm="1">
        <f t="array" ref="S193">IFERROR([1]!FeetConvert(R193),"")</f>
        <v/>
      </c>
      <c r="T193" s="45" t="str">
        <f t="shared" si="14"/>
        <v/>
      </c>
    </row>
    <row r="194" spans="4:20" x14ac:dyDescent="0.7">
      <c r="D194" s="47" t="str" cm="1">
        <f t="array" ref="D194">IFERROR([2]!CalculateHyphenString(C194),"")</f>
        <v/>
      </c>
      <c r="M194" s="45" t="str">
        <f t="shared" si="10"/>
        <v/>
      </c>
      <c r="N194" s="1" t="s">
        <v>39</v>
      </c>
      <c r="O194" s="45" t="str">
        <f t="shared" si="11"/>
        <v/>
      </c>
      <c r="P194" s="45" t="str">
        <f t="shared" si="12"/>
        <v/>
      </c>
      <c r="R194" s="45" t="str">
        <f t="shared" si="13"/>
        <v/>
      </c>
      <c r="S194" s="45" t="str" cm="1">
        <f t="array" ref="S194">IFERROR([1]!FeetConvert(R194),"")</f>
        <v/>
      </c>
      <c r="T194" s="45" t="str">
        <f t="shared" si="14"/>
        <v/>
      </c>
    </row>
    <row r="195" spans="4:20" x14ac:dyDescent="0.7">
      <c r="D195" s="47" t="str" cm="1">
        <f t="array" ref="D195">IFERROR([2]!CalculateHyphenString(C195),"")</f>
        <v/>
      </c>
      <c r="M195" s="45" t="str">
        <f t="shared" si="10"/>
        <v/>
      </c>
      <c r="N195" s="1" t="s">
        <v>39</v>
      </c>
      <c r="O195" s="45" t="str">
        <f t="shared" si="11"/>
        <v/>
      </c>
      <c r="P195" s="45" t="str">
        <f t="shared" si="12"/>
        <v/>
      </c>
      <c r="R195" s="45" t="str">
        <f t="shared" si="13"/>
        <v/>
      </c>
      <c r="S195" s="45" t="str" cm="1">
        <f t="array" ref="S195">IFERROR([1]!FeetConvert(R195),"")</f>
        <v/>
      </c>
      <c r="T195" s="45" t="str">
        <f t="shared" si="14"/>
        <v/>
      </c>
    </row>
    <row r="196" spans="4:20" x14ac:dyDescent="0.7">
      <c r="D196" s="47" t="str" cm="1">
        <f t="array" ref="D196">IFERROR([2]!CalculateHyphenString(C196),"")</f>
        <v/>
      </c>
      <c r="M196" s="45" t="str">
        <f t="shared" si="10"/>
        <v/>
      </c>
      <c r="N196" s="1" t="s">
        <v>39</v>
      </c>
      <c r="O196" s="45" t="str">
        <f t="shared" si="11"/>
        <v/>
      </c>
      <c r="P196" s="45" t="str">
        <f t="shared" si="12"/>
        <v/>
      </c>
      <c r="R196" s="45" t="str">
        <f t="shared" si="13"/>
        <v/>
      </c>
      <c r="S196" s="45" t="str" cm="1">
        <f t="array" ref="S196">IFERROR([1]!FeetConvert(R196),"")</f>
        <v/>
      </c>
      <c r="T196" s="45" t="str">
        <f t="shared" si="14"/>
        <v/>
      </c>
    </row>
    <row r="197" spans="4:20" x14ac:dyDescent="0.7">
      <c r="D197" s="47" t="str" cm="1">
        <f t="array" ref="D197">IFERROR([2]!CalculateHyphenString(C197),"")</f>
        <v/>
      </c>
      <c r="M197" s="45" t="str">
        <f t="shared" ref="M197:M260" si="15">IFERROR(K197*$E$2/L197,"")</f>
        <v/>
      </c>
      <c r="N197" s="1" t="s">
        <v>39</v>
      </c>
      <c r="O197" s="45" t="str">
        <f t="shared" ref="O197:O260" si="16">IFERROR(IF(ISBLANK(N197),"",N197*$G$2/100),"")</f>
        <v/>
      </c>
      <c r="P197" s="45" t="str">
        <f t="shared" ref="P197:P260" si="17">IFERROR(N197-O197,"")</f>
        <v/>
      </c>
      <c r="R197" s="45" t="str">
        <f t="shared" ref="R197:R260" si="18">IFERROR(P197-Q197,"")</f>
        <v/>
      </c>
      <c r="S197" s="45" t="str" cm="1">
        <f t="array" ref="S197">IFERROR([1]!FeetConvert(R197),"")</f>
        <v/>
      </c>
      <c r="T197" s="45" t="str">
        <f t="shared" ref="T197:T260" si="19">IFERROR(ROUND(R197,0),"")</f>
        <v/>
      </c>
    </row>
    <row r="198" spans="4:20" x14ac:dyDescent="0.7">
      <c r="D198" s="47" t="str" cm="1">
        <f t="array" ref="D198">IFERROR([2]!CalculateHyphenString(C198),"")</f>
        <v/>
      </c>
      <c r="M198" s="45" t="str">
        <f t="shared" si="15"/>
        <v/>
      </c>
      <c r="N198" s="1" t="s">
        <v>39</v>
      </c>
      <c r="O198" s="45" t="str">
        <f t="shared" si="16"/>
        <v/>
      </c>
      <c r="P198" s="45" t="str">
        <f t="shared" si="17"/>
        <v/>
      </c>
      <c r="R198" s="45" t="str">
        <f t="shared" si="18"/>
        <v/>
      </c>
      <c r="S198" s="45" t="str" cm="1">
        <f t="array" ref="S198">IFERROR([1]!FeetConvert(R198),"")</f>
        <v/>
      </c>
      <c r="T198" s="45" t="str">
        <f t="shared" si="19"/>
        <v/>
      </c>
    </row>
    <row r="199" spans="4:20" x14ac:dyDescent="0.7">
      <c r="D199" s="47" t="str" cm="1">
        <f t="array" ref="D199">IFERROR([2]!CalculateHyphenString(C199),"")</f>
        <v/>
      </c>
      <c r="M199" s="45" t="str">
        <f t="shared" si="15"/>
        <v/>
      </c>
      <c r="N199" s="1" t="s">
        <v>39</v>
      </c>
      <c r="O199" s="45" t="str">
        <f t="shared" si="16"/>
        <v/>
      </c>
      <c r="P199" s="45" t="str">
        <f t="shared" si="17"/>
        <v/>
      </c>
      <c r="R199" s="45" t="str">
        <f t="shared" si="18"/>
        <v/>
      </c>
      <c r="S199" s="45" t="str" cm="1">
        <f t="array" ref="S199">IFERROR([1]!FeetConvert(R199),"")</f>
        <v/>
      </c>
      <c r="T199" s="45" t="str">
        <f t="shared" si="19"/>
        <v/>
      </c>
    </row>
    <row r="200" spans="4:20" x14ac:dyDescent="0.7">
      <c r="D200" s="47" t="str" cm="1">
        <f t="array" ref="D200">IFERROR([2]!CalculateHyphenString(C200),"")</f>
        <v/>
      </c>
      <c r="M200" s="45" t="str">
        <f t="shared" si="15"/>
        <v/>
      </c>
      <c r="N200" s="1" t="s">
        <v>39</v>
      </c>
      <c r="O200" s="45" t="str">
        <f t="shared" si="16"/>
        <v/>
      </c>
      <c r="P200" s="45" t="str">
        <f t="shared" si="17"/>
        <v/>
      </c>
      <c r="R200" s="45" t="str">
        <f t="shared" si="18"/>
        <v/>
      </c>
      <c r="S200" s="45" t="str" cm="1">
        <f t="array" ref="S200">IFERROR([1]!FeetConvert(R200),"")</f>
        <v/>
      </c>
      <c r="T200" s="45" t="str">
        <f t="shared" si="19"/>
        <v/>
      </c>
    </row>
    <row r="201" spans="4:20" x14ac:dyDescent="0.7">
      <c r="D201" s="47" t="str" cm="1">
        <f t="array" ref="D201">IFERROR([2]!CalculateHyphenString(C201),"")</f>
        <v/>
      </c>
      <c r="M201" s="45" t="str">
        <f t="shared" si="15"/>
        <v/>
      </c>
      <c r="N201" s="1" t="s">
        <v>39</v>
      </c>
      <c r="O201" s="45" t="str">
        <f t="shared" si="16"/>
        <v/>
      </c>
      <c r="P201" s="45" t="str">
        <f t="shared" si="17"/>
        <v/>
      </c>
      <c r="R201" s="45" t="str">
        <f t="shared" si="18"/>
        <v/>
      </c>
      <c r="S201" s="45" t="str" cm="1">
        <f t="array" ref="S201">IFERROR([1]!FeetConvert(R201),"")</f>
        <v/>
      </c>
      <c r="T201" s="45" t="str">
        <f t="shared" si="19"/>
        <v/>
      </c>
    </row>
    <row r="202" spans="4:20" x14ac:dyDescent="0.7">
      <c r="D202" s="47" t="str" cm="1">
        <f t="array" ref="D202">IFERROR([2]!CalculateHyphenString(C202),"")</f>
        <v/>
      </c>
      <c r="M202" s="45" t="str">
        <f t="shared" si="15"/>
        <v/>
      </c>
      <c r="N202" s="1" t="s">
        <v>39</v>
      </c>
      <c r="O202" s="45" t="str">
        <f t="shared" si="16"/>
        <v/>
      </c>
      <c r="P202" s="45" t="str">
        <f t="shared" si="17"/>
        <v/>
      </c>
      <c r="R202" s="45" t="str">
        <f t="shared" si="18"/>
        <v/>
      </c>
      <c r="S202" s="45" t="str" cm="1">
        <f t="array" ref="S202">IFERROR([1]!FeetConvert(R202),"")</f>
        <v/>
      </c>
      <c r="T202" s="45" t="str">
        <f t="shared" si="19"/>
        <v/>
      </c>
    </row>
    <row r="203" spans="4:20" x14ac:dyDescent="0.7">
      <c r="D203" s="47" t="str" cm="1">
        <f t="array" ref="D203">IFERROR([2]!CalculateHyphenString(C203),"")</f>
        <v/>
      </c>
      <c r="M203" s="45" t="str">
        <f t="shared" si="15"/>
        <v/>
      </c>
      <c r="N203" s="1" t="s">
        <v>39</v>
      </c>
      <c r="O203" s="45" t="str">
        <f t="shared" si="16"/>
        <v/>
      </c>
      <c r="P203" s="45" t="str">
        <f t="shared" si="17"/>
        <v/>
      </c>
      <c r="R203" s="45" t="str">
        <f t="shared" si="18"/>
        <v/>
      </c>
      <c r="S203" s="45" t="str" cm="1">
        <f t="array" ref="S203">IFERROR([1]!FeetConvert(R203),"")</f>
        <v/>
      </c>
      <c r="T203" s="45" t="str">
        <f t="shared" si="19"/>
        <v/>
      </c>
    </row>
    <row r="204" spans="4:20" x14ac:dyDescent="0.7">
      <c r="D204" s="47" t="str" cm="1">
        <f t="array" ref="D204">IFERROR([2]!CalculateHyphenString(C204),"")</f>
        <v/>
      </c>
      <c r="M204" s="45" t="str">
        <f t="shared" si="15"/>
        <v/>
      </c>
      <c r="N204" s="1" t="s">
        <v>39</v>
      </c>
      <c r="O204" s="45" t="str">
        <f t="shared" si="16"/>
        <v/>
      </c>
      <c r="P204" s="45" t="str">
        <f t="shared" si="17"/>
        <v/>
      </c>
      <c r="R204" s="45" t="str">
        <f t="shared" si="18"/>
        <v/>
      </c>
      <c r="S204" s="45" t="str" cm="1">
        <f t="array" ref="S204">IFERROR([1]!FeetConvert(R204),"")</f>
        <v/>
      </c>
      <c r="T204" s="45" t="str">
        <f t="shared" si="19"/>
        <v/>
      </c>
    </row>
    <row r="205" spans="4:20" x14ac:dyDescent="0.7">
      <c r="D205" s="47" t="str" cm="1">
        <f t="array" ref="D205">IFERROR([2]!CalculateHyphenString(C205),"")</f>
        <v/>
      </c>
      <c r="M205" s="45" t="str">
        <f t="shared" si="15"/>
        <v/>
      </c>
      <c r="N205" s="1" t="s">
        <v>39</v>
      </c>
      <c r="O205" s="45" t="str">
        <f t="shared" si="16"/>
        <v/>
      </c>
      <c r="P205" s="45" t="str">
        <f t="shared" si="17"/>
        <v/>
      </c>
      <c r="R205" s="45" t="str">
        <f t="shared" si="18"/>
        <v/>
      </c>
      <c r="S205" s="45" t="str" cm="1">
        <f t="array" ref="S205">IFERROR([1]!FeetConvert(R205),"")</f>
        <v/>
      </c>
      <c r="T205" s="45" t="str">
        <f t="shared" si="19"/>
        <v/>
      </c>
    </row>
    <row r="206" spans="4:20" x14ac:dyDescent="0.7">
      <c r="D206" s="47" t="str" cm="1">
        <f t="array" ref="D206">IFERROR([2]!CalculateHyphenString(C206),"")</f>
        <v/>
      </c>
      <c r="M206" s="45" t="str">
        <f t="shared" si="15"/>
        <v/>
      </c>
      <c r="N206" s="1" t="s">
        <v>39</v>
      </c>
      <c r="O206" s="45" t="str">
        <f t="shared" si="16"/>
        <v/>
      </c>
      <c r="P206" s="45" t="str">
        <f t="shared" si="17"/>
        <v/>
      </c>
      <c r="R206" s="45" t="str">
        <f t="shared" si="18"/>
        <v/>
      </c>
      <c r="S206" s="45" t="str" cm="1">
        <f t="array" ref="S206">IFERROR([1]!FeetConvert(R206),"")</f>
        <v/>
      </c>
      <c r="T206" s="45" t="str">
        <f t="shared" si="19"/>
        <v/>
      </c>
    </row>
    <row r="207" spans="4:20" x14ac:dyDescent="0.7">
      <c r="D207" s="47" t="str" cm="1">
        <f t="array" ref="D207">IFERROR([2]!CalculateHyphenString(C207),"")</f>
        <v/>
      </c>
      <c r="M207" s="45" t="str">
        <f t="shared" si="15"/>
        <v/>
      </c>
      <c r="N207" s="1" t="s">
        <v>39</v>
      </c>
      <c r="O207" s="45" t="str">
        <f t="shared" si="16"/>
        <v/>
      </c>
      <c r="P207" s="45" t="str">
        <f t="shared" si="17"/>
        <v/>
      </c>
      <c r="R207" s="45" t="str">
        <f t="shared" si="18"/>
        <v/>
      </c>
      <c r="S207" s="45" t="str" cm="1">
        <f t="array" ref="S207">IFERROR([1]!FeetConvert(R207),"")</f>
        <v/>
      </c>
      <c r="T207" s="45" t="str">
        <f t="shared" si="19"/>
        <v/>
      </c>
    </row>
    <row r="208" spans="4:20" x14ac:dyDescent="0.7">
      <c r="D208" s="47" t="str" cm="1">
        <f t="array" ref="D208">IFERROR([2]!CalculateHyphenString(C208),"")</f>
        <v/>
      </c>
      <c r="M208" s="45" t="str">
        <f t="shared" si="15"/>
        <v/>
      </c>
      <c r="N208" s="1" t="s">
        <v>39</v>
      </c>
      <c r="O208" s="45" t="str">
        <f t="shared" si="16"/>
        <v/>
      </c>
      <c r="P208" s="45" t="str">
        <f t="shared" si="17"/>
        <v/>
      </c>
      <c r="R208" s="45" t="str">
        <f t="shared" si="18"/>
        <v/>
      </c>
      <c r="S208" s="45" t="str" cm="1">
        <f t="array" ref="S208">IFERROR([1]!FeetConvert(R208),"")</f>
        <v/>
      </c>
      <c r="T208" s="45" t="str">
        <f t="shared" si="19"/>
        <v/>
      </c>
    </row>
    <row r="209" spans="4:20" x14ac:dyDescent="0.7">
      <c r="D209" s="47" t="str" cm="1">
        <f t="array" ref="D209">IFERROR([2]!CalculateHyphenString(C209),"")</f>
        <v/>
      </c>
      <c r="M209" s="45" t="str">
        <f t="shared" si="15"/>
        <v/>
      </c>
      <c r="N209" s="1" t="s">
        <v>39</v>
      </c>
      <c r="O209" s="45" t="str">
        <f t="shared" si="16"/>
        <v/>
      </c>
      <c r="P209" s="45" t="str">
        <f t="shared" si="17"/>
        <v/>
      </c>
      <c r="R209" s="45" t="str">
        <f t="shared" si="18"/>
        <v/>
      </c>
      <c r="S209" s="45" t="str" cm="1">
        <f t="array" ref="S209">IFERROR([1]!FeetConvert(R209),"")</f>
        <v/>
      </c>
      <c r="T209" s="45" t="str">
        <f t="shared" si="19"/>
        <v/>
      </c>
    </row>
    <row r="210" spans="4:20" x14ac:dyDescent="0.7">
      <c r="D210" s="47" t="str" cm="1">
        <f t="array" ref="D210">IFERROR([2]!CalculateHyphenString(C210),"")</f>
        <v/>
      </c>
      <c r="M210" s="45" t="str">
        <f t="shared" si="15"/>
        <v/>
      </c>
      <c r="N210" s="1" t="s">
        <v>39</v>
      </c>
      <c r="O210" s="45" t="str">
        <f t="shared" si="16"/>
        <v/>
      </c>
      <c r="P210" s="45" t="str">
        <f t="shared" si="17"/>
        <v/>
      </c>
      <c r="R210" s="45" t="str">
        <f t="shared" si="18"/>
        <v/>
      </c>
      <c r="S210" s="45" t="str" cm="1">
        <f t="array" ref="S210">IFERROR([1]!FeetConvert(R210),"")</f>
        <v/>
      </c>
      <c r="T210" s="45" t="str">
        <f t="shared" si="19"/>
        <v/>
      </c>
    </row>
    <row r="211" spans="4:20" x14ac:dyDescent="0.7">
      <c r="D211" s="47" t="str" cm="1">
        <f t="array" ref="D211">IFERROR([2]!CalculateHyphenString(C211),"")</f>
        <v/>
      </c>
      <c r="M211" s="45" t="str">
        <f t="shared" si="15"/>
        <v/>
      </c>
      <c r="N211" s="1" t="s">
        <v>39</v>
      </c>
      <c r="O211" s="45" t="str">
        <f t="shared" si="16"/>
        <v/>
      </c>
      <c r="P211" s="45" t="str">
        <f t="shared" si="17"/>
        <v/>
      </c>
      <c r="R211" s="45" t="str">
        <f t="shared" si="18"/>
        <v/>
      </c>
      <c r="S211" s="45" t="str" cm="1">
        <f t="array" ref="S211">IFERROR([1]!FeetConvert(R211),"")</f>
        <v/>
      </c>
      <c r="T211" s="45" t="str">
        <f t="shared" si="19"/>
        <v/>
      </c>
    </row>
    <row r="212" spans="4:20" x14ac:dyDescent="0.7">
      <c r="D212" s="47" t="str" cm="1">
        <f t="array" ref="D212">IFERROR([2]!CalculateHyphenString(C212),"")</f>
        <v/>
      </c>
      <c r="M212" s="45" t="str">
        <f t="shared" si="15"/>
        <v/>
      </c>
      <c r="N212" s="1" t="s">
        <v>39</v>
      </c>
      <c r="O212" s="45" t="str">
        <f t="shared" si="16"/>
        <v/>
      </c>
      <c r="P212" s="45" t="str">
        <f t="shared" si="17"/>
        <v/>
      </c>
      <c r="R212" s="45" t="str">
        <f t="shared" si="18"/>
        <v/>
      </c>
      <c r="S212" s="45" t="str" cm="1">
        <f t="array" ref="S212">IFERROR([1]!FeetConvert(R212),"")</f>
        <v/>
      </c>
      <c r="T212" s="45" t="str">
        <f t="shared" si="19"/>
        <v/>
      </c>
    </row>
    <row r="213" spans="4:20" x14ac:dyDescent="0.7">
      <c r="D213" s="47" t="str" cm="1">
        <f t="array" ref="D213">IFERROR([2]!CalculateHyphenString(C213),"")</f>
        <v/>
      </c>
      <c r="M213" s="45" t="str">
        <f t="shared" si="15"/>
        <v/>
      </c>
      <c r="N213" s="1" t="s">
        <v>39</v>
      </c>
      <c r="O213" s="45" t="str">
        <f t="shared" si="16"/>
        <v/>
      </c>
      <c r="P213" s="45" t="str">
        <f t="shared" si="17"/>
        <v/>
      </c>
      <c r="R213" s="45" t="str">
        <f t="shared" si="18"/>
        <v/>
      </c>
      <c r="S213" s="45" t="str" cm="1">
        <f t="array" ref="S213">IFERROR([1]!FeetConvert(R213),"")</f>
        <v/>
      </c>
      <c r="T213" s="45" t="str">
        <f t="shared" si="19"/>
        <v/>
      </c>
    </row>
    <row r="214" spans="4:20" x14ac:dyDescent="0.7">
      <c r="D214" s="47" t="str" cm="1">
        <f t="array" ref="D214">IFERROR([2]!CalculateHyphenString(C214),"")</f>
        <v/>
      </c>
      <c r="M214" s="45" t="str">
        <f t="shared" si="15"/>
        <v/>
      </c>
      <c r="N214" s="1" t="s">
        <v>39</v>
      </c>
      <c r="O214" s="45" t="str">
        <f t="shared" si="16"/>
        <v/>
      </c>
      <c r="P214" s="45" t="str">
        <f t="shared" si="17"/>
        <v/>
      </c>
      <c r="R214" s="45" t="str">
        <f t="shared" si="18"/>
        <v/>
      </c>
      <c r="S214" s="45" t="str" cm="1">
        <f t="array" ref="S214">IFERROR([1]!FeetConvert(R214),"")</f>
        <v/>
      </c>
      <c r="T214" s="45" t="str">
        <f t="shared" si="19"/>
        <v/>
      </c>
    </row>
    <row r="215" spans="4:20" x14ac:dyDescent="0.7">
      <c r="D215" s="47" t="str" cm="1">
        <f t="array" ref="D215">IFERROR([2]!CalculateHyphenString(C215),"")</f>
        <v/>
      </c>
      <c r="M215" s="45" t="str">
        <f t="shared" si="15"/>
        <v/>
      </c>
      <c r="N215" s="1" t="s">
        <v>39</v>
      </c>
      <c r="O215" s="45" t="str">
        <f t="shared" si="16"/>
        <v/>
      </c>
      <c r="P215" s="45" t="str">
        <f t="shared" si="17"/>
        <v/>
      </c>
      <c r="R215" s="45" t="str">
        <f t="shared" si="18"/>
        <v/>
      </c>
      <c r="S215" s="45" t="str" cm="1">
        <f t="array" ref="S215">IFERROR([1]!FeetConvert(R215),"")</f>
        <v/>
      </c>
      <c r="T215" s="45" t="str">
        <f t="shared" si="19"/>
        <v/>
      </c>
    </row>
    <row r="216" spans="4:20" x14ac:dyDescent="0.7">
      <c r="D216" s="47" t="str" cm="1">
        <f t="array" ref="D216">IFERROR([2]!CalculateHyphenString(C216),"")</f>
        <v/>
      </c>
      <c r="M216" s="45" t="str">
        <f t="shared" si="15"/>
        <v/>
      </c>
      <c r="N216" s="1" t="s">
        <v>39</v>
      </c>
      <c r="O216" s="45" t="str">
        <f t="shared" si="16"/>
        <v/>
      </c>
      <c r="P216" s="45" t="str">
        <f t="shared" si="17"/>
        <v/>
      </c>
      <c r="R216" s="45" t="str">
        <f t="shared" si="18"/>
        <v/>
      </c>
      <c r="S216" s="45" t="str" cm="1">
        <f t="array" ref="S216">IFERROR([1]!FeetConvert(R216),"")</f>
        <v/>
      </c>
      <c r="T216" s="45" t="str">
        <f t="shared" si="19"/>
        <v/>
      </c>
    </row>
    <row r="217" spans="4:20" x14ac:dyDescent="0.7">
      <c r="D217" s="47" t="str" cm="1">
        <f t="array" ref="D217">IFERROR([2]!CalculateHyphenString(C217),"")</f>
        <v/>
      </c>
      <c r="M217" s="45" t="str">
        <f t="shared" si="15"/>
        <v/>
      </c>
      <c r="N217" s="1" t="s">
        <v>39</v>
      </c>
      <c r="O217" s="45" t="str">
        <f t="shared" si="16"/>
        <v/>
      </c>
      <c r="P217" s="45" t="str">
        <f t="shared" si="17"/>
        <v/>
      </c>
      <c r="R217" s="45" t="str">
        <f t="shared" si="18"/>
        <v/>
      </c>
      <c r="S217" s="45" t="str" cm="1">
        <f t="array" ref="S217">IFERROR([1]!FeetConvert(R217),"")</f>
        <v/>
      </c>
      <c r="T217" s="45" t="str">
        <f t="shared" si="19"/>
        <v/>
      </c>
    </row>
    <row r="218" spans="4:20" x14ac:dyDescent="0.7">
      <c r="D218" s="47" t="str" cm="1">
        <f t="array" ref="D218">IFERROR([2]!CalculateHyphenString(C218),"")</f>
        <v/>
      </c>
      <c r="M218" s="45" t="str">
        <f t="shared" si="15"/>
        <v/>
      </c>
      <c r="N218" s="1" t="s">
        <v>39</v>
      </c>
      <c r="O218" s="45" t="str">
        <f t="shared" si="16"/>
        <v/>
      </c>
      <c r="P218" s="45" t="str">
        <f t="shared" si="17"/>
        <v/>
      </c>
      <c r="R218" s="45" t="str">
        <f t="shared" si="18"/>
        <v/>
      </c>
      <c r="S218" s="45" t="str" cm="1">
        <f t="array" ref="S218">IFERROR([1]!FeetConvert(R218),"")</f>
        <v/>
      </c>
      <c r="T218" s="45" t="str">
        <f t="shared" si="19"/>
        <v/>
      </c>
    </row>
    <row r="219" spans="4:20" x14ac:dyDescent="0.7">
      <c r="D219" s="47" t="str" cm="1">
        <f t="array" ref="D219">IFERROR([2]!CalculateHyphenString(C219),"")</f>
        <v/>
      </c>
      <c r="M219" s="45" t="str">
        <f t="shared" si="15"/>
        <v/>
      </c>
      <c r="N219" s="1" t="s">
        <v>39</v>
      </c>
      <c r="O219" s="45" t="str">
        <f t="shared" si="16"/>
        <v/>
      </c>
      <c r="P219" s="45" t="str">
        <f t="shared" si="17"/>
        <v/>
      </c>
      <c r="R219" s="45" t="str">
        <f t="shared" si="18"/>
        <v/>
      </c>
      <c r="S219" s="45" t="str" cm="1">
        <f t="array" ref="S219">IFERROR([1]!FeetConvert(R219),"")</f>
        <v/>
      </c>
      <c r="T219" s="45" t="str">
        <f t="shared" si="19"/>
        <v/>
      </c>
    </row>
    <row r="220" spans="4:20" x14ac:dyDescent="0.7">
      <c r="D220" s="47" t="str" cm="1">
        <f t="array" ref="D220">IFERROR([2]!CalculateHyphenString(C220),"")</f>
        <v/>
      </c>
      <c r="M220" s="45" t="str">
        <f t="shared" si="15"/>
        <v/>
      </c>
      <c r="N220" s="1" t="s">
        <v>39</v>
      </c>
      <c r="O220" s="45" t="str">
        <f t="shared" si="16"/>
        <v/>
      </c>
      <c r="P220" s="45" t="str">
        <f t="shared" si="17"/>
        <v/>
      </c>
      <c r="R220" s="45" t="str">
        <f t="shared" si="18"/>
        <v/>
      </c>
      <c r="S220" s="45" t="str" cm="1">
        <f t="array" ref="S220">IFERROR([1]!FeetConvert(R220),"")</f>
        <v/>
      </c>
      <c r="T220" s="45" t="str">
        <f t="shared" si="19"/>
        <v/>
      </c>
    </row>
    <row r="221" spans="4:20" x14ac:dyDescent="0.7">
      <c r="D221" s="47" t="str" cm="1">
        <f t="array" ref="D221">IFERROR([2]!CalculateHyphenString(C221),"")</f>
        <v/>
      </c>
      <c r="M221" s="45" t="str">
        <f t="shared" si="15"/>
        <v/>
      </c>
      <c r="N221" s="1" t="s">
        <v>39</v>
      </c>
      <c r="O221" s="45" t="str">
        <f t="shared" si="16"/>
        <v/>
      </c>
      <c r="P221" s="45" t="str">
        <f t="shared" si="17"/>
        <v/>
      </c>
      <c r="R221" s="45" t="str">
        <f t="shared" si="18"/>
        <v/>
      </c>
      <c r="S221" s="45" t="str" cm="1">
        <f t="array" ref="S221">IFERROR([1]!FeetConvert(R221),"")</f>
        <v/>
      </c>
      <c r="T221" s="45" t="str">
        <f t="shared" si="19"/>
        <v/>
      </c>
    </row>
    <row r="222" spans="4:20" x14ac:dyDescent="0.7">
      <c r="D222" s="47" t="str" cm="1">
        <f t="array" ref="D222">IFERROR([2]!CalculateHyphenString(C222),"")</f>
        <v/>
      </c>
      <c r="M222" s="45" t="str">
        <f t="shared" si="15"/>
        <v/>
      </c>
      <c r="N222" s="1" t="s">
        <v>39</v>
      </c>
      <c r="O222" s="45" t="str">
        <f t="shared" si="16"/>
        <v/>
      </c>
      <c r="P222" s="45" t="str">
        <f t="shared" si="17"/>
        <v/>
      </c>
      <c r="R222" s="45" t="str">
        <f t="shared" si="18"/>
        <v/>
      </c>
      <c r="S222" s="45" t="str" cm="1">
        <f t="array" ref="S222">IFERROR([1]!FeetConvert(R222),"")</f>
        <v/>
      </c>
      <c r="T222" s="45" t="str">
        <f t="shared" si="19"/>
        <v/>
      </c>
    </row>
    <row r="223" spans="4:20" x14ac:dyDescent="0.7">
      <c r="D223" s="47" t="str" cm="1">
        <f t="array" ref="D223">IFERROR([2]!CalculateHyphenString(C223),"")</f>
        <v/>
      </c>
      <c r="M223" s="45" t="str">
        <f t="shared" si="15"/>
        <v/>
      </c>
      <c r="N223" s="1" t="s">
        <v>39</v>
      </c>
      <c r="O223" s="45" t="str">
        <f t="shared" si="16"/>
        <v/>
      </c>
      <c r="P223" s="45" t="str">
        <f t="shared" si="17"/>
        <v/>
      </c>
      <c r="R223" s="45" t="str">
        <f t="shared" si="18"/>
        <v/>
      </c>
      <c r="S223" s="45" t="str" cm="1">
        <f t="array" ref="S223">IFERROR([1]!FeetConvert(R223),"")</f>
        <v/>
      </c>
      <c r="T223" s="45" t="str">
        <f t="shared" si="19"/>
        <v/>
      </c>
    </row>
    <row r="224" spans="4:20" x14ac:dyDescent="0.7">
      <c r="D224" s="47" t="str" cm="1">
        <f t="array" ref="D224">IFERROR([2]!CalculateHyphenString(C224),"")</f>
        <v/>
      </c>
      <c r="M224" s="45" t="str">
        <f t="shared" si="15"/>
        <v/>
      </c>
      <c r="N224" s="1" t="s">
        <v>39</v>
      </c>
      <c r="O224" s="45" t="str">
        <f t="shared" si="16"/>
        <v/>
      </c>
      <c r="P224" s="45" t="str">
        <f t="shared" si="17"/>
        <v/>
      </c>
      <c r="R224" s="45" t="str">
        <f t="shared" si="18"/>
        <v/>
      </c>
      <c r="S224" s="45" t="str" cm="1">
        <f t="array" ref="S224">IFERROR([1]!FeetConvert(R224),"")</f>
        <v/>
      </c>
      <c r="T224" s="45" t="str">
        <f t="shared" si="19"/>
        <v/>
      </c>
    </row>
    <row r="225" spans="4:20" x14ac:dyDescent="0.7">
      <c r="D225" s="47" t="str" cm="1">
        <f t="array" ref="D225">IFERROR([2]!CalculateHyphenString(C225),"")</f>
        <v/>
      </c>
      <c r="M225" s="45" t="str">
        <f t="shared" si="15"/>
        <v/>
      </c>
      <c r="N225" s="1" t="s">
        <v>39</v>
      </c>
      <c r="O225" s="45" t="str">
        <f t="shared" si="16"/>
        <v/>
      </c>
      <c r="P225" s="45" t="str">
        <f t="shared" si="17"/>
        <v/>
      </c>
      <c r="R225" s="45" t="str">
        <f t="shared" si="18"/>
        <v/>
      </c>
      <c r="S225" s="45" t="str" cm="1">
        <f t="array" ref="S225">IFERROR([1]!FeetConvert(R225),"")</f>
        <v/>
      </c>
      <c r="T225" s="45" t="str">
        <f t="shared" si="19"/>
        <v/>
      </c>
    </row>
    <row r="226" spans="4:20" x14ac:dyDescent="0.7">
      <c r="D226" s="47" t="str" cm="1">
        <f t="array" ref="D226">IFERROR([2]!CalculateHyphenString(C226),"")</f>
        <v/>
      </c>
      <c r="M226" s="45" t="str">
        <f t="shared" si="15"/>
        <v/>
      </c>
      <c r="N226" s="1" t="s">
        <v>39</v>
      </c>
      <c r="O226" s="45" t="str">
        <f t="shared" si="16"/>
        <v/>
      </c>
      <c r="P226" s="45" t="str">
        <f t="shared" si="17"/>
        <v/>
      </c>
      <c r="R226" s="45" t="str">
        <f t="shared" si="18"/>
        <v/>
      </c>
      <c r="S226" s="45" t="str" cm="1">
        <f t="array" ref="S226">IFERROR([1]!FeetConvert(R226),"")</f>
        <v/>
      </c>
      <c r="T226" s="45" t="str">
        <f t="shared" si="19"/>
        <v/>
      </c>
    </row>
    <row r="227" spans="4:20" x14ac:dyDescent="0.7">
      <c r="D227" s="47" t="str" cm="1">
        <f t="array" ref="D227">IFERROR([2]!CalculateHyphenString(C227),"")</f>
        <v/>
      </c>
      <c r="M227" s="45" t="str">
        <f t="shared" si="15"/>
        <v/>
      </c>
      <c r="N227" s="1" t="s">
        <v>39</v>
      </c>
      <c r="O227" s="45" t="str">
        <f t="shared" si="16"/>
        <v/>
      </c>
      <c r="P227" s="45" t="str">
        <f t="shared" si="17"/>
        <v/>
      </c>
      <c r="R227" s="45" t="str">
        <f t="shared" si="18"/>
        <v/>
      </c>
      <c r="S227" s="45" t="str" cm="1">
        <f t="array" ref="S227">IFERROR([1]!FeetConvert(R227),"")</f>
        <v/>
      </c>
      <c r="T227" s="45" t="str">
        <f t="shared" si="19"/>
        <v/>
      </c>
    </row>
    <row r="228" spans="4:20" x14ac:dyDescent="0.7">
      <c r="D228" s="47" t="str" cm="1">
        <f t="array" ref="D228">IFERROR([2]!CalculateHyphenString(C228),"")</f>
        <v/>
      </c>
      <c r="M228" s="45" t="str">
        <f t="shared" si="15"/>
        <v/>
      </c>
      <c r="N228" s="1" t="s">
        <v>39</v>
      </c>
      <c r="O228" s="45" t="str">
        <f t="shared" si="16"/>
        <v/>
      </c>
      <c r="P228" s="45" t="str">
        <f t="shared" si="17"/>
        <v/>
      </c>
      <c r="R228" s="45" t="str">
        <f t="shared" si="18"/>
        <v/>
      </c>
      <c r="S228" s="45" t="str" cm="1">
        <f t="array" ref="S228">IFERROR([1]!FeetConvert(R228),"")</f>
        <v/>
      </c>
      <c r="T228" s="45" t="str">
        <f t="shared" si="19"/>
        <v/>
      </c>
    </row>
    <row r="229" spans="4:20" x14ac:dyDescent="0.7">
      <c r="D229" s="47" t="str" cm="1">
        <f t="array" ref="D229">IFERROR([2]!CalculateHyphenString(C229),"")</f>
        <v/>
      </c>
      <c r="M229" s="45" t="str">
        <f t="shared" si="15"/>
        <v/>
      </c>
      <c r="N229" s="1" t="s">
        <v>39</v>
      </c>
      <c r="O229" s="45" t="str">
        <f t="shared" si="16"/>
        <v/>
      </c>
      <c r="P229" s="45" t="str">
        <f t="shared" si="17"/>
        <v/>
      </c>
      <c r="R229" s="45" t="str">
        <f t="shared" si="18"/>
        <v/>
      </c>
      <c r="S229" s="45" t="str" cm="1">
        <f t="array" ref="S229">IFERROR([1]!FeetConvert(R229),"")</f>
        <v/>
      </c>
      <c r="T229" s="45" t="str">
        <f t="shared" si="19"/>
        <v/>
      </c>
    </row>
    <row r="230" spans="4:20" x14ac:dyDescent="0.7">
      <c r="D230" s="47" t="str" cm="1">
        <f t="array" ref="D230">IFERROR([2]!CalculateHyphenString(C230),"")</f>
        <v/>
      </c>
      <c r="M230" s="45" t="str">
        <f t="shared" si="15"/>
        <v/>
      </c>
      <c r="N230" s="1" t="s">
        <v>39</v>
      </c>
      <c r="O230" s="45" t="str">
        <f t="shared" si="16"/>
        <v/>
      </c>
      <c r="P230" s="45" t="str">
        <f t="shared" si="17"/>
        <v/>
      </c>
      <c r="R230" s="45" t="str">
        <f t="shared" si="18"/>
        <v/>
      </c>
      <c r="S230" s="45" t="str" cm="1">
        <f t="array" ref="S230">IFERROR([1]!FeetConvert(R230),"")</f>
        <v/>
      </c>
      <c r="T230" s="45" t="str">
        <f t="shared" si="19"/>
        <v/>
      </c>
    </row>
    <row r="231" spans="4:20" x14ac:dyDescent="0.7">
      <c r="D231" s="47" t="str" cm="1">
        <f t="array" ref="D231">IFERROR([2]!CalculateHyphenString(C231),"")</f>
        <v/>
      </c>
      <c r="M231" s="45" t="str">
        <f t="shared" si="15"/>
        <v/>
      </c>
      <c r="N231" s="1" t="s">
        <v>39</v>
      </c>
      <c r="O231" s="45" t="str">
        <f t="shared" si="16"/>
        <v/>
      </c>
      <c r="P231" s="45" t="str">
        <f t="shared" si="17"/>
        <v/>
      </c>
      <c r="R231" s="45" t="str">
        <f t="shared" si="18"/>
        <v/>
      </c>
      <c r="S231" s="45" t="str" cm="1">
        <f t="array" ref="S231">IFERROR([1]!FeetConvert(R231),"")</f>
        <v/>
      </c>
      <c r="T231" s="45" t="str">
        <f t="shared" si="19"/>
        <v/>
      </c>
    </row>
    <row r="232" spans="4:20" x14ac:dyDescent="0.7">
      <c r="D232" s="47" t="str" cm="1">
        <f t="array" ref="D232">IFERROR([2]!CalculateHyphenString(C232),"")</f>
        <v/>
      </c>
      <c r="M232" s="45" t="str">
        <f t="shared" si="15"/>
        <v/>
      </c>
      <c r="N232" s="1" t="s">
        <v>39</v>
      </c>
      <c r="O232" s="45" t="str">
        <f t="shared" si="16"/>
        <v/>
      </c>
      <c r="P232" s="45" t="str">
        <f t="shared" si="17"/>
        <v/>
      </c>
      <c r="R232" s="45" t="str">
        <f t="shared" si="18"/>
        <v/>
      </c>
      <c r="S232" s="45" t="str" cm="1">
        <f t="array" ref="S232">IFERROR([1]!FeetConvert(R232),"")</f>
        <v/>
      </c>
      <c r="T232" s="45" t="str">
        <f t="shared" si="19"/>
        <v/>
      </c>
    </row>
    <row r="233" spans="4:20" x14ac:dyDescent="0.7">
      <c r="D233" s="47" t="str" cm="1">
        <f t="array" ref="D233">IFERROR([2]!CalculateHyphenString(C233),"")</f>
        <v/>
      </c>
      <c r="M233" s="45" t="str">
        <f t="shared" si="15"/>
        <v/>
      </c>
      <c r="N233" s="1" t="s">
        <v>39</v>
      </c>
      <c r="O233" s="45" t="str">
        <f t="shared" si="16"/>
        <v/>
      </c>
      <c r="P233" s="45" t="str">
        <f t="shared" si="17"/>
        <v/>
      </c>
      <c r="R233" s="45" t="str">
        <f t="shared" si="18"/>
        <v/>
      </c>
      <c r="S233" s="45" t="str" cm="1">
        <f t="array" ref="S233">IFERROR([1]!FeetConvert(R233),"")</f>
        <v/>
      </c>
      <c r="T233" s="45" t="str">
        <f t="shared" si="19"/>
        <v/>
      </c>
    </row>
    <row r="234" spans="4:20" x14ac:dyDescent="0.7">
      <c r="D234" s="47" t="str" cm="1">
        <f t="array" ref="D234">IFERROR([2]!CalculateHyphenString(C234),"")</f>
        <v/>
      </c>
      <c r="M234" s="45" t="str">
        <f t="shared" si="15"/>
        <v/>
      </c>
      <c r="N234" s="1" t="s">
        <v>39</v>
      </c>
      <c r="O234" s="45" t="str">
        <f t="shared" si="16"/>
        <v/>
      </c>
      <c r="P234" s="45" t="str">
        <f t="shared" si="17"/>
        <v/>
      </c>
      <c r="R234" s="45" t="str">
        <f t="shared" si="18"/>
        <v/>
      </c>
      <c r="S234" s="45" t="str" cm="1">
        <f t="array" ref="S234">IFERROR([1]!FeetConvert(R234),"")</f>
        <v/>
      </c>
      <c r="T234" s="45" t="str">
        <f t="shared" si="19"/>
        <v/>
      </c>
    </row>
    <row r="235" spans="4:20" x14ac:dyDescent="0.7">
      <c r="D235" s="47" t="str" cm="1">
        <f t="array" ref="D235">IFERROR([2]!CalculateHyphenString(C235),"")</f>
        <v/>
      </c>
      <c r="M235" s="45" t="str">
        <f t="shared" si="15"/>
        <v/>
      </c>
      <c r="N235" s="1" t="s">
        <v>39</v>
      </c>
      <c r="O235" s="45" t="str">
        <f t="shared" si="16"/>
        <v/>
      </c>
      <c r="P235" s="45" t="str">
        <f t="shared" si="17"/>
        <v/>
      </c>
      <c r="R235" s="45" t="str">
        <f t="shared" si="18"/>
        <v/>
      </c>
      <c r="S235" s="45" t="str" cm="1">
        <f t="array" ref="S235">IFERROR([1]!FeetConvert(R235),"")</f>
        <v/>
      </c>
      <c r="T235" s="45" t="str">
        <f t="shared" si="19"/>
        <v/>
      </c>
    </row>
    <row r="236" spans="4:20" x14ac:dyDescent="0.7">
      <c r="D236" s="47" t="str" cm="1">
        <f t="array" ref="D236">IFERROR([2]!CalculateHyphenString(C236),"")</f>
        <v/>
      </c>
      <c r="M236" s="45" t="str">
        <f t="shared" si="15"/>
        <v/>
      </c>
      <c r="N236" s="1" t="s">
        <v>39</v>
      </c>
      <c r="O236" s="45" t="str">
        <f t="shared" si="16"/>
        <v/>
      </c>
      <c r="P236" s="45" t="str">
        <f t="shared" si="17"/>
        <v/>
      </c>
      <c r="R236" s="45" t="str">
        <f t="shared" si="18"/>
        <v/>
      </c>
      <c r="S236" s="45" t="str" cm="1">
        <f t="array" ref="S236">IFERROR([1]!FeetConvert(R236),"")</f>
        <v/>
      </c>
      <c r="T236" s="45" t="str">
        <f t="shared" si="19"/>
        <v/>
      </c>
    </row>
    <row r="237" spans="4:20" x14ac:dyDescent="0.7">
      <c r="D237" s="47" t="str" cm="1">
        <f t="array" ref="D237">IFERROR([2]!CalculateHyphenString(C237),"")</f>
        <v/>
      </c>
      <c r="M237" s="45" t="str">
        <f t="shared" si="15"/>
        <v/>
      </c>
      <c r="N237" s="1" t="s">
        <v>39</v>
      </c>
      <c r="O237" s="45" t="str">
        <f t="shared" si="16"/>
        <v/>
      </c>
      <c r="P237" s="45" t="str">
        <f t="shared" si="17"/>
        <v/>
      </c>
      <c r="R237" s="45" t="str">
        <f t="shared" si="18"/>
        <v/>
      </c>
      <c r="S237" s="45" t="str" cm="1">
        <f t="array" ref="S237">IFERROR([1]!FeetConvert(R237),"")</f>
        <v/>
      </c>
      <c r="T237" s="45" t="str">
        <f t="shared" si="19"/>
        <v/>
      </c>
    </row>
    <row r="238" spans="4:20" x14ac:dyDescent="0.7">
      <c r="D238" s="47" t="str" cm="1">
        <f t="array" ref="D238">IFERROR([2]!CalculateHyphenString(C238),"")</f>
        <v/>
      </c>
      <c r="M238" s="45" t="str">
        <f t="shared" si="15"/>
        <v/>
      </c>
      <c r="N238" s="1" t="s">
        <v>39</v>
      </c>
      <c r="O238" s="45" t="str">
        <f t="shared" si="16"/>
        <v/>
      </c>
      <c r="P238" s="45" t="str">
        <f t="shared" si="17"/>
        <v/>
      </c>
      <c r="R238" s="45" t="str">
        <f t="shared" si="18"/>
        <v/>
      </c>
      <c r="S238" s="45" t="str" cm="1">
        <f t="array" ref="S238">IFERROR([1]!FeetConvert(R238),"")</f>
        <v/>
      </c>
      <c r="T238" s="45" t="str">
        <f t="shared" si="19"/>
        <v/>
      </c>
    </row>
    <row r="239" spans="4:20" x14ac:dyDescent="0.7">
      <c r="D239" s="47" t="str" cm="1">
        <f t="array" ref="D239">IFERROR([2]!CalculateHyphenString(C239),"")</f>
        <v/>
      </c>
      <c r="M239" s="45" t="str">
        <f t="shared" si="15"/>
        <v/>
      </c>
      <c r="N239" s="1" t="s">
        <v>39</v>
      </c>
      <c r="O239" s="45" t="str">
        <f t="shared" si="16"/>
        <v/>
      </c>
      <c r="P239" s="45" t="str">
        <f t="shared" si="17"/>
        <v/>
      </c>
      <c r="R239" s="45" t="str">
        <f t="shared" si="18"/>
        <v/>
      </c>
      <c r="S239" s="45" t="str" cm="1">
        <f t="array" ref="S239">IFERROR([1]!FeetConvert(R239),"")</f>
        <v/>
      </c>
      <c r="T239" s="45" t="str">
        <f t="shared" si="19"/>
        <v/>
      </c>
    </row>
    <row r="240" spans="4:20" x14ac:dyDescent="0.7">
      <c r="D240" s="47" t="str" cm="1">
        <f t="array" ref="D240">IFERROR([2]!CalculateHyphenString(C240),"")</f>
        <v/>
      </c>
      <c r="M240" s="45" t="str">
        <f t="shared" si="15"/>
        <v/>
      </c>
      <c r="N240" s="1" t="s">
        <v>39</v>
      </c>
      <c r="O240" s="45" t="str">
        <f t="shared" si="16"/>
        <v/>
      </c>
      <c r="P240" s="45" t="str">
        <f t="shared" si="17"/>
        <v/>
      </c>
      <c r="R240" s="45" t="str">
        <f t="shared" si="18"/>
        <v/>
      </c>
      <c r="S240" s="45" t="str" cm="1">
        <f t="array" ref="S240">IFERROR([1]!FeetConvert(R240),"")</f>
        <v/>
      </c>
      <c r="T240" s="45" t="str">
        <f t="shared" si="19"/>
        <v/>
      </c>
    </row>
    <row r="241" spans="4:20" x14ac:dyDescent="0.7">
      <c r="D241" s="47" t="str" cm="1">
        <f t="array" ref="D241">IFERROR([2]!CalculateHyphenString(C241),"")</f>
        <v/>
      </c>
      <c r="M241" s="45" t="str">
        <f t="shared" si="15"/>
        <v/>
      </c>
      <c r="N241" s="1" t="s">
        <v>39</v>
      </c>
      <c r="O241" s="45" t="str">
        <f t="shared" si="16"/>
        <v/>
      </c>
      <c r="P241" s="45" t="str">
        <f t="shared" si="17"/>
        <v/>
      </c>
      <c r="R241" s="45" t="str">
        <f t="shared" si="18"/>
        <v/>
      </c>
      <c r="S241" s="45" t="str" cm="1">
        <f t="array" ref="S241">IFERROR([1]!FeetConvert(R241),"")</f>
        <v/>
      </c>
      <c r="T241" s="45" t="str">
        <f t="shared" si="19"/>
        <v/>
      </c>
    </row>
    <row r="242" spans="4:20" x14ac:dyDescent="0.7">
      <c r="D242" s="47" t="str" cm="1">
        <f t="array" ref="D242">IFERROR([2]!CalculateHyphenString(C242),"")</f>
        <v/>
      </c>
      <c r="M242" s="45" t="str">
        <f t="shared" si="15"/>
        <v/>
      </c>
      <c r="N242" s="1" t="s">
        <v>39</v>
      </c>
      <c r="O242" s="45" t="str">
        <f t="shared" si="16"/>
        <v/>
      </c>
      <c r="P242" s="45" t="str">
        <f t="shared" si="17"/>
        <v/>
      </c>
      <c r="R242" s="45" t="str">
        <f t="shared" si="18"/>
        <v/>
      </c>
      <c r="S242" s="45" t="str" cm="1">
        <f t="array" ref="S242">IFERROR([1]!FeetConvert(R242),"")</f>
        <v/>
      </c>
      <c r="T242" s="45" t="str">
        <f t="shared" si="19"/>
        <v/>
      </c>
    </row>
    <row r="243" spans="4:20" x14ac:dyDescent="0.7">
      <c r="D243" s="47" t="str" cm="1">
        <f t="array" ref="D243">IFERROR([2]!CalculateHyphenString(C243),"")</f>
        <v/>
      </c>
      <c r="M243" s="45" t="str">
        <f t="shared" si="15"/>
        <v/>
      </c>
      <c r="N243" s="1" t="s">
        <v>39</v>
      </c>
      <c r="O243" s="45" t="str">
        <f t="shared" si="16"/>
        <v/>
      </c>
      <c r="P243" s="45" t="str">
        <f t="shared" si="17"/>
        <v/>
      </c>
      <c r="R243" s="45" t="str">
        <f t="shared" si="18"/>
        <v/>
      </c>
      <c r="S243" s="45" t="str" cm="1">
        <f t="array" ref="S243">IFERROR([1]!FeetConvert(R243),"")</f>
        <v/>
      </c>
      <c r="T243" s="45" t="str">
        <f t="shared" si="19"/>
        <v/>
      </c>
    </row>
    <row r="244" spans="4:20" x14ac:dyDescent="0.7">
      <c r="D244" s="47" t="str" cm="1">
        <f t="array" ref="D244">IFERROR([2]!CalculateHyphenString(C244),"")</f>
        <v/>
      </c>
      <c r="M244" s="45" t="str">
        <f t="shared" si="15"/>
        <v/>
      </c>
      <c r="N244" s="1" t="s">
        <v>39</v>
      </c>
      <c r="O244" s="45" t="str">
        <f t="shared" si="16"/>
        <v/>
      </c>
      <c r="P244" s="45" t="str">
        <f t="shared" si="17"/>
        <v/>
      </c>
      <c r="R244" s="45" t="str">
        <f t="shared" si="18"/>
        <v/>
      </c>
      <c r="S244" s="45" t="str" cm="1">
        <f t="array" ref="S244">IFERROR([1]!FeetConvert(R244),"")</f>
        <v/>
      </c>
      <c r="T244" s="45" t="str">
        <f t="shared" si="19"/>
        <v/>
      </c>
    </row>
    <row r="245" spans="4:20" x14ac:dyDescent="0.7">
      <c r="D245" s="47" t="str" cm="1">
        <f t="array" ref="D245">IFERROR([2]!CalculateHyphenString(C245),"")</f>
        <v/>
      </c>
      <c r="M245" s="45" t="str">
        <f t="shared" si="15"/>
        <v/>
      </c>
      <c r="N245" s="1" t="s">
        <v>39</v>
      </c>
      <c r="O245" s="45" t="str">
        <f t="shared" si="16"/>
        <v/>
      </c>
      <c r="P245" s="45" t="str">
        <f t="shared" si="17"/>
        <v/>
      </c>
      <c r="R245" s="45" t="str">
        <f t="shared" si="18"/>
        <v/>
      </c>
      <c r="S245" s="45" t="str" cm="1">
        <f t="array" ref="S245">IFERROR([1]!FeetConvert(R245),"")</f>
        <v/>
      </c>
      <c r="T245" s="45" t="str">
        <f t="shared" si="19"/>
        <v/>
      </c>
    </row>
    <row r="246" spans="4:20" x14ac:dyDescent="0.7">
      <c r="D246" s="47" t="str" cm="1">
        <f t="array" ref="D246">IFERROR([2]!CalculateHyphenString(C246),"")</f>
        <v/>
      </c>
      <c r="M246" s="45" t="str">
        <f t="shared" si="15"/>
        <v/>
      </c>
      <c r="N246" s="1" t="s">
        <v>39</v>
      </c>
      <c r="O246" s="45" t="str">
        <f t="shared" si="16"/>
        <v/>
      </c>
      <c r="P246" s="45" t="str">
        <f t="shared" si="17"/>
        <v/>
      </c>
      <c r="R246" s="45" t="str">
        <f t="shared" si="18"/>
        <v/>
      </c>
      <c r="S246" s="45" t="str" cm="1">
        <f t="array" ref="S246">IFERROR([1]!FeetConvert(R246),"")</f>
        <v/>
      </c>
      <c r="T246" s="45" t="str">
        <f t="shared" si="19"/>
        <v/>
      </c>
    </row>
    <row r="247" spans="4:20" x14ac:dyDescent="0.7">
      <c r="D247" s="47" t="str" cm="1">
        <f t="array" ref="D247">IFERROR([2]!CalculateHyphenString(C247),"")</f>
        <v/>
      </c>
      <c r="M247" s="45" t="str">
        <f t="shared" si="15"/>
        <v/>
      </c>
      <c r="N247" s="1" t="s">
        <v>39</v>
      </c>
      <c r="O247" s="45" t="str">
        <f t="shared" si="16"/>
        <v/>
      </c>
      <c r="P247" s="45" t="str">
        <f t="shared" si="17"/>
        <v/>
      </c>
      <c r="R247" s="45" t="str">
        <f t="shared" si="18"/>
        <v/>
      </c>
      <c r="S247" s="45" t="str" cm="1">
        <f t="array" ref="S247">IFERROR([1]!FeetConvert(R247),"")</f>
        <v/>
      </c>
      <c r="T247" s="45" t="str">
        <f t="shared" si="19"/>
        <v/>
      </c>
    </row>
    <row r="248" spans="4:20" x14ac:dyDescent="0.7">
      <c r="D248" s="47" t="str" cm="1">
        <f t="array" ref="D248">IFERROR([2]!CalculateHyphenString(C248),"")</f>
        <v/>
      </c>
      <c r="M248" s="45" t="str">
        <f t="shared" si="15"/>
        <v/>
      </c>
      <c r="N248" s="1" t="s">
        <v>39</v>
      </c>
      <c r="O248" s="45" t="str">
        <f t="shared" si="16"/>
        <v/>
      </c>
      <c r="P248" s="45" t="str">
        <f t="shared" si="17"/>
        <v/>
      </c>
      <c r="R248" s="45" t="str">
        <f t="shared" si="18"/>
        <v/>
      </c>
      <c r="S248" s="45" t="str" cm="1">
        <f t="array" ref="S248">IFERROR([1]!FeetConvert(R248),"")</f>
        <v/>
      </c>
      <c r="T248" s="45" t="str">
        <f t="shared" si="19"/>
        <v/>
      </c>
    </row>
    <row r="249" spans="4:20" x14ac:dyDescent="0.7">
      <c r="D249" s="47" t="str" cm="1">
        <f t="array" ref="D249">IFERROR([2]!CalculateHyphenString(C249),"")</f>
        <v/>
      </c>
      <c r="M249" s="45" t="str">
        <f t="shared" si="15"/>
        <v/>
      </c>
      <c r="N249" s="1" t="s">
        <v>39</v>
      </c>
      <c r="O249" s="45" t="str">
        <f t="shared" si="16"/>
        <v/>
      </c>
      <c r="P249" s="45" t="str">
        <f t="shared" si="17"/>
        <v/>
      </c>
      <c r="R249" s="45" t="str">
        <f t="shared" si="18"/>
        <v/>
      </c>
      <c r="S249" s="45" t="str" cm="1">
        <f t="array" ref="S249">IFERROR([1]!FeetConvert(R249),"")</f>
        <v/>
      </c>
      <c r="T249" s="45" t="str">
        <f t="shared" si="19"/>
        <v/>
      </c>
    </row>
    <row r="250" spans="4:20" x14ac:dyDescent="0.7">
      <c r="D250" s="47" t="str" cm="1">
        <f t="array" ref="D250">IFERROR([2]!CalculateHyphenString(C250),"")</f>
        <v/>
      </c>
      <c r="M250" s="45" t="str">
        <f t="shared" si="15"/>
        <v/>
      </c>
      <c r="N250" s="1" t="s">
        <v>39</v>
      </c>
      <c r="O250" s="45" t="str">
        <f t="shared" si="16"/>
        <v/>
      </c>
      <c r="P250" s="45" t="str">
        <f t="shared" si="17"/>
        <v/>
      </c>
      <c r="R250" s="45" t="str">
        <f t="shared" si="18"/>
        <v/>
      </c>
      <c r="S250" s="45" t="str" cm="1">
        <f t="array" ref="S250">IFERROR([1]!FeetConvert(R250),"")</f>
        <v/>
      </c>
      <c r="T250" s="45" t="str">
        <f t="shared" si="19"/>
        <v/>
      </c>
    </row>
    <row r="251" spans="4:20" x14ac:dyDescent="0.7">
      <c r="D251" s="47" t="str" cm="1">
        <f t="array" ref="D251">IFERROR([2]!CalculateHyphenString(C251),"")</f>
        <v/>
      </c>
      <c r="M251" s="45" t="str">
        <f t="shared" si="15"/>
        <v/>
      </c>
      <c r="N251" s="1" t="s">
        <v>39</v>
      </c>
      <c r="O251" s="45" t="str">
        <f t="shared" si="16"/>
        <v/>
      </c>
      <c r="P251" s="45" t="str">
        <f t="shared" si="17"/>
        <v/>
      </c>
      <c r="R251" s="45" t="str">
        <f t="shared" si="18"/>
        <v/>
      </c>
      <c r="S251" s="45" t="str" cm="1">
        <f t="array" ref="S251">IFERROR([1]!FeetConvert(R251),"")</f>
        <v/>
      </c>
      <c r="T251" s="45" t="str">
        <f t="shared" si="19"/>
        <v/>
      </c>
    </row>
    <row r="252" spans="4:20" x14ac:dyDescent="0.7">
      <c r="D252" s="47" t="str" cm="1">
        <f t="array" ref="D252">IFERROR([2]!CalculateHyphenString(C252),"")</f>
        <v/>
      </c>
      <c r="M252" s="45" t="str">
        <f t="shared" si="15"/>
        <v/>
      </c>
      <c r="N252" s="1" t="s">
        <v>39</v>
      </c>
      <c r="O252" s="45" t="str">
        <f t="shared" si="16"/>
        <v/>
      </c>
      <c r="P252" s="45" t="str">
        <f t="shared" si="17"/>
        <v/>
      </c>
      <c r="R252" s="45" t="str">
        <f t="shared" si="18"/>
        <v/>
      </c>
      <c r="S252" s="45" t="str" cm="1">
        <f t="array" ref="S252">IFERROR([1]!FeetConvert(R252),"")</f>
        <v/>
      </c>
      <c r="T252" s="45" t="str">
        <f t="shared" si="19"/>
        <v/>
      </c>
    </row>
    <row r="253" spans="4:20" x14ac:dyDescent="0.7">
      <c r="D253" s="47" t="str" cm="1">
        <f t="array" ref="D253">IFERROR([2]!CalculateHyphenString(C253),"")</f>
        <v/>
      </c>
      <c r="M253" s="45" t="str">
        <f t="shared" si="15"/>
        <v/>
      </c>
      <c r="N253" s="1" t="s">
        <v>39</v>
      </c>
      <c r="O253" s="45" t="str">
        <f t="shared" si="16"/>
        <v/>
      </c>
      <c r="P253" s="45" t="str">
        <f t="shared" si="17"/>
        <v/>
      </c>
      <c r="R253" s="45" t="str">
        <f t="shared" si="18"/>
        <v/>
      </c>
      <c r="S253" s="45" t="str" cm="1">
        <f t="array" ref="S253">IFERROR([1]!FeetConvert(R253),"")</f>
        <v/>
      </c>
      <c r="T253" s="45" t="str">
        <f t="shared" si="19"/>
        <v/>
      </c>
    </row>
    <row r="254" spans="4:20" x14ac:dyDescent="0.7">
      <c r="D254" s="47" t="str" cm="1">
        <f t="array" ref="D254">IFERROR([2]!CalculateHyphenString(C254),"")</f>
        <v/>
      </c>
      <c r="M254" s="45" t="str">
        <f t="shared" si="15"/>
        <v/>
      </c>
      <c r="N254" s="1" t="s">
        <v>39</v>
      </c>
      <c r="O254" s="45" t="str">
        <f t="shared" si="16"/>
        <v/>
      </c>
      <c r="P254" s="45" t="str">
        <f t="shared" si="17"/>
        <v/>
      </c>
      <c r="R254" s="45" t="str">
        <f t="shared" si="18"/>
        <v/>
      </c>
      <c r="S254" s="45" t="str" cm="1">
        <f t="array" ref="S254">IFERROR([1]!FeetConvert(R254),"")</f>
        <v/>
      </c>
      <c r="T254" s="45" t="str">
        <f t="shared" si="19"/>
        <v/>
      </c>
    </row>
    <row r="255" spans="4:20" x14ac:dyDescent="0.7">
      <c r="D255" s="47" t="str" cm="1">
        <f t="array" ref="D255">IFERROR([2]!CalculateHyphenString(C255),"")</f>
        <v/>
      </c>
      <c r="M255" s="45" t="str">
        <f t="shared" si="15"/>
        <v/>
      </c>
      <c r="N255" s="1" t="s">
        <v>39</v>
      </c>
      <c r="O255" s="45" t="str">
        <f t="shared" si="16"/>
        <v/>
      </c>
      <c r="P255" s="45" t="str">
        <f t="shared" si="17"/>
        <v/>
      </c>
      <c r="R255" s="45" t="str">
        <f t="shared" si="18"/>
        <v/>
      </c>
      <c r="S255" s="45" t="str" cm="1">
        <f t="array" ref="S255">IFERROR([1]!FeetConvert(R255),"")</f>
        <v/>
      </c>
      <c r="T255" s="45" t="str">
        <f t="shared" si="19"/>
        <v/>
      </c>
    </row>
    <row r="256" spans="4:20" x14ac:dyDescent="0.7">
      <c r="D256" s="47" t="str" cm="1">
        <f t="array" ref="D256">IFERROR([2]!CalculateHyphenString(C256),"")</f>
        <v/>
      </c>
      <c r="M256" s="45" t="str">
        <f t="shared" si="15"/>
        <v/>
      </c>
      <c r="N256" s="1" t="s">
        <v>39</v>
      </c>
      <c r="O256" s="45" t="str">
        <f t="shared" si="16"/>
        <v/>
      </c>
      <c r="P256" s="45" t="str">
        <f t="shared" si="17"/>
        <v/>
      </c>
      <c r="R256" s="45" t="str">
        <f t="shared" si="18"/>
        <v/>
      </c>
      <c r="S256" s="45" t="str" cm="1">
        <f t="array" ref="S256">IFERROR([1]!FeetConvert(R256),"")</f>
        <v/>
      </c>
      <c r="T256" s="45" t="str">
        <f t="shared" si="19"/>
        <v/>
      </c>
    </row>
    <row r="257" spans="4:20" x14ac:dyDescent="0.7">
      <c r="D257" s="47" t="str" cm="1">
        <f t="array" ref="D257">IFERROR([2]!CalculateHyphenString(C257),"")</f>
        <v/>
      </c>
      <c r="M257" s="45" t="str">
        <f t="shared" si="15"/>
        <v/>
      </c>
      <c r="N257" s="1" t="s">
        <v>39</v>
      </c>
      <c r="O257" s="45" t="str">
        <f t="shared" si="16"/>
        <v/>
      </c>
      <c r="P257" s="45" t="str">
        <f t="shared" si="17"/>
        <v/>
      </c>
      <c r="R257" s="45" t="str">
        <f t="shared" si="18"/>
        <v/>
      </c>
      <c r="S257" s="45" t="str" cm="1">
        <f t="array" ref="S257">IFERROR([1]!FeetConvert(R257),"")</f>
        <v/>
      </c>
      <c r="T257" s="45" t="str">
        <f t="shared" si="19"/>
        <v/>
      </c>
    </row>
    <row r="258" spans="4:20" x14ac:dyDescent="0.7">
      <c r="D258" s="47" t="str" cm="1">
        <f t="array" ref="D258">IFERROR([2]!CalculateHyphenString(C258),"")</f>
        <v/>
      </c>
      <c r="M258" s="45" t="str">
        <f t="shared" si="15"/>
        <v/>
      </c>
      <c r="N258" s="1" t="s">
        <v>39</v>
      </c>
      <c r="O258" s="45" t="str">
        <f t="shared" si="16"/>
        <v/>
      </c>
      <c r="P258" s="45" t="str">
        <f t="shared" si="17"/>
        <v/>
      </c>
      <c r="R258" s="45" t="str">
        <f t="shared" si="18"/>
        <v/>
      </c>
      <c r="S258" s="45" t="str" cm="1">
        <f t="array" ref="S258">IFERROR([1]!FeetConvert(R258),"")</f>
        <v/>
      </c>
      <c r="T258" s="45" t="str">
        <f t="shared" si="19"/>
        <v/>
      </c>
    </row>
    <row r="259" spans="4:20" x14ac:dyDescent="0.7">
      <c r="D259" s="47" t="str" cm="1">
        <f t="array" ref="D259">IFERROR([2]!CalculateHyphenString(C259),"")</f>
        <v/>
      </c>
      <c r="M259" s="45" t="str">
        <f t="shared" si="15"/>
        <v/>
      </c>
      <c r="N259" s="1" t="s">
        <v>39</v>
      </c>
      <c r="O259" s="45" t="str">
        <f t="shared" si="16"/>
        <v/>
      </c>
      <c r="P259" s="45" t="str">
        <f t="shared" si="17"/>
        <v/>
      </c>
      <c r="R259" s="45" t="str">
        <f t="shared" si="18"/>
        <v/>
      </c>
      <c r="S259" s="45" t="str" cm="1">
        <f t="array" ref="S259">IFERROR([1]!FeetConvert(R259),"")</f>
        <v/>
      </c>
      <c r="T259" s="45" t="str">
        <f t="shared" si="19"/>
        <v/>
      </c>
    </row>
    <row r="260" spans="4:20" x14ac:dyDescent="0.7">
      <c r="D260" s="47" t="str" cm="1">
        <f t="array" ref="D260">IFERROR([2]!CalculateHyphenString(C260),"")</f>
        <v/>
      </c>
      <c r="M260" s="45" t="str">
        <f t="shared" si="15"/>
        <v/>
      </c>
      <c r="N260" s="1" t="s">
        <v>39</v>
      </c>
      <c r="O260" s="45" t="str">
        <f t="shared" si="16"/>
        <v/>
      </c>
      <c r="P260" s="45" t="str">
        <f t="shared" si="17"/>
        <v/>
      </c>
      <c r="R260" s="45" t="str">
        <f t="shared" si="18"/>
        <v/>
      </c>
      <c r="S260" s="45" t="str" cm="1">
        <f t="array" ref="S260">IFERROR([1]!FeetConvert(R260),"")</f>
        <v/>
      </c>
      <c r="T260" s="45" t="str">
        <f t="shared" si="19"/>
        <v/>
      </c>
    </row>
    <row r="261" spans="4:20" x14ac:dyDescent="0.7">
      <c r="D261" s="47" t="str" cm="1">
        <f t="array" ref="D261">IFERROR([2]!CalculateHyphenString(C261),"")</f>
        <v/>
      </c>
      <c r="M261" s="45" t="str">
        <f t="shared" ref="M261:M324" si="20">IFERROR(K261*$E$2/L261,"")</f>
        <v/>
      </c>
      <c r="N261" s="1" t="s">
        <v>39</v>
      </c>
      <c r="O261" s="45" t="str">
        <f t="shared" ref="O261:O324" si="21">IFERROR(IF(ISBLANK(N261),"",N261*$G$2/100),"")</f>
        <v/>
      </c>
      <c r="P261" s="45" t="str">
        <f t="shared" ref="P261:P324" si="22">IFERROR(N261-O261,"")</f>
        <v/>
      </c>
      <c r="R261" s="45" t="str">
        <f t="shared" ref="R261:R324" si="23">IFERROR(P261-Q261,"")</f>
        <v/>
      </c>
      <c r="S261" s="45" t="str" cm="1">
        <f t="array" ref="S261">IFERROR([1]!FeetConvert(R261),"")</f>
        <v/>
      </c>
      <c r="T261" s="45" t="str">
        <f t="shared" ref="T261:T324" si="24">IFERROR(ROUND(R261,0),"")</f>
        <v/>
      </c>
    </row>
    <row r="262" spans="4:20" x14ac:dyDescent="0.7">
      <c r="D262" s="47" t="str" cm="1">
        <f t="array" ref="D262">IFERROR([2]!CalculateHyphenString(C262),"")</f>
        <v/>
      </c>
      <c r="M262" s="45" t="str">
        <f t="shared" si="20"/>
        <v/>
      </c>
      <c r="N262" s="1" t="s">
        <v>39</v>
      </c>
      <c r="O262" s="45" t="str">
        <f t="shared" si="21"/>
        <v/>
      </c>
      <c r="P262" s="45" t="str">
        <f t="shared" si="22"/>
        <v/>
      </c>
      <c r="R262" s="45" t="str">
        <f t="shared" si="23"/>
        <v/>
      </c>
      <c r="S262" s="45" t="str" cm="1">
        <f t="array" ref="S262">IFERROR([1]!FeetConvert(R262),"")</f>
        <v/>
      </c>
      <c r="T262" s="45" t="str">
        <f t="shared" si="24"/>
        <v/>
      </c>
    </row>
    <row r="263" spans="4:20" x14ac:dyDescent="0.7">
      <c r="D263" s="47" t="str" cm="1">
        <f t="array" ref="D263">IFERROR([2]!CalculateHyphenString(C263),"")</f>
        <v/>
      </c>
      <c r="M263" s="45" t="str">
        <f t="shared" si="20"/>
        <v/>
      </c>
      <c r="N263" s="1" t="s">
        <v>39</v>
      </c>
      <c r="O263" s="45" t="str">
        <f t="shared" si="21"/>
        <v/>
      </c>
      <c r="P263" s="45" t="str">
        <f t="shared" si="22"/>
        <v/>
      </c>
      <c r="R263" s="45" t="str">
        <f t="shared" si="23"/>
        <v/>
      </c>
      <c r="S263" s="45" t="str" cm="1">
        <f t="array" ref="S263">IFERROR([1]!FeetConvert(R263),"")</f>
        <v/>
      </c>
      <c r="T263" s="45" t="str">
        <f t="shared" si="24"/>
        <v/>
      </c>
    </row>
    <row r="264" spans="4:20" x14ac:dyDescent="0.7">
      <c r="D264" s="47" t="str" cm="1">
        <f t="array" ref="D264">IFERROR([2]!CalculateHyphenString(C264),"")</f>
        <v/>
      </c>
      <c r="M264" s="45" t="str">
        <f t="shared" si="20"/>
        <v/>
      </c>
      <c r="N264" s="1" t="s">
        <v>39</v>
      </c>
      <c r="O264" s="45" t="str">
        <f t="shared" si="21"/>
        <v/>
      </c>
      <c r="P264" s="45" t="str">
        <f t="shared" si="22"/>
        <v/>
      </c>
      <c r="R264" s="45" t="str">
        <f t="shared" si="23"/>
        <v/>
      </c>
      <c r="S264" s="45" t="str" cm="1">
        <f t="array" ref="S264">IFERROR([1]!FeetConvert(R264),"")</f>
        <v/>
      </c>
      <c r="T264" s="45" t="str">
        <f t="shared" si="24"/>
        <v/>
      </c>
    </row>
    <row r="265" spans="4:20" x14ac:dyDescent="0.7">
      <c r="D265" s="47" t="str" cm="1">
        <f t="array" ref="D265">IFERROR([2]!CalculateHyphenString(C265),"")</f>
        <v/>
      </c>
      <c r="M265" s="45" t="str">
        <f t="shared" si="20"/>
        <v/>
      </c>
      <c r="N265" s="1" t="s">
        <v>39</v>
      </c>
      <c r="O265" s="45" t="str">
        <f t="shared" si="21"/>
        <v/>
      </c>
      <c r="P265" s="45" t="str">
        <f t="shared" si="22"/>
        <v/>
      </c>
      <c r="R265" s="45" t="str">
        <f t="shared" si="23"/>
        <v/>
      </c>
      <c r="S265" s="45" t="str" cm="1">
        <f t="array" ref="S265">IFERROR([1]!FeetConvert(R265),"")</f>
        <v/>
      </c>
      <c r="T265" s="45" t="str">
        <f t="shared" si="24"/>
        <v/>
      </c>
    </row>
    <row r="266" spans="4:20" x14ac:dyDescent="0.7">
      <c r="D266" s="47" t="str" cm="1">
        <f t="array" ref="D266">IFERROR([2]!CalculateHyphenString(C266),"")</f>
        <v/>
      </c>
      <c r="M266" s="45" t="str">
        <f t="shared" si="20"/>
        <v/>
      </c>
      <c r="N266" s="1" t="s">
        <v>39</v>
      </c>
      <c r="O266" s="45" t="str">
        <f t="shared" si="21"/>
        <v/>
      </c>
      <c r="P266" s="45" t="str">
        <f t="shared" si="22"/>
        <v/>
      </c>
      <c r="R266" s="45" t="str">
        <f t="shared" si="23"/>
        <v/>
      </c>
      <c r="S266" s="45" t="str" cm="1">
        <f t="array" ref="S266">IFERROR([1]!FeetConvert(R266),"")</f>
        <v/>
      </c>
      <c r="T266" s="45" t="str">
        <f t="shared" si="24"/>
        <v/>
      </c>
    </row>
    <row r="267" spans="4:20" x14ac:dyDescent="0.7">
      <c r="D267" s="47" t="str" cm="1">
        <f t="array" ref="D267">IFERROR([2]!CalculateHyphenString(C267),"")</f>
        <v/>
      </c>
      <c r="M267" s="45" t="str">
        <f t="shared" si="20"/>
        <v/>
      </c>
      <c r="N267" s="1" t="s">
        <v>39</v>
      </c>
      <c r="O267" s="45" t="str">
        <f t="shared" si="21"/>
        <v/>
      </c>
      <c r="P267" s="45" t="str">
        <f t="shared" si="22"/>
        <v/>
      </c>
      <c r="R267" s="45" t="str">
        <f t="shared" si="23"/>
        <v/>
      </c>
      <c r="S267" s="45" t="str" cm="1">
        <f t="array" ref="S267">IFERROR([1]!FeetConvert(R267),"")</f>
        <v/>
      </c>
      <c r="T267" s="45" t="str">
        <f t="shared" si="24"/>
        <v/>
      </c>
    </row>
    <row r="268" spans="4:20" x14ac:dyDescent="0.7">
      <c r="D268" s="47" t="str" cm="1">
        <f t="array" ref="D268">IFERROR([2]!CalculateHyphenString(C268),"")</f>
        <v/>
      </c>
      <c r="M268" s="45" t="str">
        <f t="shared" si="20"/>
        <v/>
      </c>
      <c r="N268" s="1" t="s">
        <v>39</v>
      </c>
      <c r="O268" s="45" t="str">
        <f t="shared" si="21"/>
        <v/>
      </c>
      <c r="P268" s="45" t="str">
        <f t="shared" si="22"/>
        <v/>
      </c>
      <c r="R268" s="45" t="str">
        <f t="shared" si="23"/>
        <v/>
      </c>
      <c r="S268" s="45" t="str" cm="1">
        <f t="array" ref="S268">IFERROR([1]!FeetConvert(R268),"")</f>
        <v/>
      </c>
      <c r="T268" s="45" t="str">
        <f t="shared" si="24"/>
        <v/>
      </c>
    </row>
    <row r="269" spans="4:20" x14ac:dyDescent="0.7">
      <c r="D269" s="47" t="str" cm="1">
        <f t="array" ref="D269">IFERROR([2]!CalculateHyphenString(C269),"")</f>
        <v/>
      </c>
      <c r="M269" s="45" t="str">
        <f t="shared" si="20"/>
        <v/>
      </c>
      <c r="N269" s="1" t="s">
        <v>39</v>
      </c>
      <c r="O269" s="45" t="str">
        <f t="shared" si="21"/>
        <v/>
      </c>
      <c r="P269" s="45" t="str">
        <f t="shared" si="22"/>
        <v/>
      </c>
      <c r="R269" s="45" t="str">
        <f t="shared" si="23"/>
        <v/>
      </c>
      <c r="S269" s="45" t="str" cm="1">
        <f t="array" ref="S269">IFERROR([1]!FeetConvert(R269),"")</f>
        <v/>
      </c>
      <c r="T269" s="45" t="str">
        <f t="shared" si="24"/>
        <v/>
      </c>
    </row>
    <row r="270" spans="4:20" x14ac:dyDescent="0.7">
      <c r="D270" s="47" t="str" cm="1">
        <f t="array" ref="D270">IFERROR([2]!CalculateHyphenString(C270),"")</f>
        <v/>
      </c>
      <c r="M270" s="45" t="str">
        <f t="shared" si="20"/>
        <v/>
      </c>
      <c r="N270" s="1" t="s">
        <v>39</v>
      </c>
      <c r="O270" s="45" t="str">
        <f t="shared" si="21"/>
        <v/>
      </c>
      <c r="P270" s="45" t="str">
        <f t="shared" si="22"/>
        <v/>
      </c>
      <c r="R270" s="45" t="str">
        <f t="shared" si="23"/>
        <v/>
      </c>
      <c r="S270" s="45" t="str" cm="1">
        <f t="array" ref="S270">IFERROR([1]!FeetConvert(R270),"")</f>
        <v/>
      </c>
      <c r="T270" s="45" t="str">
        <f t="shared" si="24"/>
        <v/>
      </c>
    </row>
    <row r="271" spans="4:20" x14ac:dyDescent="0.7">
      <c r="D271" s="47" t="str" cm="1">
        <f t="array" ref="D271">IFERROR([2]!CalculateHyphenString(C271),"")</f>
        <v/>
      </c>
      <c r="M271" s="45" t="str">
        <f t="shared" si="20"/>
        <v/>
      </c>
      <c r="N271" s="1" t="s">
        <v>39</v>
      </c>
      <c r="O271" s="45" t="str">
        <f t="shared" si="21"/>
        <v/>
      </c>
      <c r="P271" s="45" t="str">
        <f t="shared" si="22"/>
        <v/>
      </c>
      <c r="R271" s="45" t="str">
        <f t="shared" si="23"/>
        <v/>
      </c>
      <c r="S271" s="45" t="str" cm="1">
        <f t="array" ref="S271">IFERROR([1]!FeetConvert(R271),"")</f>
        <v/>
      </c>
      <c r="T271" s="45" t="str">
        <f t="shared" si="24"/>
        <v/>
      </c>
    </row>
    <row r="272" spans="4:20" x14ac:dyDescent="0.7">
      <c r="D272" s="47" t="str" cm="1">
        <f t="array" ref="D272">IFERROR([2]!CalculateHyphenString(C272),"")</f>
        <v/>
      </c>
      <c r="M272" s="45" t="str">
        <f t="shared" si="20"/>
        <v/>
      </c>
      <c r="N272" s="1" t="s">
        <v>39</v>
      </c>
      <c r="O272" s="45" t="str">
        <f t="shared" si="21"/>
        <v/>
      </c>
      <c r="P272" s="45" t="str">
        <f t="shared" si="22"/>
        <v/>
      </c>
      <c r="R272" s="45" t="str">
        <f t="shared" si="23"/>
        <v/>
      </c>
      <c r="S272" s="45" t="str" cm="1">
        <f t="array" ref="S272">IFERROR([1]!FeetConvert(R272),"")</f>
        <v/>
      </c>
      <c r="T272" s="45" t="str">
        <f t="shared" si="24"/>
        <v/>
      </c>
    </row>
    <row r="273" spans="4:20" x14ac:dyDescent="0.7">
      <c r="D273" s="47" t="str" cm="1">
        <f t="array" ref="D273">IFERROR([2]!CalculateHyphenString(C273),"")</f>
        <v/>
      </c>
      <c r="M273" s="45" t="str">
        <f t="shared" si="20"/>
        <v/>
      </c>
      <c r="N273" s="1" t="s">
        <v>39</v>
      </c>
      <c r="O273" s="45" t="str">
        <f t="shared" si="21"/>
        <v/>
      </c>
      <c r="P273" s="45" t="str">
        <f t="shared" si="22"/>
        <v/>
      </c>
      <c r="R273" s="45" t="str">
        <f t="shared" si="23"/>
        <v/>
      </c>
      <c r="S273" s="45" t="str" cm="1">
        <f t="array" ref="S273">IFERROR([1]!FeetConvert(R273),"")</f>
        <v/>
      </c>
      <c r="T273" s="45" t="str">
        <f t="shared" si="24"/>
        <v/>
      </c>
    </row>
    <row r="274" spans="4:20" x14ac:dyDescent="0.7">
      <c r="D274" s="47" t="str" cm="1">
        <f t="array" ref="D274">IFERROR([2]!CalculateHyphenString(C274),"")</f>
        <v/>
      </c>
      <c r="M274" s="45" t="str">
        <f t="shared" si="20"/>
        <v/>
      </c>
      <c r="N274" s="1" t="s">
        <v>39</v>
      </c>
      <c r="O274" s="45" t="str">
        <f t="shared" si="21"/>
        <v/>
      </c>
      <c r="P274" s="45" t="str">
        <f t="shared" si="22"/>
        <v/>
      </c>
      <c r="R274" s="45" t="str">
        <f t="shared" si="23"/>
        <v/>
      </c>
      <c r="S274" s="45" t="str" cm="1">
        <f t="array" ref="S274">IFERROR([1]!FeetConvert(R274),"")</f>
        <v/>
      </c>
      <c r="T274" s="45" t="str">
        <f t="shared" si="24"/>
        <v/>
      </c>
    </row>
    <row r="275" spans="4:20" x14ac:dyDescent="0.7">
      <c r="D275" s="47" t="str" cm="1">
        <f t="array" ref="D275">IFERROR([2]!CalculateHyphenString(C275),"")</f>
        <v/>
      </c>
      <c r="M275" s="45" t="str">
        <f t="shared" si="20"/>
        <v/>
      </c>
      <c r="N275" s="1" t="s">
        <v>39</v>
      </c>
      <c r="O275" s="45" t="str">
        <f t="shared" si="21"/>
        <v/>
      </c>
      <c r="P275" s="45" t="str">
        <f t="shared" si="22"/>
        <v/>
      </c>
      <c r="R275" s="45" t="str">
        <f t="shared" si="23"/>
        <v/>
      </c>
      <c r="S275" s="45" t="str" cm="1">
        <f t="array" ref="S275">IFERROR([1]!FeetConvert(R275),"")</f>
        <v/>
      </c>
      <c r="T275" s="45" t="str">
        <f t="shared" si="24"/>
        <v/>
      </c>
    </row>
    <row r="276" spans="4:20" x14ac:dyDescent="0.7">
      <c r="D276" s="47" t="str" cm="1">
        <f t="array" ref="D276">IFERROR([2]!CalculateHyphenString(C276),"")</f>
        <v/>
      </c>
      <c r="M276" s="45" t="str">
        <f t="shared" si="20"/>
        <v/>
      </c>
      <c r="N276" s="1" t="s">
        <v>39</v>
      </c>
      <c r="O276" s="45" t="str">
        <f t="shared" si="21"/>
        <v/>
      </c>
      <c r="P276" s="45" t="str">
        <f t="shared" si="22"/>
        <v/>
      </c>
      <c r="R276" s="45" t="str">
        <f t="shared" si="23"/>
        <v/>
      </c>
      <c r="S276" s="45" t="str" cm="1">
        <f t="array" ref="S276">IFERROR([1]!FeetConvert(R276),"")</f>
        <v/>
      </c>
      <c r="T276" s="45" t="str">
        <f t="shared" si="24"/>
        <v/>
      </c>
    </row>
    <row r="277" spans="4:20" x14ac:dyDescent="0.7">
      <c r="D277" s="47" t="str" cm="1">
        <f t="array" ref="D277">IFERROR([2]!CalculateHyphenString(C277),"")</f>
        <v/>
      </c>
      <c r="M277" s="45" t="str">
        <f t="shared" si="20"/>
        <v/>
      </c>
      <c r="N277" s="1" t="s">
        <v>39</v>
      </c>
      <c r="O277" s="45" t="str">
        <f t="shared" si="21"/>
        <v/>
      </c>
      <c r="P277" s="45" t="str">
        <f t="shared" si="22"/>
        <v/>
      </c>
      <c r="R277" s="45" t="str">
        <f t="shared" si="23"/>
        <v/>
      </c>
      <c r="S277" s="45" t="str" cm="1">
        <f t="array" ref="S277">IFERROR([1]!FeetConvert(R277),"")</f>
        <v/>
      </c>
      <c r="T277" s="45" t="str">
        <f t="shared" si="24"/>
        <v/>
      </c>
    </row>
    <row r="278" spans="4:20" x14ac:dyDescent="0.7">
      <c r="D278" s="47" t="str" cm="1">
        <f t="array" ref="D278">IFERROR([2]!CalculateHyphenString(C278),"")</f>
        <v/>
      </c>
      <c r="M278" s="45" t="str">
        <f t="shared" si="20"/>
        <v/>
      </c>
      <c r="N278" s="1" t="s">
        <v>39</v>
      </c>
      <c r="O278" s="45" t="str">
        <f t="shared" si="21"/>
        <v/>
      </c>
      <c r="P278" s="45" t="str">
        <f t="shared" si="22"/>
        <v/>
      </c>
      <c r="R278" s="45" t="str">
        <f t="shared" si="23"/>
        <v/>
      </c>
      <c r="S278" s="45" t="str" cm="1">
        <f t="array" ref="S278">IFERROR([1]!FeetConvert(R278),"")</f>
        <v/>
      </c>
      <c r="T278" s="45" t="str">
        <f t="shared" si="24"/>
        <v/>
      </c>
    </row>
    <row r="279" spans="4:20" x14ac:dyDescent="0.7">
      <c r="D279" s="47" t="str" cm="1">
        <f t="array" ref="D279">IFERROR([2]!CalculateHyphenString(C279),"")</f>
        <v/>
      </c>
      <c r="M279" s="45" t="str">
        <f t="shared" si="20"/>
        <v/>
      </c>
      <c r="N279" s="1" t="s">
        <v>39</v>
      </c>
      <c r="O279" s="45" t="str">
        <f t="shared" si="21"/>
        <v/>
      </c>
      <c r="P279" s="45" t="str">
        <f t="shared" si="22"/>
        <v/>
      </c>
      <c r="R279" s="45" t="str">
        <f t="shared" si="23"/>
        <v/>
      </c>
      <c r="S279" s="45" t="str" cm="1">
        <f t="array" ref="S279">IFERROR([1]!FeetConvert(R279),"")</f>
        <v/>
      </c>
      <c r="T279" s="45" t="str">
        <f t="shared" si="24"/>
        <v/>
      </c>
    </row>
    <row r="280" spans="4:20" x14ac:dyDescent="0.7">
      <c r="D280" s="47" t="str" cm="1">
        <f t="array" ref="D280">IFERROR([2]!CalculateHyphenString(C280),"")</f>
        <v/>
      </c>
      <c r="M280" s="45" t="str">
        <f t="shared" si="20"/>
        <v/>
      </c>
      <c r="N280" s="1" t="s">
        <v>39</v>
      </c>
      <c r="O280" s="45" t="str">
        <f t="shared" si="21"/>
        <v/>
      </c>
      <c r="P280" s="45" t="str">
        <f t="shared" si="22"/>
        <v/>
      </c>
      <c r="R280" s="45" t="str">
        <f t="shared" si="23"/>
        <v/>
      </c>
      <c r="S280" s="45" t="str" cm="1">
        <f t="array" ref="S280">IFERROR([1]!FeetConvert(R280),"")</f>
        <v/>
      </c>
      <c r="T280" s="45" t="str">
        <f t="shared" si="24"/>
        <v/>
      </c>
    </row>
    <row r="281" spans="4:20" x14ac:dyDescent="0.7">
      <c r="D281" s="47" t="str" cm="1">
        <f t="array" ref="D281">IFERROR([2]!CalculateHyphenString(C281),"")</f>
        <v/>
      </c>
      <c r="M281" s="45" t="str">
        <f t="shared" si="20"/>
        <v/>
      </c>
      <c r="N281" s="1" t="s">
        <v>39</v>
      </c>
      <c r="O281" s="45" t="str">
        <f t="shared" si="21"/>
        <v/>
      </c>
      <c r="P281" s="45" t="str">
        <f t="shared" si="22"/>
        <v/>
      </c>
      <c r="R281" s="45" t="str">
        <f t="shared" si="23"/>
        <v/>
      </c>
      <c r="S281" s="45" t="str" cm="1">
        <f t="array" ref="S281">IFERROR([1]!FeetConvert(R281),"")</f>
        <v/>
      </c>
      <c r="T281" s="45" t="str">
        <f t="shared" si="24"/>
        <v/>
      </c>
    </row>
    <row r="282" spans="4:20" x14ac:dyDescent="0.7">
      <c r="D282" s="47" t="str" cm="1">
        <f t="array" ref="D282">IFERROR([2]!CalculateHyphenString(C282),"")</f>
        <v/>
      </c>
      <c r="M282" s="45" t="str">
        <f t="shared" si="20"/>
        <v/>
      </c>
      <c r="N282" s="1" t="s">
        <v>39</v>
      </c>
      <c r="O282" s="45" t="str">
        <f t="shared" si="21"/>
        <v/>
      </c>
      <c r="P282" s="45" t="str">
        <f t="shared" si="22"/>
        <v/>
      </c>
      <c r="R282" s="45" t="str">
        <f t="shared" si="23"/>
        <v/>
      </c>
      <c r="S282" s="45" t="str" cm="1">
        <f t="array" ref="S282">IFERROR([1]!FeetConvert(R282),"")</f>
        <v/>
      </c>
      <c r="T282" s="45" t="str">
        <f t="shared" si="24"/>
        <v/>
      </c>
    </row>
    <row r="283" spans="4:20" x14ac:dyDescent="0.7">
      <c r="D283" s="47" t="str" cm="1">
        <f t="array" ref="D283">IFERROR([2]!CalculateHyphenString(C283),"")</f>
        <v/>
      </c>
      <c r="M283" s="45" t="str">
        <f t="shared" si="20"/>
        <v/>
      </c>
      <c r="N283" s="1" t="s">
        <v>39</v>
      </c>
      <c r="O283" s="45" t="str">
        <f t="shared" si="21"/>
        <v/>
      </c>
      <c r="P283" s="45" t="str">
        <f t="shared" si="22"/>
        <v/>
      </c>
      <c r="R283" s="45" t="str">
        <f t="shared" si="23"/>
        <v/>
      </c>
      <c r="S283" s="45" t="str" cm="1">
        <f t="array" ref="S283">IFERROR([1]!FeetConvert(R283),"")</f>
        <v/>
      </c>
      <c r="T283" s="45" t="str">
        <f t="shared" si="24"/>
        <v/>
      </c>
    </row>
    <row r="284" spans="4:20" x14ac:dyDescent="0.7">
      <c r="D284" s="47" t="str" cm="1">
        <f t="array" ref="D284">IFERROR([2]!CalculateHyphenString(C284),"")</f>
        <v/>
      </c>
      <c r="M284" s="45" t="str">
        <f t="shared" si="20"/>
        <v/>
      </c>
      <c r="N284" s="1" t="s">
        <v>39</v>
      </c>
      <c r="O284" s="45" t="str">
        <f t="shared" si="21"/>
        <v/>
      </c>
      <c r="P284" s="45" t="str">
        <f t="shared" si="22"/>
        <v/>
      </c>
      <c r="R284" s="45" t="str">
        <f t="shared" si="23"/>
        <v/>
      </c>
      <c r="S284" s="45" t="str" cm="1">
        <f t="array" ref="S284">IFERROR([1]!FeetConvert(R284),"")</f>
        <v/>
      </c>
      <c r="T284" s="45" t="str">
        <f t="shared" si="24"/>
        <v/>
      </c>
    </row>
    <row r="285" spans="4:20" x14ac:dyDescent="0.7">
      <c r="D285" s="47" t="str" cm="1">
        <f t="array" ref="D285">IFERROR([2]!CalculateHyphenString(C285),"")</f>
        <v/>
      </c>
      <c r="M285" s="45" t="str">
        <f t="shared" si="20"/>
        <v/>
      </c>
      <c r="N285" s="1" t="s">
        <v>39</v>
      </c>
      <c r="O285" s="45" t="str">
        <f t="shared" si="21"/>
        <v/>
      </c>
      <c r="P285" s="45" t="str">
        <f t="shared" si="22"/>
        <v/>
      </c>
      <c r="R285" s="45" t="str">
        <f t="shared" si="23"/>
        <v/>
      </c>
      <c r="S285" s="45" t="str" cm="1">
        <f t="array" ref="S285">IFERROR([1]!FeetConvert(R285),"")</f>
        <v/>
      </c>
      <c r="T285" s="45" t="str">
        <f t="shared" si="24"/>
        <v/>
      </c>
    </row>
    <row r="286" spans="4:20" x14ac:dyDescent="0.7">
      <c r="D286" s="47" t="str" cm="1">
        <f t="array" ref="D286">IFERROR([2]!CalculateHyphenString(C286),"")</f>
        <v/>
      </c>
      <c r="M286" s="45" t="str">
        <f t="shared" si="20"/>
        <v/>
      </c>
      <c r="N286" s="1" t="s">
        <v>39</v>
      </c>
      <c r="O286" s="45" t="str">
        <f t="shared" si="21"/>
        <v/>
      </c>
      <c r="P286" s="45" t="str">
        <f t="shared" si="22"/>
        <v/>
      </c>
      <c r="R286" s="45" t="str">
        <f t="shared" si="23"/>
        <v/>
      </c>
      <c r="S286" s="45" t="str" cm="1">
        <f t="array" ref="S286">IFERROR([1]!FeetConvert(R286),"")</f>
        <v/>
      </c>
      <c r="T286" s="45" t="str">
        <f t="shared" si="24"/>
        <v/>
      </c>
    </row>
    <row r="287" spans="4:20" x14ac:dyDescent="0.7">
      <c r="D287" s="47" t="str" cm="1">
        <f t="array" ref="D287">IFERROR([2]!CalculateHyphenString(C287),"")</f>
        <v/>
      </c>
      <c r="M287" s="45" t="str">
        <f t="shared" si="20"/>
        <v/>
      </c>
      <c r="N287" s="1" t="s">
        <v>39</v>
      </c>
      <c r="O287" s="45" t="str">
        <f t="shared" si="21"/>
        <v/>
      </c>
      <c r="P287" s="45" t="str">
        <f t="shared" si="22"/>
        <v/>
      </c>
      <c r="R287" s="45" t="str">
        <f t="shared" si="23"/>
        <v/>
      </c>
      <c r="S287" s="45" t="str" cm="1">
        <f t="array" ref="S287">IFERROR([1]!FeetConvert(R287),"")</f>
        <v/>
      </c>
      <c r="T287" s="45" t="str">
        <f t="shared" si="24"/>
        <v/>
      </c>
    </row>
    <row r="288" spans="4:20" x14ac:dyDescent="0.7">
      <c r="D288" s="47" t="str" cm="1">
        <f t="array" ref="D288">IFERROR([2]!CalculateHyphenString(C288),"")</f>
        <v/>
      </c>
      <c r="M288" s="45" t="str">
        <f t="shared" si="20"/>
        <v/>
      </c>
      <c r="N288" s="1" t="s">
        <v>39</v>
      </c>
      <c r="O288" s="45" t="str">
        <f t="shared" si="21"/>
        <v/>
      </c>
      <c r="P288" s="45" t="str">
        <f t="shared" si="22"/>
        <v/>
      </c>
      <c r="R288" s="45" t="str">
        <f t="shared" si="23"/>
        <v/>
      </c>
      <c r="S288" s="45" t="str" cm="1">
        <f t="array" ref="S288">IFERROR([1]!FeetConvert(R288),"")</f>
        <v/>
      </c>
      <c r="T288" s="45" t="str">
        <f t="shared" si="24"/>
        <v/>
      </c>
    </row>
    <row r="289" spans="4:20" x14ac:dyDescent="0.7">
      <c r="D289" s="47" t="str" cm="1">
        <f t="array" ref="D289">IFERROR([2]!CalculateHyphenString(C289),"")</f>
        <v/>
      </c>
      <c r="M289" s="45" t="str">
        <f t="shared" si="20"/>
        <v/>
      </c>
      <c r="N289" s="1" t="s">
        <v>39</v>
      </c>
      <c r="O289" s="45" t="str">
        <f t="shared" si="21"/>
        <v/>
      </c>
      <c r="P289" s="45" t="str">
        <f t="shared" si="22"/>
        <v/>
      </c>
      <c r="R289" s="45" t="str">
        <f t="shared" si="23"/>
        <v/>
      </c>
      <c r="S289" s="45" t="str" cm="1">
        <f t="array" ref="S289">IFERROR([1]!FeetConvert(R289),"")</f>
        <v/>
      </c>
      <c r="T289" s="45" t="str">
        <f t="shared" si="24"/>
        <v/>
      </c>
    </row>
    <row r="290" spans="4:20" x14ac:dyDescent="0.7">
      <c r="D290" s="47" t="str" cm="1">
        <f t="array" ref="D290">IFERROR([2]!CalculateHyphenString(C290),"")</f>
        <v/>
      </c>
      <c r="M290" s="45" t="str">
        <f t="shared" si="20"/>
        <v/>
      </c>
      <c r="N290" s="1" t="s">
        <v>39</v>
      </c>
      <c r="O290" s="45" t="str">
        <f t="shared" si="21"/>
        <v/>
      </c>
      <c r="P290" s="45" t="str">
        <f t="shared" si="22"/>
        <v/>
      </c>
      <c r="R290" s="45" t="str">
        <f t="shared" si="23"/>
        <v/>
      </c>
      <c r="S290" s="45" t="str" cm="1">
        <f t="array" ref="S290">IFERROR([1]!FeetConvert(R290),"")</f>
        <v/>
      </c>
      <c r="T290" s="45" t="str">
        <f t="shared" si="24"/>
        <v/>
      </c>
    </row>
    <row r="291" spans="4:20" x14ac:dyDescent="0.7">
      <c r="D291" s="47" t="str" cm="1">
        <f t="array" ref="D291">IFERROR([2]!CalculateHyphenString(C291),"")</f>
        <v/>
      </c>
      <c r="M291" s="45" t="str">
        <f t="shared" si="20"/>
        <v/>
      </c>
      <c r="N291" s="1" t="s">
        <v>39</v>
      </c>
      <c r="O291" s="45" t="str">
        <f t="shared" si="21"/>
        <v/>
      </c>
      <c r="P291" s="45" t="str">
        <f t="shared" si="22"/>
        <v/>
      </c>
      <c r="R291" s="45" t="str">
        <f t="shared" si="23"/>
        <v/>
      </c>
      <c r="S291" s="45" t="str" cm="1">
        <f t="array" ref="S291">IFERROR([1]!FeetConvert(R291),"")</f>
        <v/>
      </c>
      <c r="T291" s="45" t="str">
        <f t="shared" si="24"/>
        <v/>
      </c>
    </row>
    <row r="292" spans="4:20" x14ac:dyDescent="0.7">
      <c r="D292" s="47" t="str" cm="1">
        <f t="array" ref="D292">IFERROR([2]!CalculateHyphenString(C292),"")</f>
        <v/>
      </c>
      <c r="M292" s="45" t="str">
        <f t="shared" si="20"/>
        <v/>
      </c>
      <c r="N292" s="1" t="s">
        <v>39</v>
      </c>
      <c r="O292" s="45" t="str">
        <f t="shared" si="21"/>
        <v/>
      </c>
      <c r="P292" s="45" t="str">
        <f t="shared" si="22"/>
        <v/>
      </c>
      <c r="R292" s="45" t="str">
        <f t="shared" si="23"/>
        <v/>
      </c>
      <c r="S292" s="45" t="str" cm="1">
        <f t="array" ref="S292">IFERROR([1]!FeetConvert(R292),"")</f>
        <v/>
      </c>
      <c r="T292" s="45" t="str">
        <f t="shared" si="24"/>
        <v/>
      </c>
    </row>
    <row r="293" spans="4:20" x14ac:dyDescent="0.7">
      <c r="D293" s="47" t="str" cm="1">
        <f t="array" ref="D293">IFERROR([2]!CalculateHyphenString(C293),"")</f>
        <v/>
      </c>
      <c r="M293" s="45" t="str">
        <f t="shared" si="20"/>
        <v/>
      </c>
      <c r="N293" s="1" t="s">
        <v>39</v>
      </c>
      <c r="O293" s="45" t="str">
        <f t="shared" si="21"/>
        <v/>
      </c>
      <c r="P293" s="45" t="str">
        <f t="shared" si="22"/>
        <v/>
      </c>
      <c r="R293" s="45" t="str">
        <f t="shared" si="23"/>
        <v/>
      </c>
      <c r="S293" s="45" t="str" cm="1">
        <f t="array" ref="S293">IFERROR([1]!FeetConvert(R293),"")</f>
        <v/>
      </c>
      <c r="T293" s="45" t="str">
        <f t="shared" si="24"/>
        <v/>
      </c>
    </row>
    <row r="294" spans="4:20" x14ac:dyDescent="0.7">
      <c r="D294" s="47" t="str" cm="1">
        <f t="array" ref="D294">IFERROR([2]!CalculateHyphenString(C294),"")</f>
        <v/>
      </c>
      <c r="M294" s="45" t="str">
        <f t="shared" si="20"/>
        <v/>
      </c>
      <c r="N294" s="1" t="s">
        <v>39</v>
      </c>
      <c r="O294" s="45" t="str">
        <f t="shared" si="21"/>
        <v/>
      </c>
      <c r="P294" s="45" t="str">
        <f t="shared" si="22"/>
        <v/>
      </c>
      <c r="R294" s="45" t="str">
        <f t="shared" si="23"/>
        <v/>
      </c>
      <c r="S294" s="45" t="str" cm="1">
        <f t="array" ref="S294">IFERROR([1]!FeetConvert(R294),"")</f>
        <v/>
      </c>
      <c r="T294" s="45" t="str">
        <f t="shared" si="24"/>
        <v/>
      </c>
    </row>
    <row r="295" spans="4:20" x14ac:dyDescent="0.7">
      <c r="D295" s="47" t="str" cm="1">
        <f t="array" ref="D295">IFERROR([2]!CalculateHyphenString(C295),"")</f>
        <v/>
      </c>
      <c r="M295" s="45" t="str">
        <f t="shared" si="20"/>
        <v/>
      </c>
      <c r="N295" s="1" t="s">
        <v>39</v>
      </c>
      <c r="O295" s="45" t="str">
        <f t="shared" si="21"/>
        <v/>
      </c>
      <c r="P295" s="45" t="str">
        <f t="shared" si="22"/>
        <v/>
      </c>
      <c r="R295" s="45" t="str">
        <f t="shared" si="23"/>
        <v/>
      </c>
      <c r="S295" s="45" t="str" cm="1">
        <f t="array" ref="S295">IFERROR([1]!FeetConvert(R295),"")</f>
        <v/>
      </c>
      <c r="T295" s="45" t="str">
        <f t="shared" si="24"/>
        <v/>
      </c>
    </row>
    <row r="296" spans="4:20" x14ac:dyDescent="0.7">
      <c r="D296" s="47" t="str" cm="1">
        <f t="array" ref="D296">IFERROR([2]!CalculateHyphenString(C296),"")</f>
        <v/>
      </c>
      <c r="M296" s="45" t="str">
        <f t="shared" si="20"/>
        <v/>
      </c>
      <c r="N296" s="1" t="s">
        <v>39</v>
      </c>
      <c r="O296" s="45" t="str">
        <f t="shared" si="21"/>
        <v/>
      </c>
      <c r="P296" s="45" t="str">
        <f t="shared" si="22"/>
        <v/>
      </c>
      <c r="R296" s="45" t="str">
        <f t="shared" si="23"/>
        <v/>
      </c>
      <c r="S296" s="45" t="str" cm="1">
        <f t="array" ref="S296">IFERROR([1]!FeetConvert(R296),"")</f>
        <v/>
      </c>
      <c r="T296" s="45" t="str">
        <f t="shared" si="24"/>
        <v/>
      </c>
    </row>
    <row r="297" spans="4:20" x14ac:dyDescent="0.7">
      <c r="D297" s="47" t="str" cm="1">
        <f t="array" ref="D297">IFERROR([2]!CalculateHyphenString(C297),"")</f>
        <v/>
      </c>
      <c r="M297" s="45" t="str">
        <f t="shared" si="20"/>
        <v/>
      </c>
      <c r="N297" s="1" t="s">
        <v>39</v>
      </c>
      <c r="O297" s="45" t="str">
        <f t="shared" si="21"/>
        <v/>
      </c>
      <c r="P297" s="45" t="str">
        <f t="shared" si="22"/>
        <v/>
      </c>
      <c r="R297" s="45" t="str">
        <f t="shared" si="23"/>
        <v/>
      </c>
      <c r="S297" s="45" t="str" cm="1">
        <f t="array" ref="S297">IFERROR([1]!FeetConvert(R297),"")</f>
        <v/>
      </c>
      <c r="T297" s="45" t="str">
        <f t="shared" si="24"/>
        <v/>
      </c>
    </row>
    <row r="298" spans="4:20" x14ac:dyDescent="0.7">
      <c r="D298" s="47" t="str" cm="1">
        <f t="array" ref="D298">IFERROR([2]!CalculateHyphenString(C298),"")</f>
        <v/>
      </c>
      <c r="M298" s="45" t="str">
        <f t="shared" si="20"/>
        <v/>
      </c>
      <c r="N298" s="1" t="s">
        <v>39</v>
      </c>
      <c r="O298" s="45" t="str">
        <f t="shared" si="21"/>
        <v/>
      </c>
      <c r="P298" s="45" t="str">
        <f t="shared" si="22"/>
        <v/>
      </c>
      <c r="R298" s="45" t="str">
        <f t="shared" si="23"/>
        <v/>
      </c>
      <c r="S298" s="45" t="str" cm="1">
        <f t="array" ref="S298">IFERROR([1]!FeetConvert(R298),"")</f>
        <v/>
      </c>
      <c r="T298" s="45" t="str">
        <f t="shared" si="24"/>
        <v/>
      </c>
    </row>
    <row r="299" spans="4:20" x14ac:dyDescent="0.7">
      <c r="D299" s="47" t="str" cm="1">
        <f t="array" ref="D299">IFERROR([2]!CalculateHyphenString(C299),"")</f>
        <v/>
      </c>
      <c r="M299" s="45" t="str">
        <f t="shared" si="20"/>
        <v/>
      </c>
      <c r="N299" s="1" t="s">
        <v>39</v>
      </c>
      <c r="O299" s="45" t="str">
        <f t="shared" si="21"/>
        <v/>
      </c>
      <c r="P299" s="45" t="str">
        <f t="shared" si="22"/>
        <v/>
      </c>
      <c r="R299" s="45" t="str">
        <f t="shared" si="23"/>
        <v/>
      </c>
      <c r="S299" s="45" t="str" cm="1">
        <f t="array" ref="S299">IFERROR([1]!FeetConvert(R299),"")</f>
        <v/>
      </c>
      <c r="T299" s="45" t="str">
        <f t="shared" si="24"/>
        <v/>
      </c>
    </row>
    <row r="300" spans="4:20" x14ac:dyDescent="0.7">
      <c r="D300" s="47" t="str" cm="1">
        <f t="array" ref="D300">IFERROR([2]!CalculateHyphenString(C300),"")</f>
        <v/>
      </c>
      <c r="M300" s="45" t="str">
        <f t="shared" si="20"/>
        <v/>
      </c>
      <c r="N300" s="1" t="s">
        <v>39</v>
      </c>
      <c r="O300" s="45" t="str">
        <f t="shared" si="21"/>
        <v/>
      </c>
      <c r="P300" s="45" t="str">
        <f t="shared" si="22"/>
        <v/>
      </c>
      <c r="R300" s="45" t="str">
        <f t="shared" si="23"/>
        <v/>
      </c>
      <c r="S300" s="45" t="str" cm="1">
        <f t="array" ref="S300">IFERROR([1]!FeetConvert(R300),"")</f>
        <v/>
      </c>
      <c r="T300" s="45" t="str">
        <f t="shared" si="24"/>
        <v/>
      </c>
    </row>
    <row r="301" spans="4:20" x14ac:dyDescent="0.7">
      <c r="D301" s="47" t="str" cm="1">
        <f t="array" ref="D301">IFERROR([2]!CalculateHyphenString(C301),"")</f>
        <v/>
      </c>
      <c r="M301" s="45" t="str">
        <f t="shared" si="20"/>
        <v/>
      </c>
      <c r="N301" s="1" t="s">
        <v>39</v>
      </c>
      <c r="O301" s="45" t="str">
        <f t="shared" si="21"/>
        <v/>
      </c>
      <c r="P301" s="45" t="str">
        <f t="shared" si="22"/>
        <v/>
      </c>
      <c r="R301" s="45" t="str">
        <f t="shared" si="23"/>
        <v/>
      </c>
      <c r="S301" s="45" t="str" cm="1">
        <f t="array" ref="S301">IFERROR([1]!FeetConvert(R301),"")</f>
        <v/>
      </c>
      <c r="T301" s="45" t="str">
        <f t="shared" si="24"/>
        <v/>
      </c>
    </row>
    <row r="302" spans="4:20" x14ac:dyDescent="0.7">
      <c r="D302" s="47" t="str" cm="1">
        <f t="array" ref="D302">IFERROR([2]!CalculateHyphenString(C302),"")</f>
        <v/>
      </c>
      <c r="M302" s="45" t="str">
        <f t="shared" si="20"/>
        <v/>
      </c>
      <c r="N302" s="1" t="s">
        <v>39</v>
      </c>
      <c r="O302" s="45" t="str">
        <f t="shared" si="21"/>
        <v/>
      </c>
      <c r="P302" s="45" t="str">
        <f t="shared" si="22"/>
        <v/>
      </c>
      <c r="R302" s="45" t="str">
        <f t="shared" si="23"/>
        <v/>
      </c>
      <c r="S302" s="45" t="str" cm="1">
        <f t="array" ref="S302">IFERROR([1]!FeetConvert(R302),"")</f>
        <v/>
      </c>
      <c r="T302" s="45" t="str">
        <f t="shared" si="24"/>
        <v/>
      </c>
    </row>
    <row r="303" spans="4:20" x14ac:dyDescent="0.7">
      <c r="D303" s="47" t="str" cm="1">
        <f t="array" ref="D303">IFERROR([2]!CalculateHyphenString(C303),"")</f>
        <v/>
      </c>
      <c r="M303" s="45" t="str">
        <f t="shared" si="20"/>
        <v/>
      </c>
      <c r="N303" s="1" t="s">
        <v>39</v>
      </c>
      <c r="O303" s="45" t="str">
        <f t="shared" si="21"/>
        <v/>
      </c>
      <c r="P303" s="45" t="str">
        <f t="shared" si="22"/>
        <v/>
      </c>
      <c r="R303" s="45" t="str">
        <f t="shared" si="23"/>
        <v/>
      </c>
      <c r="S303" s="45" t="str" cm="1">
        <f t="array" ref="S303">IFERROR([1]!FeetConvert(R303),"")</f>
        <v/>
      </c>
      <c r="T303" s="45" t="str">
        <f t="shared" si="24"/>
        <v/>
      </c>
    </row>
    <row r="304" spans="4:20" x14ac:dyDescent="0.7">
      <c r="D304" s="47" t="str" cm="1">
        <f t="array" ref="D304">IFERROR([2]!CalculateHyphenString(C304),"")</f>
        <v/>
      </c>
      <c r="M304" s="45" t="str">
        <f t="shared" si="20"/>
        <v/>
      </c>
      <c r="N304" s="1" t="s">
        <v>39</v>
      </c>
      <c r="O304" s="45" t="str">
        <f t="shared" si="21"/>
        <v/>
      </c>
      <c r="P304" s="45" t="str">
        <f t="shared" si="22"/>
        <v/>
      </c>
      <c r="R304" s="45" t="str">
        <f t="shared" si="23"/>
        <v/>
      </c>
      <c r="S304" s="45" t="str" cm="1">
        <f t="array" ref="S304">IFERROR([1]!FeetConvert(R304),"")</f>
        <v/>
      </c>
      <c r="T304" s="45" t="str">
        <f t="shared" si="24"/>
        <v/>
      </c>
    </row>
    <row r="305" spans="4:20" x14ac:dyDescent="0.7">
      <c r="D305" s="47" t="str" cm="1">
        <f t="array" ref="D305">IFERROR([2]!CalculateHyphenString(C305),"")</f>
        <v/>
      </c>
      <c r="M305" s="45" t="str">
        <f t="shared" si="20"/>
        <v/>
      </c>
      <c r="N305" s="1" t="s">
        <v>39</v>
      </c>
      <c r="O305" s="45" t="str">
        <f t="shared" si="21"/>
        <v/>
      </c>
      <c r="P305" s="45" t="str">
        <f t="shared" si="22"/>
        <v/>
      </c>
      <c r="R305" s="45" t="str">
        <f t="shared" si="23"/>
        <v/>
      </c>
      <c r="S305" s="45" t="str" cm="1">
        <f t="array" ref="S305">IFERROR([1]!FeetConvert(R305),"")</f>
        <v/>
      </c>
      <c r="T305" s="45" t="str">
        <f t="shared" si="24"/>
        <v/>
      </c>
    </row>
    <row r="306" spans="4:20" x14ac:dyDescent="0.7">
      <c r="D306" s="47" t="str" cm="1">
        <f t="array" ref="D306">IFERROR([2]!CalculateHyphenString(C306),"")</f>
        <v/>
      </c>
      <c r="M306" s="45" t="str">
        <f t="shared" si="20"/>
        <v/>
      </c>
      <c r="N306" s="1" t="s">
        <v>39</v>
      </c>
      <c r="O306" s="45" t="str">
        <f t="shared" si="21"/>
        <v/>
      </c>
      <c r="P306" s="45" t="str">
        <f t="shared" si="22"/>
        <v/>
      </c>
      <c r="R306" s="45" t="str">
        <f t="shared" si="23"/>
        <v/>
      </c>
      <c r="S306" s="45" t="str" cm="1">
        <f t="array" ref="S306">IFERROR([1]!FeetConvert(R306),"")</f>
        <v/>
      </c>
      <c r="T306" s="45" t="str">
        <f t="shared" si="24"/>
        <v/>
      </c>
    </row>
    <row r="307" spans="4:20" x14ac:dyDescent="0.7">
      <c r="D307" s="47" t="str" cm="1">
        <f t="array" ref="D307">IFERROR([2]!CalculateHyphenString(C307),"")</f>
        <v/>
      </c>
      <c r="M307" s="45" t="str">
        <f t="shared" si="20"/>
        <v/>
      </c>
      <c r="N307" s="1" t="s">
        <v>39</v>
      </c>
      <c r="O307" s="45" t="str">
        <f t="shared" si="21"/>
        <v/>
      </c>
      <c r="P307" s="45" t="str">
        <f t="shared" si="22"/>
        <v/>
      </c>
      <c r="R307" s="45" t="str">
        <f t="shared" si="23"/>
        <v/>
      </c>
      <c r="S307" s="45" t="str" cm="1">
        <f t="array" ref="S307">IFERROR([1]!FeetConvert(R307),"")</f>
        <v/>
      </c>
      <c r="T307" s="45" t="str">
        <f t="shared" si="24"/>
        <v/>
      </c>
    </row>
    <row r="308" spans="4:20" x14ac:dyDescent="0.7">
      <c r="D308" s="47" t="str" cm="1">
        <f t="array" ref="D308">IFERROR([2]!CalculateHyphenString(C308),"")</f>
        <v/>
      </c>
      <c r="M308" s="45" t="str">
        <f t="shared" si="20"/>
        <v/>
      </c>
      <c r="N308" s="1" t="s">
        <v>39</v>
      </c>
      <c r="O308" s="45" t="str">
        <f t="shared" si="21"/>
        <v/>
      </c>
      <c r="P308" s="45" t="str">
        <f t="shared" si="22"/>
        <v/>
      </c>
      <c r="R308" s="45" t="str">
        <f t="shared" si="23"/>
        <v/>
      </c>
      <c r="S308" s="45" t="str" cm="1">
        <f t="array" ref="S308">IFERROR([1]!FeetConvert(R308),"")</f>
        <v/>
      </c>
      <c r="T308" s="45" t="str">
        <f t="shared" si="24"/>
        <v/>
      </c>
    </row>
    <row r="309" spans="4:20" x14ac:dyDescent="0.7">
      <c r="D309" s="47" t="str" cm="1">
        <f t="array" ref="D309">IFERROR([2]!CalculateHyphenString(C309),"")</f>
        <v/>
      </c>
      <c r="M309" s="45" t="str">
        <f t="shared" si="20"/>
        <v/>
      </c>
      <c r="N309" s="1" t="s">
        <v>39</v>
      </c>
      <c r="O309" s="45" t="str">
        <f t="shared" si="21"/>
        <v/>
      </c>
      <c r="P309" s="45" t="str">
        <f t="shared" si="22"/>
        <v/>
      </c>
      <c r="R309" s="45" t="str">
        <f t="shared" si="23"/>
        <v/>
      </c>
      <c r="S309" s="45" t="str" cm="1">
        <f t="array" ref="S309">IFERROR([1]!FeetConvert(R309),"")</f>
        <v/>
      </c>
      <c r="T309" s="45" t="str">
        <f t="shared" si="24"/>
        <v/>
      </c>
    </row>
    <row r="310" spans="4:20" x14ac:dyDescent="0.7">
      <c r="D310" s="47" t="str" cm="1">
        <f t="array" ref="D310">IFERROR([2]!CalculateHyphenString(C310),"")</f>
        <v/>
      </c>
      <c r="M310" s="45" t="str">
        <f t="shared" si="20"/>
        <v/>
      </c>
      <c r="N310" s="1" t="s">
        <v>39</v>
      </c>
      <c r="O310" s="45" t="str">
        <f t="shared" si="21"/>
        <v/>
      </c>
      <c r="P310" s="45" t="str">
        <f t="shared" si="22"/>
        <v/>
      </c>
      <c r="R310" s="45" t="str">
        <f t="shared" si="23"/>
        <v/>
      </c>
      <c r="S310" s="45" t="str" cm="1">
        <f t="array" ref="S310">IFERROR([1]!FeetConvert(R310),"")</f>
        <v/>
      </c>
      <c r="T310" s="45" t="str">
        <f t="shared" si="24"/>
        <v/>
      </c>
    </row>
    <row r="311" spans="4:20" x14ac:dyDescent="0.7">
      <c r="D311" s="47" t="str" cm="1">
        <f t="array" ref="D311">IFERROR([2]!CalculateHyphenString(C311),"")</f>
        <v/>
      </c>
      <c r="M311" s="45" t="str">
        <f t="shared" si="20"/>
        <v/>
      </c>
      <c r="N311" s="1" t="s">
        <v>39</v>
      </c>
      <c r="O311" s="45" t="str">
        <f t="shared" si="21"/>
        <v/>
      </c>
      <c r="P311" s="45" t="str">
        <f t="shared" si="22"/>
        <v/>
      </c>
      <c r="R311" s="45" t="str">
        <f t="shared" si="23"/>
        <v/>
      </c>
      <c r="S311" s="45" t="str" cm="1">
        <f t="array" ref="S311">IFERROR([1]!FeetConvert(R311),"")</f>
        <v/>
      </c>
      <c r="T311" s="45" t="str">
        <f t="shared" si="24"/>
        <v/>
      </c>
    </row>
    <row r="312" spans="4:20" x14ac:dyDescent="0.7">
      <c r="D312" s="47" t="str" cm="1">
        <f t="array" ref="D312">IFERROR([2]!CalculateHyphenString(C312),"")</f>
        <v/>
      </c>
      <c r="M312" s="45" t="str">
        <f t="shared" si="20"/>
        <v/>
      </c>
      <c r="N312" s="1" t="s">
        <v>39</v>
      </c>
      <c r="O312" s="45" t="str">
        <f t="shared" si="21"/>
        <v/>
      </c>
      <c r="P312" s="45" t="str">
        <f t="shared" si="22"/>
        <v/>
      </c>
      <c r="R312" s="45" t="str">
        <f t="shared" si="23"/>
        <v/>
      </c>
      <c r="S312" s="45" t="str" cm="1">
        <f t="array" ref="S312">IFERROR([1]!FeetConvert(R312),"")</f>
        <v/>
      </c>
      <c r="T312" s="45" t="str">
        <f t="shared" si="24"/>
        <v/>
      </c>
    </row>
    <row r="313" spans="4:20" x14ac:dyDescent="0.7">
      <c r="D313" s="47" t="str" cm="1">
        <f t="array" ref="D313">IFERROR([2]!CalculateHyphenString(C313),"")</f>
        <v/>
      </c>
      <c r="M313" s="45" t="str">
        <f t="shared" si="20"/>
        <v/>
      </c>
      <c r="N313" s="1" t="s">
        <v>39</v>
      </c>
      <c r="O313" s="45" t="str">
        <f t="shared" si="21"/>
        <v/>
      </c>
      <c r="P313" s="45" t="str">
        <f t="shared" si="22"/>
        <v/>
      </c>
      <c r="R313" s="45" t="str">
        <f t="shared" si="23"/>
        <v/>
      </c>
      <c r="S313" s="45" t="str" cm="1">
        <f t="array" ref="S313">IFERROR([1]!FeetConvert(R313),"")</f>
        <v/>
      </c>
      <c r="T313" s="45" t="str">
        <f t="shared" si="24"/>
        <v/>
      </c>
    </row>
    <row r="314" spans="4:20" x14ac:dyDescent="0.7">
      <c r="D314" s="47" t="str" cm="1">
        <f t="array" ref="D314">IFERROR([2]!CalculateHyphenString(C314),"")</f>
        <v/>
      </c>
      <c r="M314" s="45" t="str">
        <f t="shared" si="20"/>
        <v/>
      </c>
      <c r="N314" s="1" t="s">
        <v>39</v>
      </c>
      <c r="O314" s="45" t="str">
        <f t="shared" si="21"/>
        <v/>
      </c>
      <c r="P314" s="45" t="str">
        <f t="shared" si="22"/>
        <v/>
      </c>
      <c r="R314" s="45" t="str">
        <f t="shared" si="23"/>
        <v/>
      </c>
      <c r="S314" s="45" t="str" cm="1">
        <f t="array" ref="S314">IFERROR([1]!FeetConvert(R314),"")</f>
        <v/>
      </c>
      <c r="T314" s="45" t="str">
        <f t="shared" si="24"/>
        <v/>
      </c>
    </row>
    <row r="315" spans="4:20" x14ac:dyDescent="0.7">
      <c r="D315" s="47" t="str" cm="1">
        <f t="array" ref="D315">IFERROR([2]!CalculateHyphenString(C315),"")</f>
        <v/>
      </c>
      <c r="M315" s="45" t="str">
        <f t="shared" si="20"/>
        <v/>
      </c>
      <c r="N315" s="1" t="s">
        <v>39</v>
      </c>
      <c r="O315" s="45" t="str">
        <f t="shared" si="21"/>
        <v/>
      </c>
      <c r="P315" s="45" t="str">
        <f t="shared" si="22"/>
        <v/>
      </c>
      <c r="R315" s="45" t="str">
        <f t="shared" si="23"/>
        <v/>
      </c>
      <c r="S315" s="45" t="str" cm="1">
        <f t="array" ref="S315">IFERROR([1]!FeetConvert(R315),"")</f>
        <v/>
      </c>
      <c r="T315" s="45" t="str">
        <f t="shared" si="24"/>
        <v/>
      </c>
    </row>
    <row r="316" spans="4:20" x14ac:dyDescent="0.7">
      <c r="D316" s="47" t="str" cm="1">
        <f t="array" ref="D316">IFERROR([2]!CalculateHyphenString(C316),"")</f>
        <v/>
      </c>
      <c r="M316" s="45" t="str">
        <f t="shared" si="20"/>
        <v/>
      </c>
      <c r="N316" s="1" t="s">
        <v>39</v>
      </c>
      <c r="O316" s="45" t="str">
        <f t="shared" si="21"/>
        <v/>
      </c>
      <c r="P316" s="45" t="str">
        <f t="shared" si="22"/>
        <v/>
      </c>
      <c r="R316" s="45" t="str">
        <f t="shared" si="23"/>
        <v/>
      </c>
      <c r="S316" s="45" t="str" cm="1">
        <f t="array" ref="S316">IFERROR([1]!FeetConvert(R316),"")</f>
        <v/>
      </c>
      <c r="T316" s="45" t="str">
        <f t="shared" si="24"/>
        <v/>
      </c>
    </row>
    <row r="317" spans="4:20" x14ac:dyDescent="0.7">
      <c r="D317" s="47" t="str" cm="1">
        <f t="array" ref="D317">IFERROR([2]!CalculateHyphenString(C317),"")</f>
        <v/>
      </c>
      <c r="M317" s="45" t="str">
        <f t="shared" si="20"/>
        <v/>
      </c>
      <c r="N317" s="1" t="s">
        <v>39</v>
      </c>
      <c r="O317" s="45" t="str">
        <f t="shared" si="21"/>
        <v/>
      </c>
      <c r="P317" s="45" t="str">
        <f t="shared" si="22"/>
        <v/>
      </c>
      <c r="R317" s="45" t="str">
        <f t="shared" si="23"/>
        <v/>
      </c>
      <c r="S317" s="45" t="str" cm="1">
        <f t="array" ref="S317">IFERROR([1]!FeetConvert(R317),"")</f>
        <v/>
      </c>
      <c r="T317" s="45" t="str">
        <f t="shared" si="24"/>
        <v/>
      </c>
    </row>
    <row r="318" spans="4:20" x14ac:dyDescent="0.7">
      <c r="D318" s="47" t="str" cm="1">
        <f t="array" ref="D318">IFERROR([2]!CalculateHyphenString(C318),"")</f>
        <v/>
      </c>
      <c r="M318" s="45" t="str">
        <f t="shared" si="20"/>
        <v/>
      </c>
      <c r="N318" s="1" t="s">
        <v>39</v>
      </c>
      <c r="O318" s="45" t="str">
        <f t="shared" si="21"/>
        <v/>
      </c>
      <c r="P318" s="45" t="str">
        <f t="shared" si="22"/>
        <v/>
      </c>
      <c r="R318" s="45" t="str">
        <f t="shared" si="23"/>
        <v/>
      </c>
      <c r="S318" s="45" t="str" cm="1">
        <f t="array" ref="S318">IFERROR([1]!FeetConvert(R318),"")</f>
        <v/>
      </c>
      <c r="T318" s="45" t="str">
        <f t="shared" si="24"/>
        <v/>
      </c>
    </row>
    <row r="319" spans="4:20" x14ac:dyDescent="0.7">
      <c r="D319" s="47" t="str" cm="1">
        <f t="array" ref="D319">IFERROR([2]!CalculateHyphenString(C319),"")</f>
        <v/>
      </c>
      <c r="M319" s="45" t="str">
        <f t="shared" si="20"/>
        <v/>
      </c>
      <c r="N319" s="1" t="s">
        <v>39</v>
      </c>
      <c r="O319" s="45" t="str">
        <f t="shared" si="21"/>
        <v/>
      </c>
      <c r="P319" s="45" t="str">
        <f t="shared" si="22"/>
        <v/>
      </c>
      <c r="R319" s="45" t="str">
        <f t="shared" si="23"/>
        <v/>
      </c>
      <c r="S319" s="45" t="str" cm="1">
        <f t="array" ref="S319">IFERROR([1]!FeetConvert(R319),"")</f>
        <v/>
      </c>
      <c r="T319" s="45" t="str">
        <f t="shared" si="24"/>
        <v/>
      </c>
    </row>
    <row r="320" spans="4:20" x14ac:dyDescent="0.7">
      <c r="D320" s="47" t="str" cm="1">
        <f t="array" ref="D320">IFERROR([2]!CalculateHyphenString(C320),"")</f>
        <v/>
      </c>
      <c r="M320" s="45" t="str">
        <f t="shared" si="20"/>
        <v/>
      </c>
      <c r="N320" s="1" t="s">
        <v>39</v>
      </c>
      <c r="O320" s="45" t="str">
        <f t="shared" si="21"/>
        <v/>
      </c>
      <c r="P320" s="45" t="str">
        <f t="shared" si="22"/>
        <v/>
      </c>
      <c r="R320" s="45" t="str">
        <f t="shared" si="23"/>
        <v/>
      </c>
      <c r="S320" s="45" t="str" cm="1">
        <f t="array" ref="S320">IFERROR([1]!FeetConvert(R320),"")</f>
        <v/>
      </c>
      <c r="T320" s="45" t="str">
        <f t="shared" si="24"/>
        <v/>
      </c>
    </row>
    <row r="321" spans="4:20" x14ac:dyDescent="0.7">
      <c r="D321" s="47" t="str" cm="1">
        <f t="array" ref="D321">IFERROR([2]!CalculateHyphenString(C321),"")</f>
        <v/>
      </c>
      <c r="M321" s="45" t="str">
        <f t="shared" si="20"/>
        <v/>
      </c>
      <c r="N321" s="1" t="s">
        <v>39</v>
      </c>
      <c r="O321" s="45" t="str">
        <f t="shared" si="21"/>
        <v/>
      </c>
      <c r="P321" s="45" t="str">
        <f t="shared" si="22"/>
        <v/>
      </c>
      <c r="R321" s="45" t="str">
        <f t="shared" si="23"/>
        <v/>
      </c>
      <c r="S321" s="45" t="str" cm="1">
        <f t="array" ref="S321">IFERROR([1]!FeetConvert(R321),"")</f>
        <v/>
      </c>
      <c r="T321" s="45" t="str">
        <f t="shared" si="24"/>
        <v/>
      </c>
    </row>
    <row r="322" spans="4:20" x14ac:dyDescent="0.7">
      <c r="D322" s="47" t="str" cm="1">
        <f t="array" ref="D322">IFERROR([2]!CalculateHyphenString(C322),"")</f>
        <v/>
      </c>
      <c r="M322" s="45" t="str">
        <f t="shared" si="20"/>
        <v/>
      </c>
      <c r="N322" s="1" t="s">
        <v>39</v>
      </c>
      <c r="O322" s="45" t="str">
        <f t="shared" si="21"/>
        <v/>
      </c>
      <c r="P322" s="45" t="str">
        <f t="shared" si="22"/>
        <v/>
      </c>
      <c r="R322" s="45" t="str">
        <f t="shared" si="23"/>
        <v/>
      </c>
      <c r="S322" s="45" t="str" cm="1">
        <f t="array" ref="S322">IFERROR([1]!FeetConvert(R322),"")</f>
        <v/>
      </c>
      <c r="T322" s="45" t="str">
        <f t="shared" si="24"/>
        <v/>
      </c>
    </row>
    <row r="323" spans="4:20" x14ac:dyDescent="0.7">
      <c r="D323" s="47" t="str" cm="1">
        <f t="array" ref="D323">IFERROR([2]!CalculateHyphenString(C323),"")</f>
        <v/>
      </c>
      <c r="M323" s="45" t="str">
        <f t="shared" si="20"/>
        <v/>
      </c>
      <c r="N323" s="1" t="s">
        <v>39</v>
      </c>
      <c r="O323" s="45" t="str">
        <f t="shared" si="21"/>
        <v/>
      </c>
      <c r="P323" s="45" t="str">
        <f t="shared" si="22"/>
        <v/>
      </c>
      <c r="R323" s="45" t="str">
        <f t="shared" si="23"/>
        <v/>
      </c>
      <c r="S323" s="45" t="str" cm="1">
        <f t="array" ref="S323">IFERROR([1]!FeetConvert(R323),"")</f>
        <v/>
      </c>
      <c r="T323" s="45" t="str">
        <f t="shared" si="24"/>
        <v/>
      </c>
    </row>
    <row r="324" spans="4:20" x14ac:dyDescent="0.7">
      <c r="D324" s="47" t="str" cm="1">
        <f t="array" ref="D324">IFERROR([2]!CalculateHyphenString(C324),"")</f>
        <v/>
      </c>
      <c r="M324" s="45" t="str">
        <f t="shared" si="20"/>
        <v/>
      </c>
      <c r="N324" s="1" t="s">
        <v>39</v>
      </c>
      <c r="O324" s="45" t="str">
        <f t="shared" si="21"/>
        <v/>
      </c>
      <c r="P324" s="45" t="str">
        <f t="shared" si="22"/>
        <v/>
      </c>
      <c r="R324" s="45" t="str">
        <f t="shared" si="23"/>
        <v/>
      </c>
      <c r="S324" s="45" t="str" cm="1">
        <f t="array" ref="S324">IFERROR([1]!FeetConvert(R324),"")</f>
        <v/>
      </c>
      <c r="T324" s="45" t="str">
        <f t="shared" si="24"/>
        <v/>
      </c>
    </row>
    <row r="325" spans="4:20" x14ac:dyDescent="0.7">
      <c r="D325" s="47" t="str" cm="1">
        <f t="array" ref="D325">IFERROR([2]!CalculateHyphenString(C325),"")</f>
        <v/>
      </c>
      <c r="M325" s="45" t="str">
        <f t="shared" ref="M325:M388" si="25">IFERROR(K325*$E$2/L325,"")</f>
        <v/>
      </c>
      <c r="N325" s="1" t="s">
        <v>39</v>
      </c>
      <c r="O325" s="45" t="str">
        <f t="shared" ref="O325:O388" si="26">IFERROR(IF(ISBLANK(N325),"",N325*$G$2/100),"")</f>
        <v/>
      </c>
      <c r="P325" s="45" t="str">
        <f t="shared" ref="P325:P388" si="27">IFERROR(N325-O325,"")</f>
        <v/>
      </c>
      <c r="R325" s="45" t="str">
        <f t="shared" ref="R325:R388" si="28">IFERROR(P325-Q325,"")</f>
        <v/>
      </c>
      <c r="S325" s="45" t="str" cm="1">
        <f t="array" ref="S325">IFERROR([1]!FeetConvert(R325),"")</f>
        <v/>
      </c>
      <c r="T325" s="45" t="str">
        <f t="shared" ref="T325:T388" si="29">IFERROR(ROUND(R325,0),"")</f>
        <v/>
      </c>
    </row>
    <row r="326" spans="4:20" x14ac:dyDescent="0.7">
      <c r="D326" s="47" t="str" cm="1">
        <f t="array" ref="D326">IFERROR([2]!CalculateHyphenString(C326),"")</f>
        <v/>
      </c>
      <c r="M326" s="45" t="str">
        <f t="shared" si="25"/>
        <v/>
      </c>
      <c r="N326" s="1" t="s">
        <v>39</v>
      </c>
      <c r="O326" s="45" t="str">
        <f t="shared" si="26"/>
        <v/>
      </c>
      <c r="P326" s="45" t="str">
        <f t="shared" si="27"/>
        <v/>
      </c>
      <c r="R326" s="45" t="str">
        <f t="shared" si="28"/>
        <v/>
      </c>
      <c r="S326" s="45" t="str" cm="1">
        <f t="array" ref="S326">IFERROR([1]!FeetConvert(R326),"")</f>
        <v/>
      </c>
      <c r="T326" s="45" t="str">
        <f t="shared" si="29"/>
        <v/>
      </c>
    </row>
    <row r="327" spans="4:20" x14ac:dyDescent="0.7">
      <c r="D327" s="47" t="str" cm="1">
        <f t="array" ref="D327">IFERROR([2]!CalculateHyphenString(C327),"")</f>
        <v/>
      </c>
      <c r="M327" s="45" t="str">
        <f t="shared" si="25"/>
        <v/>
      </c>
      <c r="N327" s="1" t="s">
        <v>39</v>
      </c>
      <c r="O327" s="45" t="str">
        <f t="shared" si="26"/>
        <v/>
      </c>
      <c r="P327" s="45" t="str">
        <f t="shared" si="27"/>
        <v/>
      </c>
      <c r="R327" s="45" t="str">
        <f t="shared" si="28"/>
        <v/>
      </c>
      <c r="S327" s="45" t="str" cm="1">
        <f t="array" ref="S327">IFERROR([1]!FeetConvert(R327),"")</f>
        <v/>
      </c>
      <c r="T327" s="45" t="str">
        <f t="shared" si="29"/>
        <v/>
      </c>
    </row>
    <row r="328" spans="4:20" x14ac:dyDescent="0.7">
      <c r="D328" s="47" t="str" cm="1">
        <f t="array" ref="D328">IFERROR([2]!CalculateHyphenString(C328),"")</f>
        <v/>
      </c>
      <c r="M328" s="45" t="str">
        <f t="shared" si="25"/>
        <v/>
      </c>
      <c r="N328" s="1" t="s">
        <v>39</v>
      </c>
      <c r="O328" s="45" t="str">
        <f t="shared" si="26"/>
        <v/>
      </c>
      <c r="P328" s="45" t="str">
        <f t="shared" si="27"/>
        <v/>
      </c>
      <c r="R328" s="45" t="str">
        <f t="shared" si="28"/>
        <v/>
      </c>
      <c r="S328" s="45" t="str" cm="1">
        <f t="array" ref="S328">IFERROR([1]!FeetConvert(R328),"")</f>
        <v/>
      </c>
      <c r="T328" s="45" t="str">
        <f t="shared" si="29"/>
        <v/>
      </c>
    </row>
    <row r="329" spans="4:20" x14ac:dyDescent="0.7">
      <c r="D329" s="47" t="str" cm="1">
        <f t="array" ref="D329">IFERROR([2]!CalculateHyphenString(C329),"")</f>
        <v/>
      </c>
      <c r="M329" s="45" t="str">
        <f t="shared" si="25"/>
        <v/>
      </c>
      <c r="N329" s="1" t="s">
        <v>39</v>
      </c>
      <c r="O329" s="45" t="str">
        <f t="shared" si="26"/>
        <v/>
      </c>
      <c r="P329" s="45" t="str">
        <f t="shared" si="27"/>
        <v/>
      </c>
      <c r="R329" s="45" t="str">
        <f t="shared" si="28"/>
        <v/>
      </c>
      <c r="S329" s="45" t="str" cm="1">
        <f t="array" ref="S329">IFERROR([1]!FeetConvert(R329),"")</f>
        <v/>
      </c>
      <c r="T329" s="45" t="str">
        <f t="shared" si="29"/>
        <v/>
      </c>
    </row>
    <row r="330" spans="4:20" x14ac:dyDescent="0.7">
      <c r="D330" s="47" t="str" cm="1">
        <f t="array" ref="D330">IFERROR([2]!CalculateHyphenString(C330),"")</f>
        <v/>
      </c>
      <c r="M330" s="45" t="str">
        <f t="shared" si="25"/>
        <v/>
      </c>
      <c r="N330" s="1" t="s">
        <v>39</v>
      </c>
      <c r="O330" s="45" t="str">
        <f t="shared" si="26"/>
        <v/>
      </c>
      <c r="P330" s="45" t="str">
        <f t="shared" si="27"/>
        <v/>
      </c>
      <c r="R330" s="45" t="str">
        <f t="shared" si="28"/>
        <v/>
      </c>
      <c r="S330" s="45" t="str" cm="1">
        <f t="array" ref="S330">IFERROR([1]!FeetConvert(R330),"")</f>
        <v/>
      </c>
      <c r="T330" s="45" t="str">
        <f t="shared" si="29"/>
        <v/>
      </c>
    </row>
    <row r="331" spans="4:20" x14ac:dyDescent="0.7">
      <c r="D331" s="47" t="str" cm="1">
        <f t="array" ref="D331">IFERROR([2]!CalculateHyphenString(C331),"")</f>
        <v/>
      </c>
      <c r="M331" s="45" t="str">
        <f t="shared" si="25"/>
        <v/>
      </c>
      <c r="N331" s="1" t="s">
        <v>39</v>
      </c>
      <c r="O331" s="45" t="str">
        <f t="shared" si="26"/>
        <v/>
      </c>
      <c r="P331" s="45" t="str">
        <f t="shared" si="27"/>
        <v/>
      </c>
      <c r="R331" s="45" t="str">
        <f t="shared" si="28"/>
        <v/>
      </c>
      <c r="S331" s="45" t="str" cm="1">
        <f t="array" ref="S331">IFERROR([1]!FeetConvert(R331),"")</f>
        <v/>
      </c>
      <c r="T331" s="45" t="str">
        <f t="shared" si="29"/>
        <v/>
      </c>
    </row>
    <row r="332" spans="4:20" x14ac:dyDescent="0.7">
      <c r="D332" s="47" t="str" cm="1">
        <f t="array" ref="D332">IFERROR([2]!CalculateHyphenString(C332),"")</f>
        <v/>
      </c>
      <c r="M332" s="45" t="str">
        <f t="shared" si="25"/>
        <v/>
      </c>
      <c r="N332" s="1" t="s">
        <v>39</v>
      </c>
      <c r="O332" s="45" t="str">
        <f t="shared" si="26"/>
        <v/>
      </c>
      <c r="P332" s="45" t="str">
        <f t="shared" si="27"/>
        <v/>
      </c>
      <c r="R332" s="45" t="str">
        <f t="shared" si="28"/>
        <v/>
      </c>
      <c r="S332" s="45" t="str" cm="1">
        <f t="array" ref="S332">IFERROR([1]!FeetConvert(R332),"")</f>
        <v/>
      </c>
      <c r="T332" s="45" t="str">
        <f t="shared" si="29"/>
        <v/>
      </c>
    </row>
    <row r="333" spans="4:20" x14ac:dyDescent="0.7">
      <c r="D333" s="47" t="str" cm="1">
        <f t="array" ref="D333">IFERROR([2]!CalculateHyphenString(C333),"")</f>
        <v/>
      </c>
      <c r="M333" s="45" t="str">
        <f t="shared" si="25"/>
        <v/>
      </c>
      <c r="N333" s="1" t="s">
        <v>39</v>
      </c>
      <c r="O333" s="45" t="str">
        <f t="shared" si="26"/>
        <v/>
      </c>
      <c r="P333" s="45" t="str">
        <f t="shared" si="27"/>
        <v/>
      </c>
      <c r="R333" s="45" t="str">
        <f t="shared" si="28"/>
        <v/>
      </c>
      <c r="S333" s="45" t="str" cm="1">
        <f t="array" ref="S333">IFERROR([1]!FeetConvert(R333),"")</f>
        <v/>
      </c>
      <c r="T333" s="45" t="str">
        <f t="shared" si="29"/>
        <v/>
      </c>
    </row>
    <row r="334" spans="4:20" x14ac:dyDescent="0.7">
      <c r="D334" s="47" t="str" cm="1">
        <f t="array" ref="D334">IFERROR([2]!CalculateHyphenString(C334),"")</f>
        <v/>
      </c>
      <c r="M334" s="45" t="str">
        <f t="shared" si="25"/>
        <v/>
      </c>
      <c r="N334" s="1" t="s">
        <v>39</v>
      </c>
      <c r="O334" s="45" t="str">
        <f t="shared" si="26"/>
        <v/>
      </c>
      <c r="P334" s="45" t="str">
        <f t="shared" si="27"/>
        <v/>
      </c>
      <c r="R334" s="45" t="str">
        <f t="shared" si="28"/>
        <v/>
      </c>
      <c r="S334" s="45" t="str" cm="1">
        <f t="array" ref="S334">IFERROR([1]!FeetConvert(R334),"")</f>
        <v/>
      </c>
      <c r="T334" s="45" t="str">
        <f t="shared" si="29"/>
        <v/>
      </c>
    </row>
    <row r="335" spans="4:20" x14ac:dyDescent="0.7">
      <c r="D335" s="47" t="str" cm="1">
        <f t="array" ref="D335">IFERROR([2]!CalculateHyphenString(C335),"")</f>
        <v/>
      </c>
      <c r="M335" s="45" t="str">
        <f t="shared" si="25"/>
        <v/>
      </c>
      <c r="N335" s="1" t="s">
        <v>39</v>
      </c>
      <c r="O335" s="45" t="str">
        <f t="shared" si="26"/>
        <v/>
      </c>
      <c r="P335" s="45" t="str">
        <f t="shared" si="27"/>
        <v/>
      </c>
      <c r="R335" s="45" t="str">
        <f t="shared" si="28"/>
        <v/>
      </c>
      <c r="S335" s="45" t="str" cm="1">
        <f t="array" ref="S335">IFERROR([1]!FeetConvert(R335),"")</f>
        <v/>
      </c>
      <c r="T335" s="45" t="str">
        <f t="shared" si="29"/>
        <v/>
      </c>
    </row>
    <row r="336" spans="4:20" x14ac:dyDescent="0.7">
      <c r="D336" s="47" t="str" cm="1">
        <f t="array" ref="D336">IFERROR([2]!CalculateHyphenString(C336),"")</f>
        <v/>
      </c>
      <c r="M336" s="45" t="str">
        <f t="shared" si="25"/>
        <v/>
      </c>
      <c r="N336" s="1" t="s">
        <v>39</v>
      </c>
      <c r="O336" s="45" t="str">
        <f t="shared" si="26"/>
        <v/>
      </c>
      <c r="P336" s="45" t="str">
        <f t="shared" si="27"/>
        <v/>
      </c>
      <c r="R336" s="45" t="str">
        <f t="shared" si="28"/>
        <v/>
      </c>
      <c r="S336" s="45" t="str" cm="1">
        <f t="array" ref="S336">IFERROR([1]!FeetConvert(R336),"")</f>
        <v/>
      </c>
      <c r="T336" s="45" t="str">
        <f t="shared" si="29"/>
        <v/>
      </c>
    </row>
    <row r="337" spans="4:20" x14ac:dyDescent="0.7">
      <c r="D337" s="47" t="str" cm="1">
        <f t="array" ref="D337">IFERROR([2]!CalculateHyphenString(C337),"")</f>
        <v/>
      </c>
      <c r="M337" s="45" t="str">
        <f t="shared" si="25"/>
        <v/>
      </c>
      <c r="N337" s="1" t="s">
        <v>39</v>
      </c>
      <c r="O337" s="45" t="str">
        <f t="shared" si="26"/>
        <v/>
      </c>
      <c r="P337" s="45" t="str">
        <f t="shared" si="27"/>
        <v/>
      </c>
      <c r="R337" s="45" t="str">
        <f t="shared" si="28"/>
        <v/>
      </c>
      <c r="S337" s="45" t="str" cm="1">
        <f t="array" ref="S337">IFERROR([1]!FeetConvert(R337),"")</f>
        <v/>
      </c>
      <c r="T337" s="45" t="str">
        <f t="shared" si="29"/>
        <v/>
      </c>
    </row>
    <row r="338" spans="4:20" x14ac:dyDescent="0.7">
      <c r="D338" s="47" t="str" cm="1">
        <f t="array" ref="D338">IFERROR([2]!CalculateHyphenString(C338),"")</f>
        <v/>
      </c>
      <c r="M338" s="45" t="str">
        <f t="shared" si="25"/>
        <v/>
      </c>
      <c r="N338" s="1" t="s">
        <v>39</v>
      </c>
      <c r="O338" s="45" t="str">
        <f t="shared" si="26"/>
        <v/>
      </c>
      <c r="P338" s="45" t="str">
        <f t="shared" si="27"/>
        <v/>
      </c>
      <c r="R338" s="45" t="str">
        <f t="shared" si="28"/>
        <v/>
      </c>
      <c r="S338" s="45" t="str" cm="1">
        <f t="array" ref="S338">IFERROR([1]!FeetConvert(R338),"")</f>
        <v/>
      </c>
      <c r="T338" s="45" t="str">
        <f t="shared" si="29"/>
        <v/>
      </c>
    </row>
    <row r="339" spans="4:20" x14ac:dyDescent="0.7">
      <c r="D339" s="47" t="str" cm="1">
        <f t="array" ref="D339">IFERROR([2]!CalculateHyphenString(C339),"")</f>
        <v/>
      </c>
      <c r="M339" s="45" t="str">
        <f t="shared" si="25"/>
        <v/>
      </c>
      <c r="N339" s="1" t="s">
        <v>39</v>
      </c>
      <c r="O339" s="45" t="str">
        <f t="shared" si="26"/>
        <v/>
      </c>
      <c r="P339" s="45" t="str">
        <f t="shared" si="27"/>
        <v/>
      </c>
      <c r="R339" s="45" t="str">
        <f t="shared" si="28"/>
        <v/>
      </c>
      <c r="S339" s="45" t="str" cm="1">
        <f t="array" ref="S339">IFERROR([1]!FeetConvert(R339),"")</f>
        <v/>
      </c>
      <c r="T339" s="45" t="str">
        <f t="shared" si="29"/>
        <v/>
      </c>
    </row>
    <row r="340" spans="4:20" x14ac:dyDescent="0.7">
      <c r="D340" s="47" t="str" cm="1">
        <f t="array" ref="D340">IFERROR([2]!CalculateHyphenString(C340),"")</f>
        <v/>
      </c>
      <c r="M340" s="45" t="str">
        <f t="shared" si="25"/>
        <v/>
      </c>
      <c r="N340" s="1" t="s">
        <v>39</v>
      </c>
      <c r="O340" s="45" t="str">
        <f t="shared" si="26"/>
        <v/>
      </c>
      <c r="P340" s="45" t="str">
        <f t="shared" si="27"/>
        <v/>
      </c>
      <c r="R340" s="45" t="str">
        <f t="shared" si="28"/>
        <v/>
      </c>
      <c r="S340" s="45" t="str" cm="1">
        <f t="array" ref="S340">IFERROR([1]!FeetConvert(R340),"")</f>
        <v/>
      </c>
      <c r="T340" s="45" t="str">
        <f t="shared" si="29"/>
        <v/>
      </c>
    </row>
    <row r="341" spans="4:20" x14ac:dyDescent="0.7">
      <c r="D341" s="47" t="str" cm="1">
        <f t="array" ref="D341">IFERROR([2]!CalculateHyphenString(C341),"")</f>
        <v/>
      </c>
      <c r="M341" s="45" t="str">
        <f t="shared" si="25"/>
        <v/>
      </c>
      <c r="N341" s="1" t="s">
        <v>39</v>
      </c>
      <c r="O341" s="45" t="str">
        <f t="shared" si="26"/>
        <v/>
      </c>
      <c r="P341" s="45" t="str">
        <f t="shared" si="27"/>
        <v/>
      </c>
      <c r="R341" s="45" t="str">
        <f t="shared" si="28"/>
        <v/>
      </c>
      <c r="S341" s="45" t="str" cm="1">
        <f t="array" ref="S341">IFERROR([1]!FeetConvert(R341),"")</f>
        <v/>
      </c>
      <c r="T341" s="45" t="str">
        <f t="shared" si="29"/>
        <v/>
      </c>
    </row>
    <row r="342" spans="4:20" x14ac:dyDescent="0.7">
      <c r="D342" s="47" t="str" cm="1">
        <f t="array" ref="D342">IFERROR([2]!CalculateHyphenString(C342),"")</f>
        <v/>
      </c>
      <c r="M342" s="45" t="str">
        <f t="shared" si="25"/>
        <v/>
      </c>
      <c r="N342" s="1" t="s">
        <v>39</v>
      </c>
      <c r="O342" s="45" t="str">
        <f t="shared" si="26"/>
        <v/>
      </c>
      <c r="P342" s="45" t="str">
        <f t="shared" si="27"/>
        <v/>
      </c>
      <c r="R342" s="45" t="str">
        <f t="shared" si="28"/>
        <v/>
      </c>
      <c r="S342" s="45" t="str" cm="1">
        <f t="array" ref="S342">IFERROR([1]!FeetConvert(R342),"")</f>
        <v/>
      </c>
      <c r="T342" s="45" t="str">
        <f t="shared" si="29"/>
        <v/>
      </c>
    </row>
    <row r="343" spans="4:20" x14ac:dyDescent="0.7">
      <c r="D343" s="47" t="str" cm="1">
        <f t="array" ref="D343">IFERROR([2]!CalculateHyphenString(C343),"")</f>
        <v/>
      </c>
      <c r="M343" s="45" t="str">
        <f t="shared" si="25"/>
        <v/>
      </c>
      <c r="N343" s="1" t="s">
        <v>39</v>
      </c>
      <c r="O343" s="45" t="str">
        <f t="shared" si="26"/>
        <v/>
      </c>
      <c r="P343" s="45" t="str">
        <f t="shared" si="27"/>
        <v/>
      </c>
      <c r="R343" s="45" t="str">
        <f t="shared" si="28"/>
        <v/>
      </c>
      <c r="S343" s="45" t="str" cm="1">
        <f t="array" ref="S343">IFERROR([1]!FeetConvert(R343),"")</f>
        <v/>
      </c>
      <c r="T343" s="45" t="str">
        <f t="shared" si="29"/>
        <v/>
      </c>
    </row>
    <row r="344" spans="4:20" x14ac:dyDescent="0.7">
      <c r="D344" s="47" t="str" cm="1">
        <f t="array" ref="D344">IFERROR([2]!CalculateHyphenString(C344),"")</f>
        <v/>
      </c>
      <c r="M344" s="45" t="str">
        <f t="shared" si="25"/>
        <v/>
      </c>
      <c r="N344" s="1" t="s">
        <v>39</v>
      </c>
      <c r="O344" s="45" t="str">
        <f t="shared" si="26"/>
        <v/>
      </c>
      <c r="P344" s="45" t="str">
        <f t="shared" si="27"/>
        <v/>
      </c>
      <c r="R344" s="45" t="str">
        <f t="shared" si="28"/>
        <v/>
      </c>
      <c r="S344" s="45" t="str" cm="1">
        <f t="array" ref="S344">IFERROR([1]!FeetConvert(R344),"")</f>
        <v/>
      </c>
      <c r="T344" s="45" t="str">
        <f t="shared" si="29"/>
        <v/>
      </c>
    </row>
    <row r="345" spans="4:20" x14ac:dyDescent="0.7">
      <c r="D345" s="47" t="str" cm="1">
        <f t="array" ref="D345">IFERROR([2]!CalculateHyphenString(C345),"")</f>
        <v/>
      </c>
      <c r="M345" s="45" t="str">
        <f t="shared" si="25"/>
        <v/>
      </c>
      <c r="N345" s="1" t="s">
        <v>39</v>
      </c>
      <c r="O345" s="45" t="str">
        <f t="shared" si="26"/>
        <v/>
      </c>
      <c r="P345" s="45" t="str">
        <f t="shared" si="27"/>
        <v/>
      </c>
      <c r="R345" s="45" t="str">
        <f t="shared" si="28"/>
        <v/>
      </c>
      <c r="S345" s="45" t="str" cm="1">
        <f t="array" ref="S345">IFERROR([1]!FeetConvert(R345),"")</f>
        <v/>
      </c>
      <c r="T345" s="45" t="str">
        <f t="shared" si="29"/>
        <v/>
      </c>
    </row>
    <row r="346" spans="4:20" x14ac:dyDescent="0.7">
      <c r="D346" s="47" t="str" cm="1">
        <f t="array" ref="D346">IFERROR([2]!CalculateHyphenString(C346),"")</f>
        <v/>
      </c>
      <c r="M346" s="45" t="str">
        <f t="shared" si="25"/>
        <v/>
      </c>
      <c r="N346" s="1" t="s">
        <v>39</v>
      </c>
      <c r="O346" s="45" t="str">
        <f t="shared" si="26"/>
        <v/>
      </c>
      <c r="P346" s="45" t="str">
        <f t="shared" si="27"/>
        <v/>
      </c>
      <c r="R346" s="45" t="str">
        <f t="shared" si="28"/>
        <v/>
      </c>
      <c r="S346" s="45" t="str" cm="1">
        <f t="array" ref="S346">IFERROR([1]!FeetConvert(R346),"")</f>
        <v/>
      </c>
      <c r="T346" s="45" t="str">
        <f t="shared" si="29"/>
        <v/>
      </c>
    </row>
    <row r="347" spans="4:20" x14ac:dyDescent="0.7">
      <c r="D347" s="47" t="str" cm="1">
        <f t="array" ref="D347">IFERROR([2]!CalculateHyphenString(C347),"")</f>
        <v/>
      </c>
      <c r="M347" s="45" t="str">
        <f t="shared" si="25"/>
        <v/>
      </c>
      <c r="N347" s="1" t="s">
        <v>39</v>
      </c>
      <c r="O347" s="45" t="str">
        <f t="shared" si="26"/>
        <v/>
      </c>
      <c r="P347" s="45" t="str">
        <f t="shared" si="27"/>
        <v/>
      </c>
      <c r="R347" s="45" t="str">
        <f t="shared" si="28"/>
        <v/>
      </c>
      <c r="S347" s="45" t="str" cm="1">
        <f t="array" ref="S347">IFERROR([1]!FeetConvert(R347),"")</f>
        <v/>
      </c>
      <c r="T347" s="45" t="str">
        <f t="shared" si="29"/>
        <v/>
      </c>
    </row>
    <row r="348" spans="4:20" x14ac:dyDescent="0.7">
      <c r="D348" s="47" t="str" cm="1">
        <f t="array" ref="D348">IFERROR([2]!CalculateHyphenString(C348),"")</f>
        <v/>
      </c>
      <c r="M348" s="45" t="str">
        <f t="shared" si="25"/>
        <v/>
      </c>
      <c r="N348" s="1" t="s">
        <v>39</v>
      </c>
      <c r="O348" s="45" t="str">
        <f t="shared" si="26"/>
        <v/>
      </c>
      <c r="P348" s="45" t="str">
        <f t="shared" si="27"/>
        <v/>
      </c>
      <c r="R348" s="45" t="str">
        <f t="shared" si="28"/>
        <v/>
      </c>
      <c r="S348" s="45" t="str" cm="1">
        <f t="array" ref="S348">IFERROR([1]!FeetConvert(R348),"")</f>
        <v/>
      </c>
      <c r="T348" s="45" t="str">
        <f t="shared" si="29"/>
        <v/>
      </c>
    </row>
    <row r="349" spans="4:20" x14ac:dyDescent="0.7">
      <c r="D349" s="47" t="str" cm="1">
        <f t="array" ref="D349">IFERROR([2]!CalculateHyphenString(C349),"")</f>
        <v/>
      </c>
      <c r="M349" s="45" t="str">
        <f t="shared" si="25"/>
        <v/>
      </c>
      <c r="N349" s="1" t="s">
        <v>39</v>
      </c>
      <c r="O349" s="45" t="str">
        <f t="shared" si="26"/>
        <v/>
      </c>
      <c r="P349" s="45" t="str">
        <f t="shared" si="27"/>
        <v/>
      </c>
      <c r="R349" s="45" t="str">
        <f t="shared" si="28"/>
        <v/>
      </c>
      <c r="S349" s="45" t="str" cm="1">
        <f t="array" ref="S349">IFERROR([1]!FeetConvert(R349),"")</f>
        <v/>
      </c>
      <c r="T349" s="45" t="str">
        <f t="shared" si="29"/>
        <v/>
      </c>
    </row>
    <row r="350" spans="4:20" x14ac:dyDescent="0.7">
      <c r="D350" s="47" t="str" cm="1">
        <f t="array" ref="D350">IFERROR([2]!CalculateHyphenString(C350),"")</f>
        <v/>
      </c>
      <c r="M350" s="45" t="str">
        <f t="shared" si="25"/>
        <v/>
      </c>
      <c r="N350" s="1" t="s">
        <v>39</v>
      </c>
      <c r="O350" s="45" t="str">
        <f t="shared" si="26"/>
        <v/>
      </c>
      <c r="P350" s="45" t="str">
        <f t="shared" si="27"/>
        <v/>
      </c>
      <c r="R350" s="45" t="str">
        <f t="shared" si="28"/>
        <v/>
      </c>
      <c r="S350" s="45" t="str" cm="1">
        <f t="array" ref="S350">IFERROR([1]!FeetConvert(R350),"")</f>
        <v/>
      </c>
      <c r="T350" s="45" t="str">
        <f t="shared" si="29"/>
        <v/>
      </c>
    </row>
    <row r="351" spans="4:20" x14ac:dyDescent="0.7">
      <c r="D351" s="47" t="str" cm="1">
        <f t="array" ref="D351">IFERROR([2]!CalculateHyphenString(C351),"")</f>
        <v/>
      </c>
      <c r="M351" s="45" t="str">
        <f t="shared" si="25"/>
        <v/>
      </c>
      <c r="N351" s="1" t="s">
        <v>39</v>
      </c>
      <c r="O351" s="45" t="str">
        <f t="shared" si="26"/>
        <v/>
      </c>
      <c r="P351" s="45" t="str">
        <f t="shared" si="27"/>
        <v/>
      </c>
      <c r="R351" s="45" t="str">
        <f t="shared" si="28"/>
        <v/>
      </c>
      <c r="S351" s="45" t="str" cm="1">
        <f t="array" ref="S351">IFERROR([1]!FeetConvert(R351),"")</f>
        <v/>
      </c>
      <c r="T351" s="45" t="str">
        <f t="shared" si="29"/>
        <v/>
      </c>
    </row>
    <row r="352" spans="4:20" x14ac:dyDescent="0.7">
      <c r="D352" s="47" t="str" cm="1">
        <f t="array" ref="D352">IFERROR([2]!CalculateHyphenString(C352),"")</f>
        <v/>
      </c>
      <c r="M352" s="45" t="str">
        <f t="shared" si="25"/>
        <v/>
      </c>
      <c r="N352" s="1" t="s">
        <v>39</v>
      </c>
      <c r="O352" s="45" t="str">
        <f t="shared" si="26"/>
        <v/>
      </c>
      <c r="P352" s="45" t="str">
        <f t="shared" si="27"/>
        <v/>
      </c>
      <c r="R352" s="45" t="str">
        <f t="shared" si="28"/>
        <v/>
      </c>
      <c r="S352" s="45" t="str" cm="1">
        <f t="array" ref="S352">IFERROR([1]!FeetConvert(R352),"")</f>
        <v/>
      </c>
      <c r="T352" s="45" t="str">
        <f t="shared" si="29"/>
        <v/>
      </c>
    </row>
    <row r="353" spans="4:20" x14ac:dyDescent="0.7">
      <c r="D353" s="47" t="str" cm="1">
        <f t="array" ref="D353">IFERROR([2]!CalculateHyphenString(C353),"")</f>
        <v/>
      </c>
      <c r="M353" s="45" t="str">
        <f t="shared" si="25"/>
        <v/>
      </c>
      <c r="N353" s="1" t="s">
        <v>39</v>
      </c>
      <c r="O353" s="45" t="str">
        <f t="shared" si="26"/>
        <v/>
      </c>
      <c r="P353" s="45" t="str">
        <f t="shared" si="27"/>
        <v/>
      </c>
      <c r="R353" s="45" t="str">
        <f t="shared" si="28"/>
        <v/>
      </c>
      <c r="S353" s="45" t="str" cm="1">
        <f t="array" ref="S353">IFERROR([1]!FeetConvert(R353),"")</f>
        <v/>
      </c>
      <c r="T353" s="45" t="str">
        <f t="shared" si="29"/>
        <v/>
      </c>
    </row>
    <row r="354" spans="4:20" x14ac:dyDescent="0.7">
      <c r="D354" s="47" t="str" cm="1">
        <f t="array" ref="D354">IFERROR([2]!CalculateHyphenString(C354),"")</f>
        <v/>
      </c>
      <c r="M354" s="45" t="str">
        <f t="shared" si="25"/>
        <v/>
      </c>
      <c r="N354" s="1" t="s">
        <v>39</v>
      </c>
      <c r="O354" s="45" t="str">
        <f t="shared" si="26"/>
        <v/>
      </c>
      <c r="P354" s="45" t="str">
        <f t="shared" si="27"/>
        <v/>
      </c>
      <c r="R354" s="45" t="str">
        <f t="shared" si="28"/>
        <v/>
      </c>
      <c r="S354" s="45" t="str" cm="1">
        <f t="array" ref="S354">IFERROR([1]!FeetConvert(R354),"")</f>
        <v/>
      </c>
      <c r="T354" s="45" t="str">
        <f t="shared" si="29"/>
        <v/>
      </c>
    </row>
    <row r="355" spans="4:20" x14ac:dyDescent="0.7">
      <c r="D355" s="47" t="str" cm="1">
        <f t="array" ref="D355">IFERROR([2]!CalculateHyphenString(C355),"")</f>
        <v/>
      </c>
      <c r="M355" s="45" t="str">
        <f t="shared" si="25"/>
        <v/>
      </c>
      <c r="N355" s="1" t="s">
        <v>39</v>
      </c>
      <c r="O355" s="45" t="str">
        <f t="shared" si="26"/>
        <v/>
      </c>
      <c r="P355" s="45" t="str">
        <f t="shared" si="27"/>
        <v/>
      </c>
      <c r="R355" s="45" t="str">
        <f t="shared" si="28"/>
        <v/>
      </c>
      <c r="S355" s="45" t="str" cm="1">
        <f t="array" ref="S355">IFERROR([1]!FeetConvert(R355),"")</f>
        <v/>
      </c>
      <c r="T355" s="45" t="str">
        <f t="shared" si="29"/>
        <v/>
      </c>
    </row>
    <row r="356" spans="4:20" x14ac:dyDescent="0.7">
      <c r="D356" s="47" t="str" cm="1">
        <f t="array" ref="D356">IFERROR([2]!CalculateHyphenString(C356),"")</f>
        <v/>
      </c>
      <c r="M356" s="45" t="str">
        <f t="shared" si="25"/>
        <v/>
      </c>
      <c r="N356" s="1" t="s">
        <v>39</v>
      </c>
      <c r="O356" s="45" t="str">
        <f t="shared" si="26"/>
        <v/>
      </c>
      <c r="P356" s="45" t="str">
        <f t="shared" si="27"/>
        <v/>
      </c>
      <c r="R356" s="45" t="str">
        <f t="shared" si="28"/>
        <v/>
      </c>
      <c r="S356" s="45" t="str" cm="1">
        <f t="array" ref="S356">IFERROR([1]!FeetConvert(R356),"")</f>
        <v/>
      </c>
      <c r="T356" s="45" t="str">
        <f t="shared" si="29"/>
        <v/>
      </c>
    </row>
    <row r="357" spans="4:20" x14ac:dyDescent="0.7">
      <c r="D357" s="47" t="str" cm="1">
        <f t="array" ref="D357">IFERROR([2]!CalculateHyphenString(C357),"")</f>
        <v/>
      </c>
      <c r="M357" s="45" t="str">
        <f t="shared" si="25"/>
        <v/>
      </c>
      <c r="N357" s="1" t="s">
        <v>39</v>
      </c>
      <c r="O357" s="45" t="str">
        <f t="shared" si="26"/>
        <v/>
      </c>
      <c r="P357" s="45" t="str">
        <f t="shared" si="27"/>
        <v/>
      </c>
      <c r="R357" s="45" t="str">
        <f t="shared" si="28"/>
        <v/>
      </c>
      <c r="S357" s="45" t="str" cm="1">
        <f t="array" ref="S357">IFERROR([1]!FeetConvert(R357),"")</f>
        <v/>
      </c>
      <c r="T357" s="45" t="str">
        <f t="shared" si="29"/>
        <v/>
      </c>
    </row>
    <row r="358" spans="4:20" x14ac:dyDescent="0.7">
      <c r="D358" s="47" t="str" cm="1">
        <f t="array" ref="D358">IFERROR([2]!CalculateHyphenString(C358),"")</f>
        <v/>
      </c>
      <c r="M358" s="45" t="str">
        <f t="shared" si="25"/>
        <v/>
      </c>
      <c r="N358" s="1" t="s">
        <v>39</v>
      </c>
      <c r="O358" s="45" t="str">
        <f t="shared" si="26"/>
        <v/>
      </c>
      <c r="P358" s="45" t="str">
        <f t="shared" si="27"/>
        <v/>
      </c>
      <c r="R358" s="45" t="str">
        <f t="shared" si="28"/>
        <v/>
      </c>
      <c r="S358" s="45" t="str" cm="1">
        <f t="array" ref="S358">IFERROR([1]!FeetConvert(R358),"")</f>
        <v/>
      </c>
      <c r="T358" s="45" t="str">
        <f t="shared" si="29"/>
        <v/>
      </c>
    </row>
    <row r="359" spans="4:20" x14ac:dyDescent="0.7">
      <c r="D359" s="47" t="str" cm="1">
        <f t="array" ref="D359">IFERROR([2]!CalculateHyphenString(C359),"")</f>
        <v/>
      </c>
      <c r="M359" s="45" t="str">
        <f t="shared" si="25"/>
        <v/>
      </c>
      <c r="N359" s="1" t="s">
        <v>39</v>
      </c>
      <c r="O359" s="45" t="str">
        <f t="shared" si="26"/>
        <v/>
      </c>
      <c r="P359" s="45" t="str">
        <f t="shared" si="27"/>
        <v/>
      </c>
      <c r="R359" s="45" t="str">
        <f t="shared" si="28"/>
        <v/>
      </c>
      <c r="S359" s="45" t="str" cm="1">
        <f t="array" ref="S359">IFERROR([1]!FeetConvert(R359),"")</f>
        <v/>
      </c>
      <c r="T359" s="45" t="str">
        <f t="shared" si="29"/>
        <v/>
      </c>
    </row>
    <row r="360" spans="4:20" x14ac:dyDescent="0.7">
      <c r="D360" s="47" t="str" cm="1">
        <f t="array" ref="D360">IFERROR([2]!CalculateHyphenString(C360),"")</f>
        <v/>
      </c>
      <c r="M360" s="45" t="str">
        <f t="shared" si="25"/>
        <v/>
      </c>
      <c r="N360" s="1" t="s">
        <v>39</v>
      </c>
      <c r="O360" s="45" t="str">
        <f t="shared" si="26"/>
        <v/>
      </c>
      <c r="P360" s="45" t="str">
        <f t="shared" si="27"/>
        <v/>
      </c>
      <c r="R360" s="45" t="str">
        <f t="shared" si="28"/>
        <v/>
      </c>
      <c r="S360" s="45" t="str" cm="1">
        <f t="array" ref="S360">IFERROR([1]!FeetConvert(R360),"")</f>
        <v/>
      </c>
      <c r="T360" s="45" t="str">
        <f t="shared" si="29"/>
        <v/>
      </c>
    </row>
    <row r="361" spans="4:20" x14ac:dyDescent="0.7">
      <c r="D361" s="47" t="str" cm="1">
        <f t="array" ref="D361">IFERROR([2]!CalculateHyphenString(C361),"")</f>
        <v/>
      </c>
      <c r="M361" s="45" t="str">
        <f t="shared" si="25"/>
        <v/>
      </c>
      <c r="N361" s="1" t="s">
        <v>39</v>
      </c>
      <c r="O361" s="45" t="str">
        <f t="shared" si="26"/>
        <v/>
      </c>
      <c r="P361" s="45" t="str">
        <f t="shared" si="27"/>
        <v/>
      </c>
      <c r="R361" s="45" t="str">
        <f t="shared" si="28"/>
        <v/>
      </c>
      <c r="S361" s="45" t="str" cm="1">
        <f t="array" ref="S361">IFERROR([1]!FeetConvert(R361),"")</f>
        <v/>
      </c>
      <c r="T361" s="45" t="str">
        <f t="shared" si="29"/>
        <v/>
      </c>
    </row>
    <row r="362" spans="4:20" x14ac:dyDescent="0.7">
      <c r="D362" s="47" t="str" cm="1">
        <f t="array" ref="D362">IFERROR([2]!CalculateHyphenString(C362),"")</f>
        <v/>
      </c>
      <c r="M362" s="45" t="str">
        <f t="shared" si="25"/>
        <v/>
      </c>
      <c r="N362" s="1" t="s">
        <v>39</v>
      </c>
      <c r="O362" s="45" t="str">
        <f t="shared" si="26"/>
        <v/>
      </c>
      <c r="P362" s="45" t="str">
        <f t="shared" si="27"/>
        <v/>
      </c>
      <c r="R362" s="45" t="str">
        <f t="shared" si="28"/>
        <v/>
      </c>
      <c r="S362" s="45" t="str" cm="1">
        <f t="array" ref="S362">IFERROR([1]!FeetConvert(R362),"")</f>
        <v/>
      </c>
      <c r="T362" s="45" t="str">
        <f t="shared" si="29"/>
        <v/>
      </c>
    </row>
    <row r="363" spans="4:20" x14ac:dyDescent="0.7">
      <c r="D363" s="47" t="str" cm="1">
        <f t="array" ref="D363">IFERROR([2]!CalculateHyphenString(C363),"")</f>
        <v/>
      </c>
      <c r="M363" s="45" t="str">
        <f t="shared" si="25"/>
        <v/>
      </c>
      <c r="N363" s="1" t="s">
        <v>39</v>
      </c>
      <c r="O363" s="45" t="str">
        <f t="shared" si="26"/>
        <v/>
      </c>
      <c r="P363" s="45" t="str">
        <f t="shared" si="27"/>
        <v/>
      </c>
      <c r="R363" s="45" t="str">
        <f t="shared" si="28"/>
        <v/>
      </c>
      <c r="S363" s="45" t="str" cm="1">
        <f t="array" ref="S363">IFERROR([1]!FeetConvert(R363),"")</f>
        <v/>
      </c>
      <c r="T363" s="45" t="str">
        <f t="shared" si="29"/>
        <v/>
      </c>
    </row>
    <row r="364" spans="4:20" x14ac:dyDescent="0.7">
      <c r="D364" s="47" t="str" cm="1">
        <f t="array" ref="D364">IFERROR([2]!CalculateHyphenString(C364),"")</f>
        <v/>
      </c>
      <c r="M364" s="45" t="str">
        <f t="shared" si="25"/>
        <v/>
      </c>
      <c r="N364" s="1" t="s">
        <v>39</v>
      </c>
      <c r="O364" s="45" t="str">
        <f t="shared" si="26"/>
        <v/>
      </c>
      <c r="P364" s="45" t="str">
        <f t="shared" si="27"/>
        <v/>
      </c>
      <c r="R364" s="45" t="str">
        <f t="shared" si="28"/>
        <v/>
      </c>
      <c r="S364" s="45" t="str" cm="1">
        <f t="array" ref="S364">IFERROR([1]!FeetConvert(R364),"")</f>
        <v/>
      </c>
      <c r="T364" s="45" t="str">
        <f t="shared" si="29"/>
        <v/>
      </c>
    </row>
    <row r="365" spans="4:20" x14ac:dyDescent="0.7">
      <c r="D365" s="47" t="str" cm="1">
        <f t="array" ref="D365">IFERROR([2]!CalculateHyphenString(C365),"")</f>
        <v/>
      </c>
      <c r="M365" s="45" t="str">
        <f t="shared" si="25"/>
        <v/>
      </c>
      <c r="N365" s="1" t="s">
        <v>39</v>
      </c>
      <c r="O365" s="45" t="str">
        <f t="shared" si="26"/>
        <v/>
      </c>
      <c r="P365" s="45" t="str">
        <f t="shared" si="27"/>
        <v/>
      </c>
      <c r="R365" s="45" t="str">
        <f t="shared" si="28"/>
        <v/>
      </c>
      <c r="S365" s="45" t="str" cm="1">
        <f t="array" ref="S365">IFERROR([1]!FeetConvert(R365),"")</f>
        <v/>
      </c>
      <c r="T365" s="45" t="str">
        <f t="shared" si="29"/>
        <v/>
      </c>
    </row>
    <row r="366" spans="4:20" x14ac:dyDescent="0.7">
      <c r="D366" s="47" t="str" cm="1">
        <f t="array" ref="D366">IFERROR([2]!CalculateHyphenString(C366),"")</f>
        <v/>
      </c>
      <c r="M366" s="45" t="str">
        <f t="shared" si="25"/>
        <v/>
      </c>
      <c r="N366" s="1" t="s">
        <v>39</v>
      </c>
      <c r="O366" s="45" t="str">
        <f t="shared" si="26"/>
        <v/>
      </c>
      <c r="P366" s="45" t="str">
        <f t="shared" si="27"/>
        <v/>
      </c>
      <c r="R366" s="45" t="str">
        <f t="shared" si="28"/>
        <v/>
      </c>
      <c r="S366" s="45" t="str" cm="1">
        <f t="array" ref="S366">IFERROR([1]!FeetConvert(R366),"")</f>
        <v/>
      </c>
      <c r="T366" s="45" t="str">
        <f t="shared" si="29"/>
        <v/>
      </c>
    </row>
    <row r="367" spans="4:20" x14ac:dyDescent="0.7">
      <c r="D367" s="47" t="str" cm="1">
        <f t="array" ref="D367">IFERROR([2]!CalculateHyphenString(C367),"")</f>
        <v/>
      </c>
      <c r="M367" s="45" t="str">
        <f t="shared" si="25"/>
        <v/>
      </c>
      <c r="N367" s="1" t="s">
        <v>39</v>
      </c>
      <c r="O367" s="45" t="str">
        <f t="shared" si="26"/>
        <v/>
      </c>
      <c r="P367" s="45" t="str">
        <f t="shared" si="27"/>
        <v/>
      </c>
      <c r="R367" s="45" t="str">
        <f t="shared" si="28"/>
        <v/>
      </c>
      <c r="S367" s="45" t="str" cm="1">
        <f t="array" ref="S367">IFERROR([1]!FeetConvert(R367),"")</f>
        <v/>
      </c>
      <c r="T367" s="45" t="str">
        <f t="shared" si="29"/>
        <v/>
      </c>
    </row>
    <row r="368" spans="4:20" x14ac:dyDescent="0.7">
      <c r="D368" s="47" t="str" cm="1">
        <f t="array" ref="D368">IFERROR([2]!CalculateHyphenString(C368),"")</f>
        <v/>
      </c>
      <c r="M368" s="45" t="str">
        <f t="shared" si="25"/>
        <v/>
      </c>
      <c r="N368" s="1" t="s">
        <v>39</v>
      </c>
      <c r="O368" s="45" t="str">
        <f t="shared" si="26"/>
        <v/>
      </c>
      <c r="P368" s="45" t="str">
        <f t="shared" si="27"/>
        <v/>
      </c>
      <c r="R368" s="45" t="str">
        <f t="shared" si="28"/>
        <v/>
      </c>
      <c r="S368" s="45" t="str" cm="1">
        <f t="array" ref="S368">IFERROR([1]!FeetConvert(R368),"")</f>
        <v/>
      </c>
      <c r="T368" s="45" t="str">
        <f t="shared" si="29"/>
        <v/>
      </c>
    </row>
    <row r="369" spans="4:20" x14ac:dyDescent="0.7">
      <c r="D369" s="47" t="str" cm="1">
        <f t="array" ref="D369">IFERROR([2]!CalculateHyphenString(C369),"")</f>
        <v/>
      </c>
      <c r="M369" s="45" t="str">
        <f t="shared" si="25"/>
        <v/>
      </c>
      <c r="N369" s="1" t="s">
        <v>39</v>
      </c>
      <c r="O369" s="45" t="str">
        <f t="shared" si="26"/>
        <v/>
      </c>
      <c r="P369" s="45" t="str">
        <f t="shared" si="27"/>
        <v/>
      </c>
      <c r="R369" s="45" t="str">
        <f t="shared" si="28"/>
        <v/>
      </c>
      <c r="S369" s="45" t="str" cm="1">
        <f t="array" ref="S369">IFERROR([1]!FeetConvert(R369),"")</f>
        <v/>
      </c>
      <c r="T369" s="45" t="str">
        <f t="shared" si="29"/>
        <v/>
      </c>
    </row>
    <row r="370" spans="4:20" x14ac:dyDescent="0.7">
      <c r="D370" s="47" t="str" cm="1">
        <f t="array" ref="D370">IFERROR([2]!CalculateHyphenString(C370),"")</f>
        <v/>
      </c>
      <c r="M370" s="45" t="str">
        <f t="shared" si="25"/>
        <v/>
      </c>
      <c r="N370" s="1" t="s">
        <v>39</v>
      </c>
      <c r="O370" s="45" t="str">
        <f t="shared" si="26"/>
        <v/>
      </c>
      <c r="P370" s="45" t="str">
        <f t="shared" si="27"/>
        <v/>
      </c>
      <c r="R370" s="45" t="str">
        <f t="shared" si="28"/>
        <v/>
      </c>
      <c r="S370" s="45" t="str" cm="1">
        <f t="array" ref="S370">IFERROR([1]!FeetConvert(R370),"")</f>
        <v/>
      </c>
      <c r="T370" s="45" t="str">
        <f t="shared" si="29"/>
        <v/>
      </c>
    </row>
    <row r="371" spans="4:20" x14ac:dyDescent="0.7">
      <c r="D371" s="47" t="str" cm="1">
        <f t="array" ref="D371">IFERROR([2]!CalculateHyphenString(C371),"")</f>
        <v/>
      </c>
      <c r="M371" s="45" t="str">
        <f t="shared" si="25"/>
        <v/>
      </c>
      <c r="N371" s="1" t="s">
        <v>39</v>
      </c>
      <c r="O371" s="45" t="str">
        <f t="shared" si="26"/>
        <v/>
      </c>
      <c r="P371" s="45" t="str">
        <f t="shared" si="27"/>
        <v/>
      </c>
      <c r="R371" s="45" t="str">
        <f t="shared" si="28"/>
        <v/>
      </c>
      <c r="S371" s="45" t="str" cm="1">
        <f t="array" ref="S371">IFERROR([1]!FeetConvert(R371),"")</f>
        <v/>
      </c>
      <c r="T371" s="45" t="str">
        <f t="shared" si="29"/>
        <v/>
      </c>
    </row>
    <row r="372" spans="4:20" x14ac:dyDescent="0.7">
      <c r="D372" s="47" t="str" cm="1">
        <f t="array" ref="D372">IFERROR([2]!CalculateHyphenString(C372),"")</f>
        <v/>
      </c>
      <c r="M372" s="45" t="str">
        <f t="shared" si="25"/>
        <v/>
      </c>
      <c r="N372" s="1" t="s">
        <v>39</v>
      </c>
      <c r="O372" s="45" t="str">
        <f t="shared" si="26"/>
        <v/>
      </c>
      <c r="P372" s="45" t="str">
        <f t="shared" si="27"/>
        <v/>
      </c>
      <c r="R372" s="45" t="str">
        <f t="shared" si="28"/>
        <v/>
      </c>
      <c r="S372" s="45" t="str" cm="1">
        <f t="array" ref="S372">IFERROR([1]!FeetConvert(R372),"")</f>
        <v/>
      </c>
      <c r="T372" s="45" t="str">
        <f t="shared" si="29"/>
        <v/>
      </c>
    </row>
    <row r="373" spans="4:20" x14ac:dyDescent="0.7">
      <c r="D373" s="47" t="str" cm="1">
        <f t="array" ref="D373">IFERROR([2]!CalculateHyphenString(C373),"")</f>
        <v/>
      </c>
      <c r="M373" s="45" t="str">
        <f t="shared" si="25"/>
        <v/>
      </c>
      <c r="N373" s="1" t="s">
        <v>39</v>
      </c>
      <c r="O373" s="45" t="str">
        <f t="shared" si="26"/>
        <v/>
      </c>
      <c r="P373" s="45" t="str">
        <f t="shared" si="27"/>
        <v/>
      </c>
      <c r="R373" s="45" t="str">
        <f t="shared" si="28"/>
        <v/>
      </c>
      <c r="S373" s="45" t="str" cm="1">
        <f t="array" ref="S373">IFERROR([1]!FeetConvert(R373),"")</f>
        <v/>
      </c>
      <c r="T373" s="45" t="str">
        <f t="shared" si="29"/>
        <v/>
      </c>
    </row>
    <row r="374" spans="4:20" x14ac:dyDescent="0.7">
      <c r="D374" s="47" t="str" cm="1">
        <f t="array" ref="D374">IFERROR([2]!CalculateHyphenString(C374),"")</f>
        <v/>
      </c>
      <c r="M374" s="45" t="str">
        <f t="shared" si="25"/>
        <v/>
      </c>
      <c r="N374" s="1" t="s">
        <v>39</v>
      </c>
      <c r="O374" s="45" t="str">
        <f t="shared" si="26"/>
        <v/>
      </c>
      <c r="P374" s="45" t="str">
        <f t="shared" si="27"/>
        <v/>
      </c>
      <c r="R374" s="45" t="str">
        <f t="shared" si="28"/>
        <v/>
      </c>
      <c r="S374" s="45" t="str" cm="1">
        <f t="array" ref="S374">IFERROR([1]!FeetConvert(R374),"")</f>
        <v/>
      </c>
      <c r="T374" s="45" t="str">
        <f t="shared" si="29"/>
        <v/>
      </c>
    </row>
    <row r="375" spans="4:20" x14ac:dyDescent="0.7">
      <c r="D375" s="47" t="str" cm="1">
        <f t="array" ref="D375">IFERROR([2]!CalculateHyphenString(C375),"")</f>
        <v/>
      </c>
      <c r="M375" s="45" t="str">
        <f t="shared" si="25"/>
        <v/>
      </c>
      <c r="N375" s="1" t="s">
        <v>39</v>
      </c>
      <c r="O375" s="45" t="str">
        <f t="shared" si="26"/>
        <v/>
      </c>
      <c r="P375" s="45" t="str">
        <f t="shared" si="27"/>
        <v/>
      </c>
      <c r="R375" s="45" t="str">
        <f t="shared" si="28"/>
        <v/>
      </c>
      <c r="S375" s="45" t="str" cm="1">
        <f t="array" ref="S375">IFERROR([1]!FeetConvert(R375),"")</f>
        <v/>
      </c>
      <c r="T375" s="45" t="str">
        <f t="shared" si="29"/>
        <v/>
      </c>
    </row>
    <row r="376" spans="4:20" x14ac:dyDescent="0.7">
      <c r="D376" s="47" t="str" cm="1">
        <f t="array" ref="D376">IFERROR([2]!CalculateHyphenString(C376),"")</f>
        <v/>
      </c>
      <c r="M376" s="45" t="str">
        <f t="shared" si="25"/>
        <v/>
      </c>
      <c r="N376" s="1" t="s">
        <v>39</v>
      </c>
      <c r="O376" s="45" t="str">
        <f t="shared" si="26"/>
        <v/>
      </c>
      <c r="P376" s="45" t="str">
        <f t="shared" si="27"/>
        <v/>
      </c>
      <c r="R376" s="45" t="str">
        <f t="shared" si="28"/>
        <v/>
      </c>
      <c r="S376" s="45" t="str" cm="1">
        <f t="array" ref="S376">IFERROR([1]!FeetConvert(R376),"")</f>
        <v/>
      </c>
      <c r="T376" s="45" t="str">
        <f t="shared" si="29"/>
        <v/>
      </c>
    </row>
    <row r="377" spans="4:20" x14ac:dyDescent="0.7">
      <c r="D377" s="47" t="str" cm="1">
        <f t="array" ref="D377">IFERROR([2]!CalculateHyphenString(C377),"")</f>
        <v/>
      </c>
      <c r="M377" s="45" t="str">
        <f t="shared" si="25"/>
        <v/>
      </c>
      <c r="N377" s="1" t="s">
        <v>39</v>
      </c>
      <c r="O377" s="45" t="str">
        <f t="shared" si="26"/>
        <v/>
      </c>
      <c r="P377" s="45" t="str">
        <f t="shared" si="27"/>
        <v/>
      </c>
      <c r="R377" s="45" t="str">
        <f t="shared" si="28"/>
        <v/>
      </c>
      <c r="S377" s="45" t="str" cm="1">
        <f t="array" ref="S377">IFERROR([1]!FeetConvert(R377),"")</f>
        <v/>
      </c>
      <c r="T377" s="45" t="str">
        <f t="shared" si="29"/>
        <v/>
      </c>
    </row>
    <row r="378" spans="4:20" x14ac:dyDescent="0.7">
      <c r="D378" s="47" t="str" cm="1">
        <f t="array" ref="D378">IFERROR([2]!CalculateHyphenString(C378),"")</f>
        <v/>
      </c>
      <c r="M378" s="45" t="str">
        <f t="shared" si="25"/>
        <v/>
      </c>
      <c r="N378" s="1" t="s">
        <v>39</v>
      </c>
      <c r="O378" s="45" t="str">
        <f t="shared" si="26"/>
        <v/>
      </c>
      <c r="P378" s="45" t="str">
        <f t="shared" si="27"/>
        <v/>
      </c>
      <c r="R378" s="45" t="str">
        <f t="shared" si="28"/>
        <v/>
      </c>
      <c r="S378" s="45" t="str" cm="1">
        <f t="array" ref="S378">IFERROR([1]!FeetConvert(R378),"")</f>
        <v/>
      </c>
      <c r="T378" s="45" t="str">
        <f t="shared" si="29"/>
        <v/>
      </c>
    </row>
    <row r="379" spans="4:20" x14ac:dyDescent="0.7">
      <c r="D379" s="47" t="str" cm="1">
        <f t="array" ref="D379">IFERROR([2]!CalculateHyphenString(C379),"")</f>
        <v/>
      </c>
      <c r="M379" s="45" t="str">
        <f t="shared" si="25"/>
        <v/>
      </c>
      <c r="N379" s="1" t="s">
        <v>39</v>
      </c>
      <c r="O379" s="45" t="str">
        <f t="shared" si="26"/>
        <v/>
      </c>
      <c r="P379" s="45" t="str">
        <f t="shared" si="27"/>
        <v/>
      </c>
      <c r="R379" s="45" t="str">
        <f t="shared" si="28"/>
        <v/>
      </c>
      <c r="S379" s="45" t="str" cm="1">
        <f t="array" ref="S379">IFERROR([1]!FeetConvert(R379),"")</f>
        <v/>
      </c>
      <c r="T379" s="45" t="str">
        <f t="shared" si="29"/>
        <v/>
      </c>
    </row>
    <row r="380" spans="4:20" x14ac:dyDescent="0.7">
      <c r="D380" s="47" t="str" cm="1">
        <f t="array" ref="D380">IFERROR([2]!CalculateHyphenString(C380),"")</f>
        <v/>
      </c>
      <c r="M380" s="45" t="str">
        <f t="shared" si="25"/>
        <v/>
      </c>
      <c r="N380" s="1" t="s">
        <v>39</v>
      </c>
      <c r="O380" s="45" t="str">
        <f t="shared" si="26"/>
        <v/>
      </c>
      <c r="P380" s="45" t="str">
        <f t="shared" si="27"/>
        <v/>
      </c>
      <c r="R380" s="45" t="str">
        <f t="shared" si="28"/>
        <v/>
      </c>
      <c r="S380" s="45" t="str" cm="1">
        <f t="array" ref="S380">IFERROR([1]!FeetConvert(R380),"")</f>
        <v/>
      </c>
      <c r="T380" s="45" t="str">
        <f t="shared" si="29"/>
        <v/>
      </c>
    </row>
    <row r="381" spans="4:20" x14ac:dyDescent="0.7">
      <c r="D381" s="47" t="str" cm="1">
        <f t="array" ref="D381">IFERROR([2]!CalculateHyphenString(C381),"")</f>
        <v/>
      </c>
      <c r="M381" s="45" t="str">
        <f t="shared" si="25"/>
        <v/>
      </c>
      <c r="N381" s="1" t="s">
        <v>39</v>
      </c>
      <c r="O381" s="45" t="str">
        <f t="shared" si="26"/>
        <v/>
      </c>
      <c r="P381" s="45" t="str">
        <f t="shared" si="27"/>
        <v/>
      </c>
      <c r="R381" s="45" t="str">
        <f t="shared" si="28"/>
        <v/>
      </c>
      <c r="S381" s="45" t="str" cm="1">
        <f t="array" ref="S381">IFERROR([1]!FeetConvert(R381),"")</f>
        <v/>
      </c>
      <c r="T381" s="45" t="str">
        <f t="shared" si="29"/>
        <v/>
      </c>
    </row>
    <row r="382" spans="4:20" x14ac:dyDescent="0.7">
      <c r="D382" s="47" t="str" cm="1">
        <f t="array" ref="D382">IFERROR([2]!CalculateHyphenString(C382),"")</f>
        <v/>
      </c>
      <c r="M382" s="45" t="str">
        <f t="shared" si="25"/>
        <v/>
      </c>
      <c r="N382" s="1" t="s">
        <v>39</v>
      </c>
      <c r="O382" s="45" t="str">
        <f t="shared" si="26"/>
        <v/>
      </c>
      <c r="P382" s="45" t="str">
        <f t="shared" si="27"/>
        <v/>
      </c>
      <c r="R382" s="45" t="str">
        <f t="shared" si="28"/>
        <v/>
      </c>
      <c r="S382" s="45" t="str" cm="1">
        <f t="array" ref="S382">IFERROR([1]!FeetConvert(R382),"")</f>
        <v/>
      </c>
      <c r="T382" s="45" t="str">
        <f t="shared" si="29"/>
        <v/>
      </c>
    </row>
    <row r="383" spans="4:20" x14ac:dyDescent="0.7">
      <c r="D383" s="47" t="str" cm="1">
        <f t="array" ref="D383">IFERROR([2]!CalculateHyphenString(C383),"")</f>
        <v/>
      </c>
      <c r="M383" s="45" t="str">
        <f t="shared" si="25"/>
        <v/>
      </c>
      <c r="N383" s="1" t="s">
        <v>39</v>
      </c>
      <c r="O383" s="45" t="str">
        <f t="shared" si="26"/>
        <v/>
      </c>
      <c r="P383" s="45" t="str">
        <f t="shared" si="27"/>
        <v/>
      </c>
      <c r="R383" s="45" t="str">
        <f t="shared" si="28"/>
        <v/>
      </c>
      <c r="S383" s="45" t="str" cm="1">
        <f t="array" ref="S383">IFERROR([1]!FeetConvert(R383),"")</f>
        <v/>
      </c>
      <c r="T383" s="45" t="str">
        <f t="shared" si="29"/>
        <v/>
      </c>
    </row>
    <row r="384" spans="4:20" x14ac:dyDescent="0.7">
      <c r="D384" s="47" t="str" cm="1">
        <f t="array" ref="D384">IFERROR([2]!CalculateHyphenString(C384),"")</f>
        <v/>
      </c>
      <c r="M384" s="45" t="str">
        <f t="shared" si="25"/>
        <v/>
      </c>
      <c r="N384" s="1" t="s">
        <v>39</v>
      </c>
      <c r="O384" s="45" t="str">
        <f t="shared" si="26"/>
        <v/>
      </c>
      <c r="P384" s="45" t="str">
        <f t="shared" si="27"/>
        <v/>
      </c>
      <c r="R384" s="45" t="str">
        <f t="shared" si="28"/>
        <v/>
      </c>
      <c r="S384" s="45" t="str" cm="1">
        <f t="array" ref="S384">IFERROR([1]!FeetConvert(R384),"")</f>
        <v/>
      </c>
      <c r="T384" s="45" t="str">
        <f t="shared" si="29"/>
        <v/>
      </c>
    </row>
    <row r="385" spans="4:20" x14ac:dyDescent="0.7">
      <c r="D385" s="47" t="str" cm="1">
        <f t="array" ref="D385">IFERROR([2]!CalculateHyphenString(C385),"")</f>
        <v/>
      </c>
      <c r="M385" s="45" t="str">
        <f t="shared" si="25"/>
        <v/>
      </c>
      <c r="N385" s="1" t="s">
        <v>39</v>
      </c>
      <c r="O385" s="45" t="str">
        <f t="shared" si="26"/>
        <v/>
      </c>
      <c r="P385" s="45" t="str">
        <f t="shared" si="27"/>
        <v/>
      </c>
      <c r="R385" s="45" t="str">
        <f t="shared" si="28"/>
        <v/>
      </c>
      <c r="S385" s="45" t="str" cm="1">
        <f t="array" ref="S385">IFERROR([1]!FeetConvert(R385),"")</f>
        <v/>
      </c>
      <c r="T385" s="45" t="str">
        <f t="shared" si="29"/>
        <v/>
      </c>
    </row>
    <row r="386" spans="4:20" x14ac:dyDescent="0.7">
      <c r="D386" s="47" t="str" cm="1">
        <f t="array" ref="D386">IFERROR([2]!CalculateHyphenString(C386),"")</f>
        <v/>
      </c>
      <c r="M386" s="45" t="str">
        <f t="shared" si="25"/>
        <v/>
      </c>
      <c r="N386" s="1" t="s">
        <v>39</v>
      </c>
      <c r="O386" s="45" t="str">
        <f t="shared" si="26"/>
        <v/>
      </c>
      <c r="P386" s="45" t="str">
        <f t="shared" si="27"/>
        <v/>
      </c>
      <c r="R386" s="45" t="str">
        <f t="shared" si="28"/>
        <v/>
      </c>
      <c r="S386" s="45" t="str" cm="1">
        <f t="array" ref="S386">IFERROR([1]!FeetConvert(R386),"")</f>
        <v/>
      </c>
      <c r="T386" s="45" t="str">
        <f t="shared" si="29"/>
        <v/>
      </c>
    </row>
    <row r="387" spans="4:20" x14ac:dyDescent="0.7">
      <c r="D387" s="47" t="str" cm="1">
        <f t="array" ref="D387">IFERROR([2]!CalculateHyphenString(C387),"")</f>
        <v/>
      </c>
      <c r="M387" s="45" t="str">
        <f t="shared" si="25"/>
        <v/>
      </c>
      <c r="N387" s="1" t="s">
        <v>39</v>
      </c>
      <c r="O387" s="45" t="str">
        <f t="shared" si="26"/>
        <v/>
      </c>
      <c r="P387" s="45" t="str">
        <f t="shared" si="27"/>
        <v/>
      </c>
      <c r="R387" s="45" t="str">
        <f t="shared" si="28"/>
        <v/>
      </c>
      <c r="S387" s="45" t="str" cm="1">
        <f t="array" ref="S387">IFERROR([1]!FeetConvert(R387),"")</f>
        <v/>
      </c>
      <c r="T387" s="45" t="str">
        <f t="shared" si="29"/>
        <v/>
      </c>
    </row>
    <row r="388" spans="4:20" x14ac:dyDescent="0.7">
      <c r="D388" s="47" t="str" cm="1">
        <f t="array" ref="D388">IFERROR([2]!CalculateHyphenString(C388),"")</f>
        <v/>
      </c>
      <c r="M388" s="45" t="str">
        <f t="shared" si="25"/>
        <v/>
      </c>
      <c r="N388" s="1" t="s">
        <v>39</v>
      </c>
      <c r="O388" s="45" t="str">
        <f t="shared" si="26"/>
        <v/>
      </c>
      <c r="P388" s="45" t="str">
        <f t="shared" si="27"/>
        <v/>
      </c>
      <c r="R388" s="45" t="str">
        <f t="shared" si="28"/>
        <v/>
      </c>
      <c r="S388" s="45" t="str" cm="1">
        <f t="array" ref="S388">IFERROR([1]!FeetConvert(R388),"")</f>
        <v/>
      </c>
      <c r="T388" s="45" t="str">
        <f t="shared" si="29"/>
        <v/>
      </c>
    </row>
    <row r="389" spans="4:20" x14ac:dyDescent="0.7">
      <c r="D389" s="47" t="str" cm="1">
        <f t="array" ref="D389">IFERROR([2]!CalculateHyphenString(C389),"")</f>
        <v/>
      </c>
      <c r="M389" s="45" t="str">
        <f t="shared" ref="M389:M452" si="30">IFERROR(K389*$E$2/L389,"")</f>
        <v/>
      </c>
      <c r="N389" s="1" t="s">
        <v>39</v>
      </c>
      <c r="O389" s="45" t="str">
        <f t="shared" ref="O389:O452" si="31">IFERROR(IF(ISBLANK(N389),"",N389*$G$2/100),"")</f>
        <v/>
      </c>
      <c r="P389" s="45" t="str">
        <f t="shared" ref="P389:P452" si="32">IFERROR(N389-O389,"")</f>
        <v/>
      </c>
      <c r="R389" s="45" t="str">
        <f t="shared" ref="R389:R452" si="33">IFERROR(P389-Q389,"")</f>
        <v/>
      </c>
      <c r="S389" s="45" t="str" cm="1">
        <f t="array" ref="S389">IFERROR([1]!FeetConvert(R389),"")</f>
        <v/>
      </c>
      <c r="T389" s="45" t="str">
        <f t="shared" ref="T389:T452" si="34">IFERROR(ROUND(R389,0),"")</f>
        <v/>
      </c>
    </row>
    <row r="390" spans="4:20" x14ac:dyDescent="0.7">
      <c r="D390" s="47" t="str" cm="1">
        <f t="array" ref="D390">IFERROR([2]!CalculateHyphenString(C390),"")</f>
        <v/>
      </c>
      <c r="M390" s="45" t="str">
        <f t="shared" si="30"/>
        <v/>
      </c>
      <c r="N390" s="1" t="s">
        <v>39</v>
      </c>
      <c r="O390" s="45" t="str">
        <f t="shared" si="31"/>
        <v/>
      </c>
      <c r="P390" s="45" t="str">
        <f t="shared" si="32"/>
        <v/>
      </c>
      <c r="R390" s="45" t="str">
        <f t="shared" si="33"/>
        <v/>
      </c>
      <c r="S390" s="45" t="str" cm="1">
        <f t="array" ref="S390">IFERROR([1]!FeetConvert(R390),"")</f>
        <v/>
      </c>
      <c r="T390" s="45" t="str">
        <f t="shared" si="34"/>
        <v/>
      </c>
    </row>
    <row r="391" spans="4:20" x14ac:dyDescent="0.7">
      <c r="D391" s="47" t="str" cm="1">
        <f t="array" ref="D391">IFERROR([2]!CalculateHyphenString(C391),"")</f>
        <v/>
      </c>
      <c r="M391" s="45" t="str">
        <f t="shared" si="30"/>
        <v/>
      </c>
      <c r="N391" s="1" t="s">
        <v>39</v>
      </c>
      <c r="O391" s="45" t="str">
        <f t="shared" si="31"/>
        <v/>
      </c>
      <c r="P391" s="45" t="str">
        <f t="shared" si="32"/>
        <v/>
      </c>
      <c r="R391" s="45" t="str">
        <f t="shared" si="33"/>
        <v/>
      </c>
      <c r="S391" s="45" t="str" cm="1">
        <f t="array" ref="S391">IFERROR([1]!FeetConvert(R391),"")</f>
        <v/>
      </c>
      <c r="T391" s="45" t="str">
        <f t="shared" si="34"/>
        <v/>
      </c>
    </row>
    <row r="392" spans="4:20" x14ac:dyDescent="0.7">
      <c r="D392" s="47" t="str" cm="1">
        <f t="array" ref="D392">IFERROR([2]!CalculateHyphenString(C392),"")</f>
        <v/>
      </c>
      <c r="M392" s="45" t="str">
        <f t="shared" si="30"/>
        <v/>
      </c>
      <c r="N392" s="1" t="s">
        <v>39</v>
      </c>
      <c r="O392" s="45" t="str">
        <f t="shared" si="31"/>
        <v/>
      </c>
      <c r="P392" s="45" t="str">
        <f t="shared" si="32"/>
        <v/>
      </c>
      <c r="R392" s="45" t="str">
        <f t="shared" si="33"/>
        <v/>
      </c>
      <c r="S392" s="45" t="str" cm="1">
        <f t="array" ref="S392">IFERROR([1]!FeetConvert(R392),"")</f>
        <v/>
      </c>
      <c r="T392" s="45" t="str">
        <f t="shared" si="34"/>
        <v/>
      </c>
    </row>
    <row r="393" spans="4:20" x14ac:dyDescent="0.7">
      <c r="D393" s="47" t="str" cm="1">
        <f t="array" ref="D393">IFERROR([2]!CalculateHyphenString(C393),"")</f>
        <v/>
      </c>
      <c r="M393" s="45" t="str">
        <f t="shared" si="30"/>
        <v/>
      </c>
      <c r="N393" s="1" t="s">
        <v>39</v>
      </c>
      <c r="O393" s="45" t="str">
        <f t="shared" si="31"/>
        <v/>
      </c>
      <c r="P393" s="45" t="str">
        <f t="shared" si="32"/>
        <v/>
      </c>
      <c r="R393" s="45" t="str">
        <f t="shared" si="33"/>
        <v/>
      </c>
      <c r="S393" s="45" t="str" cm="1">
        <f t="array" ref="S393">IFERROR([1]!FeetConvert(R393),"")</f>
        <v/>
      </c>
      <c r="T393" s="45" t="str">
        <f t="shared" si="34"/>
        <v/>
      </c>
    </row>
    <row r="394" spans="4:20" x14ac:dyDescent="0.7">
      <c r="D394" s="47" t="str" cm="1">
        <f t="array" ref="D394">IFERROR([2]!CalculateHyphenString(C394),"")</f>
        <v/>
      </c>
      <c r="M394" s="45" t="str">
        <f t="shared" si="30"/>
        <v/>
      </c>
      <c r="N394" s="1" t="s">
        <v>39</v>
      </c>
      <c r="O394" s="45" t="str">
        <f t="shared" si="31"/>
        <v/>
      </c>
      <c r="P394" s="45" t="str">
        <f t="shared" si="32"/>
        <v/>
      </c>
      <c r="R394" s="45" t="str">
        <f t="shared" si="33"/>
        <v/>
      </c>
      <c r="S394" s="45" t="str" cm="1">
        <f t="array" ref="S394">IFERROR([1]!FeetConvert(R394),"")</f>
        <v/>
      </c>
      <c r="T394" s="45" t="str">
        <f t="shared" si="34"/>
        <v/>
      </c>
    </row>
    <row r="395" spans="4:20" x14ac:dyDescent="0.7">
      <c r="D395" s="47" t="str" cm="1">
        <f t="array" ref="D395">IFERROR([2]!CalculateHyphenString(C395),"")</f>
        <v/>
      </c>
      <c r="M395" s="45" t="str">
        <f t="shared" si="30"/>
        <v/>
      </c>
      <c r="N395" s="1" t="s">
        <v>39</v>
      </c>
      <c r="O395" s="45" t="str">
        <f t="shared" si="31"/>
        <v/>
      </c>
      <c r="P395" s="45" t="str">
        <f t="shared" si="32"/>
        <v/>
      </c>
      <c r="R395" s="45" t="str">
        <f t="shared" si="33"/>
        <v/>
      </c>
      <c r="S395" s="45" t="str" cm="1">
        <f t="array" ref="S395">IFERROR([1]!FeetConvert(R395),"")</f>
        <v/>
      </c>
      <c r="T395" s="45" t="str">
        <f t="shared" si="34"/>
        <v/>
      </c>
    </row>
    <row r="396" spans="4:20" x14ac:dyDescent="0.7">
      <c r="D396" s="47" t="str" cm="1">
        <f t="array" ref="D396">IFERROR([2]!CalculateHyphenString(C396),"")</f>
        <v/>
      </c>
      <c r="M396" s="45" t="str">
        <f t="shared" si="30"/>
        <v/>
      </c>
      <c r="N396" s="1" t="s">
        <v>39</v>
      </c>
      <c r="O396" s="45" t="str">
        <f t="shared" si="31"/>
        <v/>
      </c>
      <c r="P396" s="45" t="str">
        <f t="shared" si="32"/>
        <v/>
      </c>
      <c r="R396" s="45" t="str">
        <f t="shared" si="33"/>
        <v/>
      </c>
      <c r="S396" s="45" t="str" cm="1">
        <f t="array" ref="S396">IFERROR([1]!FeetConvert(R396),"")</f>
        <v/>
      </c>
      <c r="T396" s="45" t="str">
        <f t="shared" si="34"/>
        <v/>
      </c>
    </row>
    <row r="397" spans="4:20" x14ac:dyDescent="0.7">
      <c r="D397" s="47" t="str" cm="1">
        <f t="array" ref="D397">IFERROR([2]!CalculateHyphenString(C397),"")</f>
        <v/>
      </c>
      <c r="M397" s="45" t="str">
        <f t="shared" si="30"/>
        <v/>
      </c>
      <c r="N397" s="1" t="s">
        <v>39</v>
      </c>
      <c r="O397" s="45" t="str">
        <f t="shared" si="31"/>
        <v/>
      </c>
      <c r="P397" s="45" t="str">
        <f t="shared" si="32"/>
        <v/>
      </c>
      <c r="R397" s="45" t="str">
        <f t="shared" si="33"/>
        <v/>
      </c>
      <c r="S397" s="45" t="str" cm="1">
        <f t="array" ref="S397">IFERROR([1]!FeetConvert(R397),"")</f>
        <v/>
      </c>
      <c r="T397" s="45" t="str">
        <f t="shared" si="34"/>
        <v/>
      </c>
    </row>
    <row r="398" spans="4:20" x14ac:dyDescent="0.7">
      <c r="D398" s="47" t="str" cm="1">
        <f t="array" ref="D398">IFERROR([2]!CalculateHyphenString(C398),"")</f>
        <v/>
      </c>
      <c r="M398" s="45" t="str">
        <f t="shared" si="30"/>
        <v/>
      </c>
      <c r="N398" s="1" t="s">
        <v>39</v>
      </c>
      <c r="O398" s="45" t="str">
        <f t="shared" si="31"/>
        <v/>
      </c>
      <c r="P398" s="45" t="str">
        <f t="shared" si="32"/>
        <v/>
      </c>
      <c r="R398" s="45" t="str">
        <f t="shared" si="33"/>
        <v/>
      </c>
      <c r="S398" s="45" t="str" cm="1">
        <f t="array" ref="S398">IFERROR([1]!FeetConvert(R398),"")</f>
        <v/>
      </c>
      <c r="T398" s="45" t="str">
        <f t="shared" si="34"/>
        <v/>
      </c>
    </row>
    <row r="399" spans="4:20" x14ac:dyDescent="0.7">
      <c r="D399" s="47" t="str" cm="1">
        <f t="array" ref="D399">IFERROR([2]!CalculateHyphenString(C399),"")</f>
        <v/>
      </c>
      <c r="M399" s="45" t="str">
        <f t="shared" si="30"/>
        <v/>
      </c>
      <c r="N399" s="1" t="s">
        <v>39</v>
      </c>
      <c r="O399" s="45" t="str">
        <f t="shared" si="31"/>
        <v/>
      </c>
      <c r="P399" s="45" t="str">
        <f t="shared" si="32"/>
        <v/>
      </c>
      <c r="R399" s="45" t="str">
        <f t="shared" si="33"/>
        <v/>
      </c>
      <c r="S399" s="45" t="str" cm="1">
        <f t="array" ref="S399">IFERROR([1]!FeetConvert(R399),"")</f>
        <v/>
      </c>
      <c r="T399" s="45" t="str">
        <f t="shared" si="34"/>
        <v/>
      </c>
    </row>
    <row r="400" spans="4:20" x14ac:dyDescent="0.7">
      <c r="D400" s="47" t="str" cm="1">
        <f t="array" ref="D400">IFERROR([2]!CalculateHyphenString(C400),"")</f>
        <v/>
      </c>
      <c r="M400" s="45" t="str">
        <f t="shared" si="30"/>
        <v/>
      </c>
      <c r="N400" s="1" t="s">
        <v>39</v>
      </c>
      <c r="O400" s="45" t="str">
        <f t="shared" si="31"/>
        <v/>
      </c>
      <c r="P400" s="45" t="str">
        <f t="shared" si="32"/>
        <v/>
      </c>
      <c r="R400" s="45" t="str">
        <f t="shared" si="33"/>
        <v/>
      </c>
      <c r="S400" s="45" t="str" cm="1">
        <f t="array" ref="S400">IFERROR([1]!FeetConvert(R400),"")</f>
        <v/>
      </c>
      <c r="T400" s="45" t="str">
        <f t="shared" si="34"/>
        <v/>
      </c>
    </row>
    <row r="401" spans="4:20" x14ac:dyDescent="0.7">
      <c r="D401" s="47" t="str" cm="1">
        <f t="array" ref="D401">IFERROR([2]!CalculateHyphenString(C401),"")</f>
        <v/>
      </c>
      <c r="M401" s="45" t="str">
        <f t="shared" si="30"/>
        <v/>
      </c>
      <c r="N401" s="1" t="s">
        <v>39</v>
      </c>
      <c r="O401" s="45" t="str">
        <f t="shared" si="31"/>
        <v/>
      </c>
      <c r="P401" s="45" t="str">
        <f t="shared" si="32"/>
        <v/>
      </c>
      <c r="R401" s="45" t="str">
        <f t="shared" si="33"/>
        <v/>
      </c>
      <c r="S401" s="45" t="str" cm="1">
        <f t="array" ref="S401">IFERROR([1]!FeetConvert(R401),"")</f>
        <v/>
      </c>
      <c r="T401" s="45" t="str">
        <f t="shared" si="34"/>
        <v/>
      </c>
    </row>
    <row r="402" spans="4:20" x14ac:dyDescent="0.7">
      <c r="D402" s="47" t="str" cm="1">
        <f t="array" ref="D402">IFERROR([2]!CalculateHyphenString(C402),"")</f>
        <v/>
      </c>
      <c r="M402" s="45" t="str">
        <f t="shared" si="30"/>
        <v/>
      </c>
      <c r="N402" s="1" t="s">
        <v>39</v>
      </c>
      <c r="O402" s="45" t="str">
        <f t="shared" si="31"/>
        <v/>
      </c>
      <c r="P402" s="45" t="str">
        <f t="shared" si="32"/>
        <v/>
      </c>
      <c r="R402" s="45" t="str">
        <f t="shared" si="33"/>
        <v/>
      </c>
      <c r="S402" s="45" t="str" cm="1">
        <f t="array" ref="S402">IFERROR([1]!FeetConvert(R402),"")</f>
        <v/>
      </c>
      <c r="T402" s="45" t="str">
        <f t="shared" si="34"/>
        <v/>
      </c>
    </row>
    <row r="403" spans="4:20" x14ac:dyDescent="0.7">
      <c r="D403" s="47" t="str" cm="1">
        <f t="array" ref="D403">IFERROR([2]!CalculateHyphenString(C403),"")</f>
        <v/>
      </c>
      <c r="M403" s="45" t="str">
        <f t="shared" si="30"/>
        <v/>
      </c>
      <c r="N403" s="1" t="s">
        <v>39</v>
      </c>
      <c r="O403" s="45" t="str">
        <f t="shared" si="31"/>
        <v/>
      </c>
      <c r="P403" s="45" t="str">
        <f t="shared" si="32"/>
        <v/>
      </c>
      <c r="R403" s="45" t="str">
        <f t="shared" si="33"/>
        <v/>
      </c>
      <c r="S403" s="45" t="str" cm="1">
        <f t="array" ref="S403">IFERROR([1]!FeetConvert(R403),"")</f>
        <v/>
      </c>
      <c r="T403" s="45" t="str">
        <f t="shared" si="34"/>
        <v/>
      </c>
    </row>
    <row r="404" spans="4:20" x14ac:dyDescent="0.7">
      <c r="D404" s="47" t="str" cm="1">
        <f t="array" ref="D404">IFERROR([2]!CalculateHyphenString(C404),"")</f>
        <v/>
      </c>
      <c r="M404" s="45" t="str">
        <f t="shared" si="30"/>
        <v/>
      </c>
      <c r="N404" s="1" t="s">
        <v>39</v>
      </c>
      <c r="O404" s="45" t="str">
        <f t="shared" si="31"/>
        <v/>
      </c>
      <c r="P404" s="45" t="str">
        <f t="shared" si="32"/>
        <v/>
      </c>
      <c r="R404" s="45" t="str">
        <f t="shared" si="33"/>
        <v/>
      </c>
      <c r="S404" s="45" t="str" cm="1">
        <f t="array" ref="S404">IFERROR([1]!FeetConvert(R404),"")</f>
        <v/>
      </c>
      <c r="T404" s="45" t="str">
        <f t="shared" si="34"/>
        <v/>
      </c>
    </row>
    <row r="405" spans="4:20" x14ac:dyDescent="0.7">
      <c r="D405" s="47" t="str" cm="1">
        <f t="array" ref="D405">IFERROR([2]!CalculateHyphenString(C405),"")</f>
        <v/>
      </c>
      <c r="M405" s="45" t="str">
        <f t="shared" si="30"/>
        <v/>
      </c>
      <c r="N405" s="1" t="s">
        <v>39</v>
      </c>
      <c r="O405" s="45" t="str">
        <f t="shared" si="31"/>
        <v/>
      </c>
      <c r="P405" s="45" t="str">
        <f t="shared" si="32"/>
        <v/>
      </c>
      <c r="R405" s="45" t="str">
        <f t="shared" si="33"/>
        <v/>
      </c>
      <c r="S405" s="45" t="str" cm="1">
        <f t="array" ref="S405">IFERROR([1]!FeetConvert(R405),"")</f>
        <v/>
      </c>
      <c r="T405" s="45" t="str">
        <f t="shared" si="34"/>
        <v/>
      </c>
    </row>
    <row r="406" spans="4:20" x14ac:dyDescent="0.7">
      <c r="D406" s="47" t="str" cm="1">
        <f t="array" ref="D406">IFERROR([2]!CalculateHyphenString(C406),"")</f>
        <v/>
      </c>
      <c r="M406" s="45" t="str">
        <f t="shared" si="30"/>
        <v/>
      </c>
      <c r="N406" s="1" t="s">
        <v>39</v>
      </c>
      <c r="O406" s="45" t="str">
        <f t="shared" si="31"/>
        <v/>
      </c>
      <c r="P406" s="45" t="str">
        <f t="shared" si="32"/>
        <v/>
      </c>
      <c r="R406" s="45" t="str">
        <f t="shared" si="33"/>
        <v/>
      </c>
      <c r="S406" s="45" t="str" cm="1">
        <f t="array" ref="S406">IFERROR([1]!FeetConvert(R406),"")</f>
        <v/>
      </c>
      <c r="T406" s="45" t="str">
        <f t="shared" si="34"/>
        <v/>
      </c>
    </row>
    <row r="407" spans="4:20" x14ac:dyDescent="0.7">
      <c r="D407" s="47" t="str" cm="1">
        <f t="array" ref="D407">IFERROR([2]!CalculateHyphenString(C407),"")</f>
        <v/>
      </c>
      <c r="M407" s="45" t="str">
        <f t="shared" si="30"/>
        <v/>
      </c>
      <c r="N407" s="1" t="s">
        <v>39</v>
      </c>
      <c r="O407" s="45" t="str">
        <f t="shared" si="31"/>
        <v/>
      </c>
      <c r="P407" s="45" t="str">
        <f t="shared" si="32"/>
        <v/>
      </c>
      <c r="R407" s="45" t="str">
        <f t="shared" si="33"/>
        <v/>
      </c>
      <c r="S407" s="45" t="str" cm="1">
        <f t="array" ref="S407">IFERROR([1]!FeetConvert(R407),"")</f>
        <v/>
      </c>
      <c r="T407" s="45" t="str">
        <f t="shared" si="34"/>
        <v/>
      </c>
    </row>
    <row r="408" spans="4:20" x14ac:dyDescent="0.7">
      <c r="D408" s="47" t="str" cm="1">
        <f t="array" ref="D408">IFERROR([2]!CalculateHyphenString(C408),"")</f>
        <v/>
      </c>
      <c r="M408" s="45" t="str">
        <f t="shared" si="30"/>
        <v/>
      </c>
      <c r="N408" s="1" t="s">
        <v>39</v>
      </c>
      <c r="O408" s="45" t="str">
        <f t="shared" si="31"/>
        <v/>
      </c>
      <c r="P408" s="45" t="str">
        <f t="shared" si="32"/>
        <v/>
      </c>
      <c r="R408" s="45" t="str">
        <f t="shared" si="33"/>
        <v/>
      </c>
      <c r="S408" s="45" t="str" cm="1">
        <f t="array" ref="S408">IFERROR([1]!FeetConvert(R408),"")</f>
        <v/>
      </c>
      <c r="T408" s="45" t="str">
        <f t="shared" si="34"/>
        <v/>
      </c>
    </row>
    <row r="409" spans="4:20" x14ac:dyDescent="0.7">
      <c r="D409" s="47" t="str" cm="1">
        <f t="array" ref="D409">IFERROR([2]!CalculateHyphenString(C409),"")</f>
        <v/>
      </c>
      <c r="M409" s="45" t="str">
        <f t="shared" si="30"/>
        <v/>
      </c>
      <c r="N409" s="1" t="s">
        <v>39</v>
      </c>
      <c r="O409" s="45" t="str">
        <f t="shared" si="31"/>
        <v/>
      </c>
      <c r="P409" s="45" t="str">
        <f t="shared" si="32"/>
        <v/>
      </c>
      <c r="R409" s="45" t="str">
        <f t="shared" si="33"/>
        <v/>
      </c>
      <c r="S409" s="45" t="str" cm="1">
        <f t="array" ref="S409">IFERROR([1]!FeetConvert(R409),"")</f>
        <v/>
      </c>
      <c r="T409" s="45" t="str">
        <f t="shared" si="34"/>
        <v/>
      </c>
    </row>
    <row r="410" spans="4:20" x14ac:dyDescent="0.7">
      <c r="D410" s="47" t="str" cm="1">
        <f t="array" ref="D410">IFERROR([2]!CalculateHyphenString(C410),"")</f>
        <v/>
      </c>
      <c r="M410" s="45" t="str">
        <f t="shared" si="30"/>
        <v/>
      </c>
      <c r="N410" s="1" t="s">
        <v>39</v>
      </c>
      <c r="O410" s="45" t="str">
        <f t="shared" si="31"/>
        <v/>
      </c>
      <c r="P410" s="45" t="str">
        <f t="shared" si="32"/>
        <v/>
      </c>
      <c r="R410" s="45" t="str">
        <f t="shared" si="33"/>
        <v/>
      </c>
      <c r="S410" s="45" t="str" cm="1">
        <f t="array" ref="S410">IFERROR([1]!FeetConvert(R410),"")</f>
        <v/>
      </c>
      <c r="T410" s="45" t="str">
        <f t="shared" si="34"/>
        <v/>
      </c>
    </row>
    <row r="411" spans="4:20" x14ac:dyDescent="0.7">
      <c r="D411" s="47" t="str" cm="1">
        <f t="array" ref="D411">IFERROR([2]!CalculateHyphenString(C411),"")</f>
        <v/>
      </c>
      <c r="M411" s="45" t="str">
        <f t="shared" si="30"/>
        <v/>
      </c>
      <c r="N411" s="1" t="s">
        <v>39</v>
      </c>
      <c r="O411" s="45" t="str">
        <f t="shared" si="31"/>
        <v/>
      </c>
      <c r="P411" s="45" t="str">
        <f t="shared" si="32"/>
        <v/>
      </c>
      <c r="R411" s="45" t="str">
        <f t="shared" si="33"/>
        <v/>
      </c>
      <c r="S411" s="45" t="str" cm="1">
        <f t="array" ref="S411">IFERROR([1]!FeetConvert(R411),"")</f>
        <v/>
      </c>
      <c r="T411" s="45" t="str">
        <f t="shared" si="34"/>
        <v/>
      </c>
    </row>
    <row r="412" spans="4:20" x14ac:dyDescent="0.7">
      <c r="D412" s="47" t="str" cm="1">
        <f t="array" ref="D412">IFERROR([2]!CalculateHyphenString(C412),"")</f>
        <v/>
      </c>
      <c r="M412" s="45" t="str">
        <f t="shared" si="30"/>
        <v/>
      </c>
      <c r="N412" s="1" t="s">
        <v>39</v>
      </c>
      <c r="O412" s="45" t="str">
        <f t="shared" si="31"/>
        <v/>
      </c>
      <c r="P412" s="45" t="str">
        <f t="shared" si="32"/>
        <v/>
      </c>
      <c r="R412" s="45" t="str">
        <f t="shared" si="33"/>
        <v/>
      </c>
      <c r="S412" s="45" t="str" cm="1">
        <f t="array" ref="S412">IFERROR([1]!FeetConvert(R412),"")</f>
        <v/>
      </c>
      <c r="T412" s="45" t="str">
        <f t="shared" si="34"/>
        <v/>
      </c>
    </row>
    <row r="413" spans="4:20" x14ac:dyDescent="0.7">
      <c r="D413" s="47" t="str" cm="1">
        <f t="array" ref="D413">IFERROR([2]!CalculateHyphenString(C413),"")</f>
        <v/>
      </c>
      <c r="M413" s="45" t="str">
        <f t="shared" si="30"/>
        <v/>
      </c>
      <c r="N413" s="1" t="s">
        <v>39</v>
      </c>
      <c r="O413" s="45" t="str">
        <f t="shared" si="31"/>
        <v/>
      </c>
      <c r="P413" s="45" t="str">
        <f t="shared" si="32"/>
        <v/>
      </c>
      <c r="R413" s="45" t="str">
        <f t="shared" si="33"/>
        <v/>
      </c>
      <c r="S413" s="45" t="str" cm="1">
        <f t="array" ref="S413">IFERROR([1]!FeetConvert(R413),"")</f>
        <v/>
      </c>
      <c r="T413" s="45" t="str">
        <f t="shared" si="34"/>
        <v/>
      </c>
    </row>
    <row r="414" spans="4:20" x14ac:dyDescent="0.7">
      <c r="D414" s="47" t="str" cm="1">
        <f t="array" ref="D414">IFERROR([2]!CalculateHyphenString(C414),"")</f>
        <v/>
      </c>
      <c r="M414" s="45" t="str">
        <f t="shared" si="30"/>
        <v/>
      </c>
      <c r="N414" s="1" t="s">
        <v>39</v>
      </c>
      <c r="O414" s="45" t="str">
        <f t="shared" si="31"/>
        <v/>
      </c>
      <c r="P414" s="45" t="str">
        <f t="shared" si="32"/>
        <v/>
      </c>
      <c r="R414" s="45" t="str">
        <f t="shared" si="33"/>
        <v/>
      </c>
      <c r="S414" s="45" t="str" cm="1">
        <f t="array" ref="S414">IFERROR([1]!FeetConvert(R414),"")</f>
        <v/>
      </c>
      <c r="T414" s="45" t="str">
        <f t="shared" si="34"/>
        <v/>
      </c>
    </row>
    <row r="415" spans="4:20" x14ac:dyDescent="0.7">
      <c r="D415" s="47" t="str" cm="1">
        <f t="array" ref="D415">IFERROR([2]!CalculateHyphenString(C415),"")</f>
        <v/>
      </c>
      <c r="M415" s="45" t="str">
        <f t="shared" si="30"/>
        <v/>
      </c>
      <c r="N415" s="1" t="s">
        <v>39</v>
      </c>
      <c r="O415" s="45" t="str">
        <f t="shared" si="31"/>
        <v/>
      </c>
      <c r="P415" s="45" t="str">
        <f t="shared" si="32"/>
        <v/>
      </c>
      <c r="R415" s="45" t="str">
        <f t="shared" si="33"/>
        <v/>
      </c>
      <c r="S415" s="45" t="str" cm="1">
        <f t="array" ref="S415">IFERROR([1]!FeetConvert(R415),"")</f>
        <v/>
      </c>
      <c r="T415" s="45" t="str">
        <f t="shared" si="34"/>
        <v/>
      </c>
    </row>
    <row r="416" spans="4:20" x14ac:dyDescent="0.7">
      <c r="D416" s="47" t="str" cm="1">
        <f t="array" ref="D416">IFERROR([2]!CalculateHyphenString(C416),"")</f>
        <v/>
      </c>
      <c r="M416" s="45" t="str">
        <f t="shared" si="30"/>
        <v/>
      </c>
      <c r="N416" s="1" t="s">
        <v>39</v>
      </c>
      <c r="O416" s="45" t="str">
        <f t="shared" si="31"/>
        <v/>
      </c>
      <c r="P416" s="45" t="str">
        <f t="shared" si="32"/>
        <v/>
      </c>
      <c r="R416" s="45" t="str">
        <f t="shared" si="33"/>
        <v/>
      </c>
      <c r="S416" s="45" t="str" cm="1">
        <f t="array" ref="S416">IFERROR([1]!FeetConvert(R416),"")</f>
        <v/>
      </c>
      <c r="T416" s="45" t="str">
        <f t="shared" si="34"/>
        <v/>
      </c>
    </row>
    <row r="417" spans="4:20" x14ac:dyDescent="0.7">
      <c r="D417" s="47" t="str" cm="1">
        <f t="array" ref="D417">IFERROR([2]!CalculateHyphenString(C417),"")</f>
        <v/>
      </c>
      <c r="M417" s="45" t="str">
        <f t="shared" si="30"/>
        <v/>
      </c>
      <c r="N417" s="1" t="s">
        <v>39</v>
      </c>
      <c r="O417" s="45" t="str">
        <f t="shared" si="31"/>
        <v/>
      </c>
      <c r="P417" s="45" t="str">
        <f t="shared" si="32"/>
        <v/>
      </c>
      <c r="R417" s="45" t="str">
        <f t="shared" si="33"/>
        <v/>
      </c>
      <c r="S417" s="45" t="str" cm="1">
        <f t="array" ref="S417">IFERROR([1]!FeetConvert(R417),"")</f>
        <v/>
      </c>
      <c r="T417" s="45" t="str">
        <f t="shared" si="34"/>
        <v/>
      </c>
    </row>
    <row r="418" spans="4:20" x14ac:dyDescent="0.7">
      <c r="D418" s="47" t="str" cm="1">
        <f t="array" ref="D418">IFERROR([2]!CalculateHyphenString(C418),"")</f>
        <v/>
      </c>
      <c r="M418" s="45" t="str">
        <f t="shared" si="30"/>
        <v/>
      </c>
      <c r="N418" s="1" t="s">
        <v>39</v>
      </c>
      <c r="O418" s="45" t="str">
        <f t="shared" si="31"/>
        <v/>
      </c>
      <c r="P418" s="45" t="str">
        <f t="shared" si="32"/>
        <v/>
      </c>
      <c r="R418" s="45" t="str">
        <f t="shared" si="33"/>
        <v/>
      </c>
      <c r="S418" s="45" t="str" cm="1">
        <f t="array" ref="S418">IFERROR([1]!FeetConvert(R418),"")</f>
        <v/>
      </c>
      <c r="T418" s="45" t="str">
        <f t="shared" si="34"/>
        <v/>
      </c>
    </row>
    <row r="419" spans="4:20" x14ac:dyDescent="0.7">
      <c r="D419" s="47" t="str" cm="1">
        <f t="array" ref="D419">IFERROR([2]!CalculateHyphenString(C419),"")</f>
        <v/>
      </c>
      <c r="M419" s="45" t="str">
        <f t="shared" si="30"/>
        <v/>
      </c>
      <c r="N419" s="1" t="s">
        <v>39</v>
      </c>
      <c r="O419" s="45" t="str">
        <f t="shared" si="31"/>
        <v/>
      </c>
      <c r="P419" s="45" t="str">
        <f t="shared" si="32"/>
        <v/>
      </c>
      <c r="R419" s="45" t="str">
        <f t="shared" si="33"/>
        <v/>
      </c>
      <c r="S419" s="45" t="str" cm="1">
        <f t="array" ref="S419">IFERROR([1]!FeetConvert(R419),"")</f>
        <v/>
      </c>
      <c r="T419" s="45" t="str">
        <f t="shared" si="34"/>
        <v/>
      </c>
    </row>
    <row r="420" spans="4:20" x14ac:dyDescent="0.7">
      <c r="D420" s="47" t="str" cm="1">
        <f t="array" ref="D420">IFERROR([2]!CalculateHyphenString(C420),"")</f>
        <v/>
      </c>
      <c r="M420" s="45" t="str">
        <f t="shared" si="30"/>
        <v/>
      </c>
      <c r="N420" s="1" t="s">
        <v>39</v>
      </c>
      <c r="O420" s="45" t="str">
        <f t="shared" si="31"/>
        <v/>
      </c>
      <c r="P420" s="45" t="str">
        <f t="shared" si="32"/>
        <v/>
      </c>
      <c r="R420" s="45" t="str">
        <f t="shared" si="33"/>
        <v/>
      </c>
      <c r="S420" s="45" t="str" cm="1">
        <f t="array" ref="S420">IFERROR([1]!FeetConvert(R420),"")</f>
        <v/>
      </c>
      <c r="T420" s="45" t="str">
        <f t="shared" si="34"/>
        <v/>
      </c>
    </row>
    <row r="421" spans="4:20" x14ac:dyDescent="0.7">
      <c r="D421" s="47" t="str" cm="1">
        <f t="array" ref="D421">IFERROR([2]!CalculateHyphenString(C421),"")</f>
        <v/>
      </c>
      <c r="M421" s="45" t="str">
        <f t="shared" si="30"/>
        <v/>
      </c>
      <c r="N421" s="1" t="s">
        <v>39</v>
      </c>
      <c r="O421" s="45" t="str">
        <f t="shared" si="31"/>
        <v/>
      </c>
      <c r="P421" s="45" t="str">
        <f t="shared" si="32"/>
        <v/>
      </c>
      <c r="R421" s="45" t="str">
        <f t="shared" si="33"/>
        <v/>
      </c>
      <c r="S421" s="45" t="str" cm="1">
        <f t="array" ref="S421">IFERROR([1]!FeetConvert(R421),"")</f>
        <v/>
      </c>
      <c r="T421" s="45" t="str">
        <f t="shared" si="34"/>
        <v/>
      </c>
    </row>
    <row r="422" spans="4:20" x14ac:dyDescent="0.7">
      <c r="D422" s="47" t="str" cm="1">
        <f t="array" ref="D422">IFERROR([2]!CalculateHyphenString(C422),"")</f>
        <v/>
      </c>
      <c r="M422" s="45" t="str">
        <f t="shared" si="30"/>
        <v/>
      </c>
      <c r="N422" s="1" t="s">
        <v>39</v>
      </c>
      <c r="O422" s="45" t="str">
        <f t="shared" si="31"/>
        <v/>
      </c>
      <c r="P422" s="45" t="str">
        <f t="shared" si="32"/>
        <v/>
      </c>
      <c r="R422" s="45" t="str">
        <f t="shared" si="33"/>
        <v/>
      </c>
      <c r="S422" s="45" t="str" cm="1">
        <f t="array" ref="S422">IFERROR([1]!FeetConvert(R422),"")</f>
        <v/>
      </c>
      <c r="T422" s="45" t="str">
        <f t="shared" si="34"/>
        <v/>
      </c>
    </row>
    <row r="423" spans="4:20" x14ac:dyDescent="0.7">
      <c r="D423" s="47" t="str" cm="1">
        <f t="array" ref="D423">IFERROR([2]!CalculateHyphenString(C423),"")</f>
        <v/>
      </c>
      <c r="M423" s="45" t="str">
        <f t="shared" si="30"/>
        <v/>
      </c>
      <c r="N423" s="1" t="s">
        <v>39</v>
      </c>
      <c r="O423" s="45" t="str">
        <f t="shared" si="31"/>
        <v/>
      </c>
      <c r="P423" s="45" t="str">
        <f t="shared" si="32"/>
        <v/>
      </c>
      <c r="R423" s="45" t="str">
        <f t="shared" si="33"/>
        <v/>
      </c>
      <c r="S423" s="45" t="str" cm="1">
        <f t="array" ref="S423">IFERROR([1]!FeetConvert(R423),"")</f>
        <v/>
      </c>
      <c r="T423" s="45" t="str">
        <f t="shared" si="34"/>
        <v/>
      </c>
    </row>
    <row r="424" spans="4:20" x14ac:dyDescent="0.7">
      <c r="D424" s="47" t="str" cm="1">
        <f t="array" ref="D424">IFERROR([2]!CalculateHyphenString(C424),"")</f>
        <v/>
      </c>
      <c r="M424" s="45" t="str">
        <f t="shared" si="30"/>
        <v/>
      </c>
      <c r="N424" s="1" t="s">
        <v>39</v>
      </c>
      <c r="O424" s="45" t="str">
        <f t="shared" si="31"/>
        <v/>
      </c>
      <c r="P424" s="45" t="str">
        <f t="shared" si="32"/>
        <v/>
      </c>
      <c r="R424" s="45" t="str">
        <f t="shared" si="33"/>
        <v/>
      </c>
      <c r="S424" s="45" t="str" cm="1">
        <f t="array" ref="S424">IFERROR([1]!FeetConvert(R424),"")</f>
        <v/>
      </c>
      <c r="T424" s="45" t="str">
        <f t="shared" si="34"/>
        <v/>
      </c>
    </row>
    <row r="425" spans="4:20" x14ac:dyDescent="0.7">
      <c r="D425" s="47" t="str" cm="1">
        <f t="array" ref="D425">IFERROR([2]!CalculateHyphenString(C425),"")</f>
        <v/>
      </c>
      <c r="M425" s="45" t="str">
        <f t="shared" si="30"/>
        <v/>
      </c>
      <c r="N425" s="1" t="s">
        <v>39</v>
      </c>
      <c r="O425" s="45" t="str">
        <f t="shared" si="31"/>
        <v/>
      </c>
      <c r="P425" s="45" t="str">
        <f t="shared" si="32"/>
        <v/>
      </c>
      <c r="R425" s="45" t="str">
        <f t="shared" si="33"/>
        <v/>
      </c>
      <c r="S425" s="45" t="str" cm="1">
        <f t="array" ref="S425">IFERROR([1]!FeetConvert(R425),"")</f>
        <v/>
      </c>
      <c r="T425" s="45" t="str">
        <f t="shared" si="34"/>
        <v/>
      </c>
    </row>
    <row r="426" spans="4:20" x14ac:dyDescent="0.7">
      <c r="D426" s="47" t="str" cm="1">
        <f t="array" ref="D426">IFERROR([2]!CalculateHyphenString(C426),"")</f>
        <v/>
      </c>
      <c r="M426" s="45" t="str">
        <f t="shared" si="30"/>
        <v/>
      </c>
      <c r="N426" s="1" t="s">
        <v>39</v>
      </c>
      <c r="O426" s="45" t="str">
        <f t="shared" si="31"/>
        <v/>
      </c>
      <c r="P426" s="45" t="str">
        <f t="shared" si="32"/>
        <v/>
      </c>
      <c r="R426" s="45" t="str">
        <f t="shared" si="33"/>
        <v/>
      </c>
      <c r="S426" s="45" t="str" cm="1">
        <f t="array" ref="S426">IFERROR([1]!FeetConvert(R426),"")</f>
        <v/>
      </c>
      <c r="T426" s="45" t="str">
        <f t="shared" si="34"/>
        <v/>
      </c>
    </row>
    <row r="427" spans="4:20" x14ac:dyDescent="0.7">
      <c r="D427" s="47" t="str" cm="1">
        <f t="array" ref="D427">IFERROR([2]!CalculateHyphenString(C427),"")</f>
        <v/>
      </c>
      <c r="M427" s="45" t="str">
        <f t="shared" si="30"/>
        <v/>
      </c>
      <c r="N427" s="1" t="s">
        <v>39</v>
      </c>
      <c r="O427" s="45" t="str">
        <f t="shared" si="31"/>
        <v/>
      </c>
      <c r="P427" s="45" t="str">
        <f t="shared" si="32"/>
        <v/>
      </c>
      <c r="R427" s="45" t="str">
        <f t="shared" si="33"/>
        <v/>
      </c>
      <c r="S427" s="45" t="str" cm="1">
        <f t="array" ref="S427">IFERROR([1]!FeetConvert(R427),"")</f>
        <v/>
      </c>
      <c r="T427" s="45" t="str">
        <f t="shared" si="34"/>
        <v/>
      </c>
    </row>
    <row r="428" spans="4:20" x14ac:dyDescent="0.7">
      <c r="D428" s="47" t="str" cm="1">
        <f t="array" ref="D428">IFERROR([2]!CalculateHyphenString(C428),"")</f>
        <v/>
      </c>
      <c r="M428" s="45" t="str">
        <f t="shared" si="30"/>
        <v/>
      </c>
      <c r="N428" s="1" t="s">
        <v>39</v>
      </c>
      <c r="O428" s="45" t="str">
        <f t="shared" si="31"/>
        <v/>
      </c>
      <c r="P428" s="45" t="str">
        <f t="shared" si="32"/>
        <v/>
      </c>
      <c r="R428" s="45" t="str">
        <f t="shared" si="33"/>
        <v/>
      </c>
      <c r="S428" s="45" t="str" cm="1">
        <f t="array" ref="S428">IFERROR([1]!FeetConvert(R428),"")</f>
        <v/>
      </c>
      <c r="T428" s="45" t="str">
        <f t="shared" si="34"/>
        <v/>
      </c>
    </row>
    <row r="429" spans="4:20" x14ac:dyDescent="0.7">
      <c r="D429" s="47" t="str" cm="1">
        <f t="array" ref="D429">IFERROR([2]!CalculateHyphenString(C429),"")</f>
        <v/>
      </c>
      <c r="M429" s="45" t="str">
        <f t="shared" si="30"/>
        <v/>
      </c>
      <c r="N429" s="1" t="s">
        <v>39</v>
      </c>
      <c r="O429" s="45" t="str">
        <f t="shared" si="31"/>
        <v/>
      </c>
      <c r="P429" s="45" t="str">
        <f t="shared" si="32"/>
        <v/>
      </c>
      <c r="R429" s="45" t="str">
        <f t="shared" si="33"/>
        <v/>
      </c>
      <c r="S429" s="45" t="str" cm="1">
        <f t="array" ref="S429">IFERROR([1]!FeetConvert(R429),"")</f>
        <v/>
      </c>
      <c r="T429" s="45" t="str">
        <f t="shared" si="34"/>
        <v/>
      </c>
    </row>
    <row r="430" spans="4:20" x14ac:dyDescent="0.7">
      <c r="D430" s="47" t="str" cm="1">
        <f t="array" ref="D430">IFERROR([2]!CalculateHyphenString(C430),"")</f>
        <v/>
      </c>
      <c r="M430" s="45" t="str">
        <f t="shared" si="30"/>
        <v/>
      </c>
      <c r="N430" s="1" t="s">
        <v>39</v>
      </c>
      <c r="O430" s="45" t="str">
        <f t="shared" si="31"/>
        <v/>
      </c>
      <c r="P430" s="45" t="str">
        <f t="shared" si="32"/>
        <v/>
      </c>
      <c r="R430" s="45" t="str">
        <f t="shared" si="33"/>
        <v/>
      </c>
      <c r="S430" s="45" t="str" cm="1">
        <f t="array" ref="S430">IFERROR([1]!FeetConvert(R430),"")</f>
        <v/>
      </c>
      <c r="T430" s="45" t="str">
        <f t="shared" si="34"/>
        <v/>
      </c>
    </row>
    <row r="431" spans="4:20" x14ac:dyDescent="0.7">
      <c r="D431" s="47" t="str" cm="1">
        <f t="array" ref="D431">IFERROR([2]!CalculateHyphenString(C431),"")</f>
        <v/>
      </c>
      <c r="M431" s="45" t="str">
        <f t="shared" si="30"/>
        <v/>
      </c>
      <c r="N431" s="1" t="s">
        <v>39</v>
      </c>
      <c r="O431" s="45" t="str">
        <f t="shared" si="31"/>
        <v/>
      </c>
      <c r="P431" s="45" t="str">
        <f t="shared" si="32"/>
        <v/>
      </c>
      <c r="R431" s="45" t="str">
        <f t="shared" si="33"/>
        <v/>
      </c>
      <c r="S431" s="45" t="str" cm="1">
        <f t="array" ref="S431">IFERROR([1]!FeetConvert(R431),"")</f>
        <v/>
      </c>
      <c r="T431" s="45" t="str">
        <f t="shared" si="34"/>
        <v/>
      </c>
    </row>
    <row r="432" spans="4:20" x14ac:dyDescent="0.7">
      <c r="D432" s="47" t="str" cm="1">
        <f t="array" ref="D432">IFERROR([2]!CalculateHyphenString(C432),"")</f>
        <v/>
      </c>
      <c r="M432" s="45" t="str">
        <f t="shared" si="30"/>
        <v/>
      </c>
      <c r="N432" s="1" t="s">
        <v>39</v>
      </c>
      <c r="O432" s="45" t="str">
        <f t="shared" si="31"/>
        <v/>
      </c>
      <c r="P432" s="45" t="str">
        <f t="shared" si="32"/>
        <v/>
      </c>
      <c r="R432" s="45" t="str">
        <f t="shared" si="33"/>
        <v/>
      </c>
      <c r="S432" s="45" t="str" cm="1">
        <f t="array" ref="S432">IFERROR([1]!FeetConvert(R432),"")</f>
        <v/>
      </c>
      <c r="T432" s="45" t="str">
        <f t="shared" si="34"/>
        <v/>
      </c>
    </row>
    <row r="433" spans="4:20" x14ac:dyDescent="0.7">
      <c r="D433" s="47" t="str" cm="1">
        <f t="array" ref="D433">IFERROR([2]!CalculateHyphenString(C433),"")</f>
        <v/>
      </c>
      <c r="M433" s="45" t="str">
        <f t="shared" si="30"/>
        <v/>
      </c>
      <c r="N433" s="1" t="s">
        <v>39</v>
      </c>
      <c r="O433" s="45" t="str">
        <f t="shared" si="31"/>
        <v/>
      </c>
      <c r="P433" s="45" t="str">
        <f t="shared" si="32"/>
        <v/>
      </c>
      <c r="R433" s="45" t="str">
        <f t="shared" si="33"/>
        <v/>
      </c>
      <c r="S433" s="45" t="str" cm="1">
        <f t="array" ref="S433">IFERROR([1]!FeetConvert(R433),"")</f>
        <v/>
      </c>
      <c r="T433" s="45" t="str">
        <f t="shared" si="34"/>
        <v/>
      </c>
    </row>
    <row r="434" spans="4:20" x14ac:dyDescent="0.7">
      <c r="D434" s="47" t="str" cm="1">
        <f t="array" ref="D434">IFERROR([2]!CalculateHyphenString(C434),"")</f>
        <v/>
      </c>
      <c r="M434" s="45" t="str">
        <f t="shared" si="30"/>
        <v/>
      </c>
      <c r="N434" s="1" t="s">
        <v>39</v>
      </c>
      <c r="O434" s="45" t="str">
        <f t="shared" si="31"/>
        <v/>
      </c>
      <c r="P434" s="45" t="str">
        <f t="shared" si="32"/>
        <v/>
      </c>
      <c r="R434" s="45" t="str">
        <f t="shared" si="33"/>
        <v/>
      </c>
      <c r="S434" s="45" t="str" cm="1">
        <f t="array" ref="S434">IFERROR([1]!FeetConvert(R434),"")</f>
        <v/>
      </c>
      <c r="T434" s="45" t="str">
        <f t="shared" si="34"/>
        <v/>
      </c>
    </row>
    <row r="435" spans="4:20" x14ac:dyDescent="0.7">
      <c r="D435" s="47" t="str" cm="1">
        <f t="array" ref="D435">IFERROR([2]!CalculateHyphenString(C435),"")</f>
        <v/>
      </c>
      <c r="M435" s="45" t="str">
        <f t="shared" si="30"/>
        <v/>
      </c>
      <c r="N435" s="1" t="s">
        <v>39</v>
      </c>
      <c r="O435" s="45" t="str">
        <f t="shared" si="31"/>
        <v/>
      </c>
      <c r="P435" s="45" t="str">
        <f t="shared" si="32"/>
        <v/>
      </c>
      <c r="R435" s="45" t="str">
        <f t="shared" si="33"/>
        <v/>
      </c>
      <c r="S435" s="45" t="str" cm="1">
        <f t="array" ref="S435">IFERROR([1]!FeetConvert(R435),"")</f>
        <v/>
      </c>
      <c r="T435" s="45" t="str">
        <f t="shared" si="34"/>
        <v/>
      </c>
    </row>
    <row r="436" spans="4:20" x14ac:dyDescent="0.7">
      <c r="D436" s="47" t="str" cm="1">
        <f t="array" ref="D436">IFERROR([2]!CalculateHyphenString(C436),"")</f>
        <v/>
      </c>
      <c r="M436" s="45" t="str">
        <f t="shared" si="30"/>
        <v/>
      </c>
      <c r="N436" s="1" t="s">
        <v>39</v>
      </c>
      <c r="O436" s="45" t="str">
        <f t="shared" si="31"/>
        <v/>
      </c>
      <c r="P436" s="45" t="str">
        <f t="shared" si="32"/>
        <v/>
      </c>
      <c r="R436" s="45" t="str">
        <f t="shared" si="33"/>
        <v/>
      </c>
      <c r="S436" s="45" t="str" cm="1">
        <f t="array" ref="S436">IFERROR([1]!FeetConvert(R436),"")</f>
        <v/>
      </c>
      <c r="T436" s="45" t="str">
        <f t="shared" si="34"/>
        <v/>
      </c>
    </row>
    <row r="437" spans="4:20" x14ac:dyDescent="0.7">
      <c r="D437" s="47" t="str" cm="1">
        <f t="array" ref="D437">IFERROR([2]!CalculateHyphenString(C437),"")</f>
        <v/>
      </c>
      <c r="M437" s="45" t="str">
        <f t="shared" si="30"/>
        <v/>
      </c>
      <c r="N437" s="1" t="s">
        <v>39</v>
      </c>
      <c r="O437" s="45" t="str">
        <f t="shared" si="31"/>
        <v/>
      </c>
      <c r="P437" s="45" t="str">
        <f t="shared" si="32"/>
        <v/>
      </c>
      <c r="R437" s="45" t="str">
        <f t="shared" si="33"/>
        <v/>
      </c>
      <c r="S437" s="45" t="str" cm="1">
        <f t="array" ref="S437">IFERROR([1]!FeetConvert(R437),"")</f>
        <v/>
      </c>
      <c r="T437" s="45" t="str">
        <f t="shared" si="34"/>
        <v/>
      </c>
    </row>
    <row r="438" spans="4:20" x14ac:dyDescent="0.7">
      <c r="D438" s="47" t="str" cm="1">
        <f t="array" ref="D438">IFERROR([2]!CalculateHyphenString(C438),"")</f>
        <v/>
      </c>
      <c r="M438" s="45" t="str">
        <f t="shared" si="30"/>
        <v/>
      </c>
      <c r="N438" s="1" t="s">
        <v>39</v>
      </c>
      <c r="O438" s="45" t="str">
        <f t="shared" si="31"/>
        <v/>
      </c>
      <c r="P438" s="45" t="str">
        <f t="shared" si="32"/>
        <v/>
      </c>
      <c r="R438" s="45" t="str">
        <f t="shared" si="33"/>
        <v/>
      </c>
      <c r="S438" s="45" t="str" cm="1">
        <f t="array" ref="S438">IFERROR([1]!FeetConvert(R438),"")</f>
        <v/>
      </c>
      <c r="T438" s="45" t="str">
        <f t="shared" si="34"/>
        <v/>
      </c>
    </row>
    <row r="439" spans="4:20" x14ac:dyDescent="0.7">
      <c r="D439" s="47" t="str" cm="1">
        <f t="array" ref="D439">IFERROR([2]!CalculateHyphenString(C439),"")</f>
        <v/>
      </c>
      <c r="M439" s="45" t="str">
        <f t="shared" si="30"/>
        <v/>
      </c>
      <c r="N439" s="1" t="s">
        <v>39</v>
      </c>
      <c r="O439" s="45" t="str">
        <f t="shared" si="31"/>
        <v/>
      </c>
      <c r="P439" s="45" t="str">
        <f t="shared" si="32"/>
        <v/>
      </c>
      <c r="R439" s="45" t="str">
        <f t="shared" si="33"/>
        <v/>
      </c>
      <c r="S439" s="45" t="str" cm="1">
        <f t="array" ref="S439">IFERROR([1]!FeetConvert(R439),"")</f>
        <v/>
      </c>
      <c r="T439" s="45" t="str">
        <f t="shared" si="34"/>
        <v/>
      </c>
    </row>
    <row r="440" spans="4:20" x14ac:dyDescent="0.7">
      <c r="D440" s="47" t="str" cm="1">
        <f t="array" ref="D440">IFERROR([2]!CalculateHyphenString(C440),"")</f>
        <v/>
      </c>
      <c r="M440" s="45" t="str">
        <f t="shared" si="30"/>
        <v/>
      </c>
      <c r="N440" s="1" t="s">
        <v>39</v>
      </c>
      <c r="O440" s="45" t="str">
        <f t="shared" si="31"/>
        <v/>
      </c>
      <c r="P440" s="45" t="str">
        <f t="shared" si="32"/>
        <v/>
      </c>
      <c r="R440" s="45" t="str">
        <f t="shared" si="33"/>
        <v/>
      </c>
      <c r="S440" s="45" t="str" cm="1">
        <f t="array" ref="S440">IFERROR([1]!FeetConvert(R440),"")</f>
        <v/>
      </c>
      <c r="T440" s="45" t="str">
        <f t="shared" si="34"/>
        <v/>
      </c>
    </row>
    <row r="441" spans="4:20" x14ac:dyDescent="0.7">
      <c r="D441" s="47" t="str" cm="1">
        <f t="array" ref="D441">IFERROR([2]!CalculateHyphenString(C441),"")</f>
        <v/>
      </c>
      <c r="M441" s="45" t="str">
        <f t="shared" si="30"/>
        <v/>
      </c>
      <c r="N441" s="1" t="s">
        <v>39</v>
      </c>
      <c r="O441" s="45" t="str">
        <f t="shared" si="31"/>
        <v/>
      </c>
      <c r="P441" s="45" t="str">
        <f t="shared" si="32"/>
        <v/>
      </c>
      <c r="R441" s="45" t="str">
        <f t="shared" si="33"/>
        <v/>
      </c>
      <c r="S441" s="45" t="str" cm="1">
        <f t="array" ref="S441">IFERROR([1]!FeetConvert(R441),"")</f>
        <v/>
      </c>
      <c r="T441" s="45" t="str">
        <f t="shared" si="34"/>
        <v/>
      </c>
    </row>
    <row r="442" spans="4:20" x14ac:dyDescent="0.7">
      <c r="D442" s="47" t="str" cm="1">
        <f t="array" ref="D442">IFERROR([2]!CalculateHyphenString(C442),"")</f>
        <v/>
      </c>
      <c r="M442" s="45" t="str">
        <f t="shared" si="30"/>
        <v/>
      </c>
      <c r="N442" s="1" t="s">
        <v>39</v>
      </c>
      <c r="O442" s="45" t="str">
        <f t="shared" si="31"/>
        <v/>
      </c>
      <c r="P442" s="45" t="str">
        <f t="shared" si="32"/>
        <v/>
      </c>
      <c r="R442" s="45" t="str">
        <f t="shared" si="33"/>
        <v/>
      </c>
      <c r="S442" s="45" t="str" cm="1">
        <f t="array" ref="S442">IFERROR([1]!FeetConvert(R442),"")</f>
        <v/>
      </c>
      <c r="T442" s="45" t="str">
        <f t="shared" si="34"/>
        <v/>
      </c>
    </row>
    <row r="443" spans="4:20" x14ac:dyDescent="0.7">
      <c r="D443" s="47" t="str" cm="1">
        <f t="array" ref="D443">IFERROR([2]!CalculateHyphenString(C443),"")</f>
        <v/>
      </c>
      <c r="M443" s="45" t="str">
        <f t="shared" si="30"/>
        <v/>
      </c>
      <c r="N443" s="1" t="s">
        <v>39</v>
      </c>
      <c r="O443" s="45" t="str">
        <f t="shared" si="31"/>
        <v/>
      </c>
      <c r="P443" s="45" t="str">
        <f t="shared" si="32"/>
        <v/>
      </c>
      <c r="R443" s="45" t="str">
        <f t="shared" si="33"/>
        <v/>
      </c>
      <c r="S443" s="45" t="str" cm="1">
        <f t="array" ref="S443">IFERROR([1]!FeetConvert(R443),"")</f>
        <v/>
      </c>
      <c r="T443" s="45" t="str">
        <f t="shared" si="34"/>
        <v/>
      </c>
    </row>
    <row r="444" spans="4:20" x14ac:dyDescent="0.7">
      <c r="D444" s="47" t="str" cm="1">
        <f t="array" ref="D444">IFERROR([2]!CalculateHyphenString(C444),"")</f>
        <v/>
      </c>
      <c r="M444" s="45" t="str">
        <f t="shared" si="30"/>
        <v/>
      </c>
      <c r="N444" s="1" t="s">
        <v>39</v>
      </c>
      <c r="O444" s="45" t="str">
        <f t="shared" si="31"/>
        <v/>
      </c>
      <c r="P444" s="45" t="str">
        <f t="shared" si="32"/>
        <v/>
      </c>
      <c r="R444" s="45" t="str">
        <f t="shared" si="33"/>
        <v/>
      </c>
      <c r="S444" s="45" t="str" cm="1">
        <f t="array" ref="S444">IFERROR([1]!FeetConvert(R444),"")</f>
        <v/>
      </c>
      <c r="T444" s="45" t="str">
        <f t="shared" si="34"/>
        <v/>
      </c>
    </row>
    <row r="445" spans="4:20" x14ac:dyDescent="0.7">
      <c r="D445" s="47" t="str" cm="1">
        <f t="array" ref="D445">IFERROR([2]!CalculateHyphenString(C445),"")</f>
        <v/>
      </c>
      <c r="M445" s="45" t="str">
        <f t="shared" si="30"/>
        <v/>
      </c>
      <c r="N445" s="1" t="s">
        <v>39</v>
      </c>
      <c r="O445" s="45" t="str">
        <f t="shared" si="31"/>
        <v/>
      </c>
      <c r="P445" s="45" t="str">
        <f t="shared" si="32"/>
        <v/>
      </c>
      <c r="R445" s="45" t="str">
        <f t="shared" si="33"/>
        <v/>
      </c>
      <c r="S445" s="45" t="str" cm="1">
        <f t="array" ref="S445">IFERROR([1]!FeetConvert(R445),"")</f>
        <v/>
      </c>
      <c r="T445" s="45" t="str">
        <f t="shared" si="34"/>
        <v/>
      </c>
    </row>
    <row r="446" spans="4:20" x14ac:dyDescent="0.7">
      <c r="D446" s="47" t="str" cm="1">
        <f t="array" ref="D446">IFERROR([2]!CalculateHyphenString(C446),"")</f>
        <v/>
      </c>
      <c r="M446" s="45" t="str">
        <f t="shared" si="30"/>
        <v/>
      </c>
      <c r="N446" s="1" t="s">
        <v>39</v>
      </c>
      <c r="O446" s="45" t="str">
        <f t="shared" si="31"/>
        <v/>
      </c>
      <c r="P446" s="45" t="str">
        <f t="shared" si="32"/>
        <v/>
      </c>
      <c r="R446" s="45" t="str">
        <f t="shared" si="33"/>
        <v/>
      </c>
      <c r="S446" s="45" t="str" cm="1">
        <f t="array" ref="S446">IFERROR([1]!FeetConvert(R446),"")</f>
        <v/>
      </c>
      <c r="T446" s="45" t="str">
        <f t="shared" si="34"/>
        <v/>
      </c>
    </row>
    <row r="447" spans="4:20" x14ac:dyDescent="0.7">
      <c r="D447" s="47" t="str" cm="1">
        <f t="array" ref="D447">IFERROR([2]!CalculateHyphenString(C447),"")</f>
        <v/>
      </c>
      <c r="M447" s="45" t="str">
        <f t="shared" si="30"/>
        <v/>
      </c>
      <c r="N447" s="1" t="s">
        <v>39</v>
      </c>
      <c r="O447" s="45" t="str">
        <f t="shared" si="31"/>
        <v/>
      </c>
      <c r="P447" s="45" t="str">
        <f t="shared" si="32"/>
        <v/>
      </c>
      <c r="R447" s="45" t="str">
        <f t="shared" si="33"/>
        <v/>
      </c>
      <c r="S447" s="45" t="str" cm="1">
        <f t="array" ref="S447">IFERROR([1]!FeetConvert(R447),"")</f>
        <v/>
      </c>
      <c r="T447" s="45" t="str">
        <f t="shared" si="34"/>
        <v/>
      </c>
    </row>
    <row r="448" spans="4:20" x14ac:dyDescent="0.7">
      <c r="D448" s="47" t="str" cm="1">
        <f t="array" ref="D448">IFERROR([2]!CalculateHyphenString(C448),"")</f>
        <v/>
      </c>
      <c r="M448" s="45" t="str">
        <f t="shared" si="30"/>
        <v/>
      </c>
      <c r="N448" s="1" t="s">
        <v>39</v>
      </c>
      <c r="O448" s="45" t="str">
        <f t="shared" si="31"/>
        <v/>
      </c>
      <c r="P448" s="45" t="str">
        <f t="shared" si="32"/>
        <v/>
      </c>
      <c r="R448" s="45" t="str">
        <f t="shared" si="33"/>
        <v/>
      </c>
      <c r="S448" s="45" t="str" cm="1">
        <f t="array" ref="S448">IFERROR([1]!FeetConvert(R448),"")</f>
        <v/>
      </c>
      <c r="T448" s="45" t="str">
        <f t="shared" si="34"/>
        <v/>
      </c>
    </row>
    <row r="449" spans="4:20" x14ac:dyDescent="0.7">
      <c r="D449" s="47" t="str" cm="1">
        <f t="array" ref="D449">IFERROR([2]!CalculateHyphenString(C449),"")</f>
        <v/>
      </c>
      <c r="M449" s="45" t="str">
        <f t="shared" si="30"/>
        <v/>
      </c>
      <c r="N449" s="1" t="s">
        <v>39</v>
      </c>
      <c r="O449" s="45" t="str">
        <f t="shared" si="31"/>
        <v/>
      </c>
      <c r="P449" s="45" t="str">
        <f t="shared" si="32"/>
        <v/>
      </c>
      <c r="R449" s="45" t="str">
        <f t="shared" si="33"/>
        <v/>
      </c>
      <c r="S449" s="45" t="str" cm="1">
        <f t="array" ref="S449">IFERROR([1]!FeetConvert(R449),"")</f>
        <v/>
      </c>
      <c r="T449" s="45" t="str">
        <f t="shared" si="34"/>
        <v/>
      </c>
    </row>
    <row r="450" spans="4:20" x14ac:dyDescent="0.7">
      <c r="D450" s="47" t="str" cm="1">
        <f t="array" ref="D450">IFERROR([2]!CalculateHyphenString(C450),"")</f>
        <v/>
      </c>
      <c r="M450" s="45" t="str">
        <f t="shared" si="30"/>
        <v/>
      </c>
      <c r="N450" s="1" t="s">
        <v>39</v>
      </c>
      <c r="O450" s="45" t="str">
        <f t="shared" si="31"/>
        <v/>
      </c>
      <c r="P450" s="45" t="str">
        <f t="shared" si="32"/>
        <v/>
      </c>
      <c r="R450" s="45" t="str">
        <f t="shared" si="33"/>
        <v/>
      </c>
      <c r="S450" s="45" t="str" cm="1">
        <f t="array" ref="S450">IFERROR([1]!FeetConvert(R450),"")</f>
        <v/>
      </c>
      <c r="T450" s="45" t="str">
        <f t="shared" si="34"/>
        <v/>
      </c>
    </row>
    <row r="451" spans="4:20" x14ac:dyDescent="0.7">
      <c r="D451" s="47" t="str" cm="1">
        <f t="array" ref="D451">IFERROR([2]!CalculateHyphenString(C451),"")</f>
        <v/>
      </c>
      <c r="M451" s="45" t="str">
        <f t="shared" si="30"/>
        <v/>
      </c>
      <c r="N451" s="1" t="s">
        <v>39</v>
      </c>
      <c r="O451" s="45" t="str">
        <f t="shared" si="31"/>
        <v/>
      </c>
      <c r="P451" s="45" t="str">
        <f t="shared" si="32"/>
        <v/>
      </c>
      <c r="R451" s="45" t="str">
        <f t="shared" si="33"/>
        <v/>
      </c>
      <c r="S451" s="45" t="str" cm="1">
        <f t="array" ref="S451">IFERROR([1]!FeetConvert(R451),"")</f>
        <v/>
      </c>
      <c r="T451" s="45" t="str">
        <f t="shared" si="34"/>
        <v/>
      </c>
    </row>
    <row r="452" spans="4:20" x14ac:dyDescent="0.7">
      <c r="D452" s="47" t="str" cm="1">
        <f t="array" ref="D452">IFERROR([2]!CalculateHyphenString(C452),"")</f>
        <v/>
      </c>
      <c r="M452" s="45" t="str">
        <f t="shared" si="30"/>
        <v/>
      </c>
      <c r="N452" s="1" t="s">
        <v>39</v>
      </c>
      <c r="O452" s="45" t="str">
        <f t="shared" si="31"/>
        <v/>
      </c>
      <c r="P452" s="45" t="str">
        <f t="shared" si="32"/>
        <v/>
      </c>
      <c r="R452" s="45" t="str">
        <f t="shared" si="33"/>
        <v/>
      </c>
      <c r="S452" s="45" t="str" cm="1">
        <f t="array" ref="S452">IFERROR([1]!FeetConvert(R452),"")</f>
        <v/>
      </c>
      <c r="T452" s="45" t="str">
        <f t="shared" si="34"/>
        <v/>
      </c>
    </row>
    <row r="453" spans="4:20" x14ac:dyDescent="0.7">
      <c r="D453" s="47" t="str" cm="1">
        <f t="array" ref="D453">IFERROR([2]!CalculateHyphenString(C453),"")</f>
        <v/>
      </c>
      <c r="M453" s="45" t="str">
        <f t="shared" ref="M453:M500" si="35">IFERROR(K453*$E$2/L453,"")</f>
        <v/>
      </c>
      <c r="N453" s="1" t="s">
        <v>39</v>
      </c>
      <c r="O453" s="45" t="str">
        <f t="shared" ref="O453:O500" si="36">IFERROR(IF(ISBLANK(N453),"",N453*$G$2/100),"")</f>
        <v/>
      </c>
      <c r="P453" s="45" t="str">
        <f t="shared" ref="P453:P500" si="37">IFERROR(N453-O453,"")</f>
        <v/>
      </c>
      <c r="R453" s="45" t="str">
        <f t="shared" ref="R453:R500" si="38">IFERROR(P453-Q453,"")</f>
        <v/>
      </c>
      <c r="S453" s="45" t="str" cm="1">
        <f t="array" ref="S453">IFERROR([1]!FeetConvert(R453),"")</f>
        <v/>
      </c>
      <c r="T453" s="45" t="str">
        <f t="shared" ref="T453:T500" si="39">IFERROR(ROUND(R453,0),"")</f>
        <v/>
      </c>
    </row>
    <row r="454" spans="4:20" x14ac:dyDescent="0.7">
      <c r="D454" s="47" t="str" cm="1">
        <f t="array" ref="D454">IFERROR([2]!CalculateHyphenString(C454),"")</f>
        <v/>
      </c>
      <c r="M454" s="45" t="str">
        <f t="shared" si="35"/>
        <v/>
      </c>
      <c r="N454" s="1" t="s">
        <v>39</v>
      </c>
      <c r="O454" s="45" t="str">
        <f t="shared" si="36"/>
        <v/>
      </c>
      <c r="P454" s="45" t="str">
        <f t="shared" si="37"/>
        <v/>
      </c>
      <c r="R454" s="45" t="str">
        <f t="shared" si="38"/>
        <v/>
      </c>
      <c r="S454" s="45" t="str" cm="1">
        <f t="array" ref="S454">IFERROR([1]!FeetConvert(R454),"")</f>
        <v/>
      </c>
      <c r="T454" s="45" t="str">
        <f t="shared" si="39"/>
        <v/>
      </c>
    </row>
    <row r="455" spans="4:20" x14ac:dyDescent="0.7">
      <c r="D455" s="47" t="str" cm="1">
        <f t="array" ref="D455">IFERROR([2]!CalculateHyphenString(C455),"")</f>
        <v/>
      </c>
      <c r="M455" s="45" t="str">
        <f t="shared" si="35"/>
        <v/>
      </c>
      <c r="N455" s="1" t="s">
        <v>39</v>
      </c>
      <c r="O455" s="45" t="str">
        <f t="shared" si="36"/>
        <v/>
      </c>
      <c r="P455" s="45" t="str">
        <f t="shared" si="37"/>
        <v/>
      </c>
      <c r="R455" s="45" t="str">
        <f t="shared" si="38"/>
        <v/>
      </c>
      <c r="S455" s="45" t="str" cm="1">
        <f t="array" ref="S455">IFERROR([1]!FeetConvert(R455),"")</f>
        <v/>
      </c>
      <c r="T455" s="45" t="str">
        <f t="shared" si="39"/>
        <v/>
      </c>
    </row>
    <row r="456" spans="4:20" x14ac:dyDescent="0.7">
      <c r="D456" s="47" t="str" cm="1">
        <f t="array" ref="D456">IFERROR([2]!CalculateHyphenString(C456),"")</f>
        <v/>
      </c>
      <c r="M456" s="45" t="str">
        <f t="shared" si="35"/>
        <v/>
      </c>
      <c r="N456" s="1" t="s">
        <v>39</v>
      </c>
      <c r="O456" s="45" t="str">
        <f t="shared" si="36"/>
        <v/>
      </c>
      <c r="P456" s="45" t="str">
        <f t="shared" si="37"/>
        <v/>
      </c>
      <c r="R456" s="45" t="str">
        <f t="shared" si="38"/>
        <v/>
      </c>
      <c r="S456" s="45" t="str" cm="1">
        <f t="array" ref="S456">IFERROR([1]!FeetConvert(R456),"")</f>
        <v/>
      </c>
      <c r="T456" s="45" t="str">
        <f t="shared" si="39"/>
        <v/>
      </c>
    </row>
    <row r="457" spans="4:20" x14ac:dyDescent="0.7">
      <c r="D457" s="47" t="str" cm="1">
        <f t="array" ref="D457">IFERROR([2]!CalculateHyphenString(C457),"")</f>
        <v/>
      </c>
      <c r="M457" s="45" t="str">
        <f t="shared" si="35"/>
        <v/>
      </c>
      <c r="N457" s="1" t="s">
        <v>39</v>
      </c>
      <c r="O457" s="45" t="str">
        <f t="shared" si="36"/>
        <v/>
      </c>
      <c r="P457" s="45" t="str">
        <f t="shared" si="37"/>
        <v/>
      </c>
      <c r="R457" s="45" t="str">
        <f t="shared" si="38"/>
        <v/>
      </c>
      <c r="S457" s="45" t="str" cm="1">
        <f t="array" ref="S457">IFERROR([1]!FeetConvert(R457),"")</f>
        <v/>
      </c>
      <c r="T457" s="45" t="str">
        <f t="shared" si="39"/>
        <v/>
      </c>
    </row>
    <row r="458" spans="4:20" x14ac:dyDescent="0.7">
      <c r="D458" s="47" t="str" cm="1">
        <f t="array" ref="D458">IFERROR([2]!CalculateHyphenString(C458),"")</f>
        <v/>
      </c>
      <c r="M458" s="45" t="str">
        <f t="shared" si="35"/>
        <v/>
      </c>
      <c r="N458" s="1" t="s">
        <v>39</v>
      </c>
      <c r="O458" s="45" t="str">
        <f t="shared" si="36"/>
        <v/>
      </c>
      <c r="P458" s="45" t="str">
        <f t="shared" si="37"/>
        <v/>
      </c>
      <c r="R458" s="45" t="str">
        <f t="shared" si="38"/>
        <v/>
      </c>
      <c r="S458" s="45" t="str" cm="1">
        <f t="array" ref="S458">IFERROR([1]!FeetConvert(R458),"")</f>
        <v/>
      </c>
      <c r="T458" s="45" t="str">
        <f t="shared" si="39"/>
        <v/>
      </c>
    </row>
    <row r="459" spans="4:20" x14ac:dyDescent="0.7">
      <c r="D459" s="47" t="str" cm="1">
        <f t="array" ref="D459">IFERROR([2]!CalculateHyphenString(C459),"")</f>
        <v/>
      </c>
      <c r="M459" s="45" t="str">
        <f t="shared" si="35"/>
        <v/>
      </c>
      <c r="N459" s="1" t="s">
        <v>39</v>
      </c>
      <c r="O459" s="45" t="str">
        <f t="shared" si="36"/>
        <v/>
      </c>
      <c r="P459" s="45" t="str">
        <f t="shared" si="37"/>
        <v/>
      </c>
      <c r="R459" s="45" t="str">
        <f t="shared" si="38"/>
        <v/>
      </c>
      <c r="S459" s="45" t="str" cm="1">
        <f t="array" ref="S459">IFERROR([1]!FeetConvert(R459),"")</f>
        <v/>
      </c>
      <c r="T459" s="45" t="str">
        <f t="shared" si="39"/>
        <v/>
      </c>
    </row>
    <row r="460" spans="4:20" x14ac:dyDescent="0.7">
      <c r="D460" s="47" t="str" cm="1">
        <f t="array" ref="D460">IFERROR([2]!CalculateHyphenString(C460),"")</f>
        <v/>
      </c>
      <c r="M460" s="45" t="str">
        <f t="shared" si="35"/>
        <v/>
      </c>
      <c r="N460" s="1" t="s">
        <v>39</v>
      </c>
      <c r="O460" s="45" t="str">
        <f t="shared" si="36"/>
        <v/>
      </c>
      <c r="P460" s="45" t="str">
        <f t="shared" si="37"/>
        <v/>
      </c>
      <c r="R460" s="45" t="str">
        <f t="shared" si="38"/>
        <v/>
      </c>
      <c r="S460" s="45" t="str" cm="1">
        <f t="array" ref="S460">IFERROR([1]!FeetConvert(R460),"")</f>
        <v/>
      </c>
      <c r="T460" s="45" t="str">
        <f t="shared" si="39"/>
        <v/>
      </c>
    </row>
    <row r="461" spans="4:20" x14ac:dyDescent="0.7">
      <c r="D461" s="47" t="str" cm="1">
        <f t="array" ref="D461">IFERROR([2]!CalculateHyphenString(C461),"")</f>
        <v/>
      </c>
      <c r="M461" s="45" t="str">
        <f t="shared" si="35"/>
        <v/>
      </c>
      <c r="N461" s="1" t="s">
        <v>39</v>
      </c>
      <c r="O461" s="45" t="str">
        <f t="shared" si="36"/>
        <v/>
      </c>
      <c r="P461" s="45" t="str">
        <f t="shared" si="37"/>
        <v/>
      </c>
      <c r="R461" s="45" t="str">
        <f t="shared" si="38"/>
        <v/>
      </c>
      <c r="S461" s="45" t="str" cm="1">
        <f t="array" ref="S461">IFERROR([1]!FeetConvert(R461),"")</f>
        <v/>
      </c>
      <c r="T461" s="45" t="str">
        <f t="shared" si="39"/>
        <v/>
      </c>
    </row>
    <row r="462" spans="4:20" x14ac:dyDescent="0.7">
      <c r="D462" s="47" t="str" cm="1">
        <f t="array" ref="D462">IFERROR([2]!CalculateHyphenString(C462),"")</f>
        <v/>
      </c>
      <c r="M462" s="45" t="str">
        <f t="shared" si="35"/>
        <v/>
      </c>
      <c r="N462" s="1" t="s">
        <v>39</v>
      </c>
      <c r="O462" s="45" t="str">
        <f t="shared" si="36"/>
        <v/>
      </c>
      <c r="P462" s="45" t="str">
        <f t="shared" si="37"/>
        <v/>
      </c>
      <c r="R462" s="45" t="str">
        <f t="shared" si="38"/>
        <v/>
      </c>
      <c r="S462" s="45" t="str" cm="1">
        <f t="array" ref="S462">IFERROR([1]!FeetConvert(R462),"")</f>
        <v/>
      </c>
      <c r="T462" s="45" t="str">
        <f t="shared" si="39"/>
        <v/>
      </c>
    </row>
    <row r="463" spans="4:20" x14ac:dyDescent="0.7">
      <c r="D463" s="47" t="str" cm="1">
        <f t="array" ref="D463">IFERROR([2]!CalculateHyphenString(C463),"")</f>
        <v/>
      </c>
      <c r="M463" s="45" t="str">
        <f t="shared" si="35"/>
        <v/>
      </c>
      <c r="N463" s="1" t="s">
        <v>39</v>
      </c>
      <c r="O463" s="45" t="str">
        <f t="shared" si="36"/>
        <v/>
      </c>
      <c r="P463" s="45" t="str">
        <f t="shared" si="37"/>
        <v/>
      </c>
      <c r="R463" s="45" t="str">
        <f t="shared" si="38"/>
        <v/>
      </c>
      <c r="S463" s="45" t="str" cm="1">
        <f t="array" ref="S463">IFERROR([1]!FeetConvert(R463),"")</f>
        <v/>
      </c>
      <c r="T463" s="45" t="str">
        <f t="shared" si="39"/>
        <v/>
      </c>
    </row>
    <row r="464" spans="4:20" x14ac:dyDescent="0.7">
      <c r="D464" s="47" t="str" cm="1">
        <f t="array" ref="D464">IFERROR([2]!CalculateHyphenString(C464),"")</f>
        <v/>
      </c>
      <c r="M464" s="45" t="str">
        <f t="shared" si="35"/>
        <v/>
      </c>
      <c r="N464" s="1" t="s">
        <v>39</v>
      </c>
      <c r="O464" s="45" t="str">
        <f t="shared" si="36"/>
        <v/>
      </c>
      <c r="P464" s="45" t="str">
        <f t="shared" si="37"/>
        <v/>
      </c>
      <c r="R464" s="45" t="str">
        <f t="shared" si="38"/>
        <v/>
      </c>
      <c r="S464" s="45" t="str" cm="1">
        <f t="array" ref="S464">IFERROR([1]!FeetConvert(R464),"")</f>
        <v/>
      </c>
      <c r="T464" s="45" t="str">
        <f t="shared" si="39"/>
        <v/>
      </c>
    </row>
    <row r="465" spans="4:20" x14ac:dyDescent="0.7">
      <c r="D465" s="47" t="str" cm="1">
        <f t="array" ref="D465">IFERROR([2]!CalculateHyphenString(C465),"")</f>
        <v/>
      </c>
      <c r="M465" s="45" t="str">
        <f t="shared" si="35"/>
        <v/>
      </c>
      <c r="N465" s="1" t="s">
        <v>39</v>
      </c>
      <c r="O465" s="45" t="str">
        <f t="shared" si="36"/>
        <v/>
      </c>
      <c r="P465" s="45" t="str">
        <f t="shared" si="37"/>
        <v/>
      </c>
      <c r="R465" s="45" t="str">
        <f t="shared" si="38"/>
        <v/>
      </c>
      <c r="S465" s="45" t="str" cm="1">
        <f t="array" ref="S465">IFERROR([1]!FeetConvert(R465),"")</f>
        <v/>
      </c>
      <c r="T465" s="45" t="str">
        <f t="shared" si="39"/>
        <v/>
      </c>
    </row>
    <row r="466" spans="4:20" x14ac:dyDescent="0.7">
      <c r="D466" s="47" t="str" cm="1">
        <f t="array" ref="D466">IFERROR([2]!CalculateHyphenString(C466),"")</f>
        <v/>
      </c>
      <c r="M466" s="45" t="str">
        <f t="shared" si="35"/>
        <v/>
      </c>
      <c r="N466" s="1" t="s">
        <v>39</v>
      </c>
      <c r="O466" s="45" t="str">
        <f t="shared" si="36"/>
        <v/>
      </c>
      <c r="P466" s="45" t="str">
        <f t="shared" si="37"/>
        <v/>
      </c>
      <c r="R466" s="45" t="str">
        <f t="shared" si="38"/>
        <v/>
      </c>
      <c r="S466" s="45" t="str" cm="1">
        <f t="array" ref="S466">IFERROR([1]!FeetConvert(R466),"")</f>
        <v/>
      </c>
      <c r="T466" s="45" t="str">
        <f t="shared" si="39"/>
        <v/>
      </c>
    </row>
    <row r="467" spans="4:20" x14ac:dyDescent="0.7">
      <c r="D467" s="47" t="str" cm="1">
        <f t="array" ref="D467">IFERROR([2]!CalculateHyphenString(C467),"")</f>
        <v/>
      </c>
      <c r="M467" s="45" t="str">
        <f t="shared" si="35"/>
        <v/>
      </c>
      <c r="N467" s="1" t="s">
        <v>39</v>
      </c>
      <c r="O467" s="45" t="str">
        <f t="shared" si="36"/>
        <v/>
      </c>
      <c r="P467" s="45" t="str">
        <f t="shared" si="37"/>
        <v/>
      </c>
      <c r="R467" s="45" t="str">
        <f t="shared" si="38"/>
        <v/>
      </c>
      <c r="S467" s="45" t="str" cm="1">
        <f t="array" ref="S467">IFERROR([1]!FeetConvert(R467),"")</f>
        <v/>
      </c>
      <c r="T467" s="45" t="str">
        <f t="shared" si="39"/>
        <v/>
      </c>
    </row>
    <row r="468" spans="4:20" x14ac:dyDescent="0.7">
      <c r="D468" s="47" t="str" cm="1">
        <f t="array" ref="D468">IFERROR([2]!CalculateHyphenString(C468),"")</f>
        <v/>
      </c>
      <c r="M468" s="45" t="str">
        <f t="shared" si="35"/>
        <v/>
      </c>
      <c r="N468" s="1" t="s">
        <v>39</v>
      </c>
      <c r="O468" s="45" t="str">
        <f t="shared" si="36"/>
        <v/>
      </c>
      <c r="P468" s="45" t="str">
        <f t="shared" si="37"/>
        <v/>
      </c>
      <c r="R468" s="45" t="str">
        <f t="shared" si="38"/>
        <v/>
      </c>
      <c r="S468" s="45" t="str" cm="1">
        <f t="array" ref="S468">IFERROR([1]!FeetConvert(R468),"")</f>
        <v/>
      </c>
      <c r="T468" s="45" t="str">
        <f t="shared" si="39"/>
        <v/>
      </c>
    </row>
    <row r="469" spans="4:20" x14ac:dyDescent="0.7">
      <c r="D469" s="47" t="str" cm="1">
        <f t="array" ref="D469">IFERROR([2]!CalculateHyphenString(C469),"")</f>
        <v/>
      </c>
      <c r="M469" s="45" t="str">
        <f t="shared" si="35"/>
        <v/>
      </c>
      <c r="N469" s="1" t="s">
        <v>39</v>
      </c>
      <c r="O469" s="45" t="str">
        <f t="shared" si="36"/>
        <v/>
      </c>
      <c r="P469" s="45" t="str">
        <f t="shared" si="37"/>
        <v/>
      </c>
      <c r="R469" s="45" t="str">
        <f t="shared" si="38"/>
        <v/>
      </c>
      <c r="S469" s="45" t="str" cm="1">
        <f t="array" ref="S469">IFERROR([1]!FeetConvert(R469),"")</f>
        <v/>
      </c>
      <c r="T469" s="45" t="str">
        <f t="shared" si="39"/>
        <v/>
      </c>
    </row>
    <row r="470" spans="4:20" x14ac:dyDescent="0.7">
      <c r="D470" s="47" t="str" cm="1">
        <f t="array" ref="D470">IFERROR([2]!CalculateHyphenString(C470),"")</f>
        <v/>
      </c>
      <c r="M470" s="45" t="str">
        <f t="shared" si="35"/>
        <v/>
      </c>
      <c r="N470" s="1" t="s">
        <v>39</v>
      </c>
      <c r="O470" s="45" t="str">
        <f t="shared" si="36"/>
        <v/>
      </c>
      <c r="P470" s="45" t="str">
        <f t="shared" si="37"/>
        <v/>
      </c>
      <c r="R470" s="45" t="str">
        <f t="shared" si="38"/>
        <v/>
      </c>
      <c r="S470" s="45" t="str" cm="1">
        <f t="array" ref="S470">IFERROR([1]!FeetConvert(R470),"")</f>
        <v/>
      </c>
      <c r="T470" s="45" t="str">
        <f t="shared" si="39"/>
        <v/>
      </c>
    </row>
    <row r="471" spans="4:20" x14ac:dyDescent="0.7">
      <c r="D471" s="47" t="str" cm="1">
        <f t="array" ref="D471">IFERROR([2]!CalculateHyphenString(C471),"")</f>
        <v/>
      </c>
      <c r="M471" s="45" t="str">
        <f t="shared" si="35"/>
        <v/>
      </c>
      <c r="N471" s="1" t="s">
        <v>39</v>
      </c>
      <c r="O471" s="45" t="str">
        <f t="shared" si="36"/>
        <v/>
      </c>
      <c r="P471" s="45" t="str">
        <f t="shared" si="37"/>
        <v/>
      </c>
      <c r="R471" s="45" t="str">
        <f t="shared" si="38"/>
        <v/>
      </c>
      <c r="S471" s="45" t="str" cm="1">
        <f t="array" ref="S471">IFERROR([1]!FeetConvert(R471),"")</f>
        <v/>
      </c>
      <c r="T471" s="45" t="str">
        <f t="shared" si="39"/>
        <v/>
      </c>
    </row>
    <row r="472" spans="4:20" x14ac:dyDescent="0.7">
      <c r="D472" s="47" t="str" cm="1">
        <f t="array" ref="D472">IFERROR([2]!CalculateHyphenString(C472),"")</f>
        <v/>
      </c>
      <c r="M472" s="45" t="str">
        <f t="shared" si="35"/>
        <v/>
      </c>
      <c r="N472" s="1" t="s">
        <v>39</v>
      </c>
      <c r="O472" s="45" t="str">
        <f t="shared" si="36"/>
        <v/>
      </c>
      <c r="P472" s="45" t="str">
        <f t="shared" si="37"/>
        <v/>
      </c>
      <c r="R472" s="45" t="str">
        <f t="shared" si="38"/>
        <v/>
      </c>
      <c r="S472" s="45" t="str" cm="1">
        <f t="array" ref="S472">IFERROR([1]!FeetConvert(R472),"")</f>
        <v/>
      </c>
      <c r="T472" s="45" t="str">
        <f t="shared" si="39"/>
        <v/>
      </c>
    </row>
    <row r="473" spans="4:20" x14ac:dyDescent="0.7">
      <c r="D473" s="47" t="str" cm="1">
        <f t="array" ref="D473">IFERROR([2]!CalculateHyphenString(C473),"")</f>
        <v/>
      </c>
      <c r="M473" s="45" t="str">
        <f t="shared" si="35"/>
        <v/>
      </c>
      <c r="N473" s="1" t="s">
        <v>39</v>
      </c>
      <c r="O473" s="45" t="str">
        <f t="shared" si="36"/>
        <v/>
      </c>
      <c r="P473" s="45" t="str">
        <f t="shared" si="37"/>
        <v/>
      </c>
      <c r="R473" s="45" t="str">
        <f t="shared" si="38"/>
        <v/>
      </c>
      <c r="S473" s="45" t="str" cm="1">
        <f t="array" ref="S473">IFERROR([1]!FeetConvert(R473),"")</f>
        <v/>
      </c>
      <c r="T473" s="45" t="str">
        <f t="shared" si="39"/>
        <v/>
      </c>
    </row>
    <row r="474" spans="4:20" x14ac:dyDescent="0.7">
      <c r="D474" s="47" t="str" cm="1">
        <f t="array" ref="D474">IFERROR([2]!CalculateHyphenString(C474),"")</f>
        <v/>
      </c>
      <c r="M474" s="45" t="str">
        <f t="shared" si="35"/>
        <v/>
      </c>
      <c r="N474" s="1" t="s">
        <v>39</v>
      </c>
      <c r="O474" s="45" t="str">
        <f t="shared" si="36"/>
        <v/>
      </c>
      <c r="P474" s="45" t="str">
        <f t="shared" si="37"/>
        <v/>
      </c>
      <c r="R474" s="45" t="str">
        <f t="shared" si="38"/>
        <v/>
      </c>
      <c r="S474" s="45" t="str" cm="1">
        <f t="array" ref="S474">IFERROR([1]!FeetConvert(R474),"")</f>
        <v/>
      </c>
      <c r="T474" s="45" t="str">
        <f t="shared" si="39"/>
        <v/>
      </c>
    </row>
    <row r="475" spans="4:20" x14ac:dyDescent="0.7">
      <c r="D475" s="47" t="str" cm="1">
        <f t="array" ref="D475">IFERROR([2]!CalculateHyphenString(C475),"")</f>
        <v/>
      </c>
      <c r="M475" s="45" t="str">
        <f t="shared" si="35"/>
        <v/>
      </c>
      <c r="N475" s="1" t="s">
        <v>39</v>
      </c>
      <c r="O475" s="45" t="str">
        <f t="shared" si="36"/>
        <v/>
      </c>
      <c r="P475" s="45" t="str">
        <f t="shared" si="37"/>
        <v/>
      </c>
      <c r="R475" s="45" t="str">
        <f t="shared" si="38"/>
        <v/>
      </c>
      <c r="S475" s="45" t="str" cm="1">
        <f t="array" ref="S475">IFERROR([1]!FeetConvert(R475),"")</f>
        <v/>
      </c>
      <c r="T475" s="45" t="str">
        <f t="shared" si="39"/>
        <v/>
      </c>
    </row>
    <row r="476" spans="4:20" x14ac:dyDescent="0.7">
      <c r="D476" s="47" t="str" cm="1">
        <f t="array" ref="D476">IFERROR([2]!CalculateHyphenString(C476),"")</f>
        <v/>
      </c>
      <c r="M476" s="45" t="str">
        <f t="shared" si="35"/>
        <v/>
      </c>
      <c r="N476" s="1" t="s">
        <v>39</v>
      </c>
      <c r="O476" s="45" t="str">
        <f t="shared" si="36"/>
        <v/>
      </c>
      <c r="P476" s="45" t="str">
        <f t="shared" si="37"/>
        <v/>
      </c>
      <c r="R476" s="45" t="str">
        <f t="shared" si="38"/>
        <v/>
      </c>
      <c r="S476" s="45" t="str" cm="1">
        <f t="array" ref="S476">IFERROR([1]!FeetConvert(R476),"")</f>
        <v/>
      </c>
      <c r="T476" s="45" t="str">
        <f t="shared" si="39"/>
        <v/>
      </c>
    </row>
    <row r="477" spans="4:20" x14ac:dyDescent="0.7">
      <c r="D477" s="47" t="str" cm="1">
        <f t="array" ref="D477">IFERROR([2]!CalculateHyphenString(C477),"")</f>
        <v/>
      </c>
      <c r="M477" s="45" t="str">
        <f t="shared" si="35"/>
        <v/>
      </c>
      <c r="N477" s="1" t="s">
        <v>39</v>
      </c>
      <c r="O477" s="45" t="str">
        <f t="shared" si="36"/>
        <v/>
      </c>
      <c r="P477" s="45" t="str">
        <f t="shared" si="37"/>
        <v/>
      </c>
      <c r="R477" s="45" t="str">
        <f t="shared" si="38"/>
        <v/>
      </c>
      <c r="S477" s="45" t="str" cm="1">
        <f t="array" ref="S477">IFERROR([1]!FeetConvert(R477),"")</f>
        <v/>
      </c>
      <c r="T477" s="45" t="str">
        <f t="shared" si="39"/>
        <v/>
      </c>
    </row>
    <row r="478" spans="4:20" x14ac:dyDescent="0.7">
      <c r="D478" s="47" t="str" cm="1">
        <f t="array" ref="D478">IFERROR([2]!CalculateHyphenString(C478),"")</f>
        <v/>
      </c>
      <c r="M478" s="45" t="str">
        <f t="shared" si="35"/>
        <v/>
      </c>
      <c r="N478" s="1" t="s">
        <v>39</v>
      </c>
      <c r="O478" s="45" t="str">
        <f t="shared" si="36"/>
        <v/>
      </c>
      <c r="P478" s="45" t="str">
        <f t="shared" si="37"/>
        <v/>
      </c>
      <c r="R478" s="45" t="str">
        <f t="shared" si="38"/>
        <v/>
      </c>
      <c r="S478" s="45" t="str" cm="1">
        <f t="array" ref="S478">IFERROR([1]!FeetConvert(R478),"")</f>
        <v/>
      </c>
      <c r="T478" s="45" t="str">
        <f t="shared" si="39"/>
        <v/>
      </c>
    </row>
    <row r="479" spans="4:20" x14ac:dyDescent="0.7">
      <c r="D479" s="47" t="str" cm="1">
        <f t="array" ref="D479">IFERROR([2]!CalculateHyphenString(C479),"")</f>
        <v/>
      </c>
      <c r="M479" s="45" t="str">
        <f t="shared" si="35"/>
        <v/>
      </c>
      <c r="N479" s="1" t="s">
        <v>39</v>
      </c>
      <c r="O479" s="45" t="str">
        <f t="shared" si="36"/>
        <v/>
      </c>
      <c r="P479" s="45" t="str">
        <f t="shared" si="37"/>
        <v/>
      </c>
      <c r="R479" s="45" t="str">
        <f t="shared" si="38"/>
        <v/>
      </c>
      <c r="S479" s="45" t="str" cm="1">
        <f t="array" ref="S479">IFERROR([1]!FeetConvert(R479),"")</f>
        <v/>
      </c>
      <c r="T479" s="45" t="str">
        <f t="shared" si="39"/>
        <v/>
      </c>
    </row>
    <row r="480" spans="4:20" x14ac:dyDescent="0.7">
      <c r="D480" s="47" t="str" cm="1">
        <f t="array" ref="D480">IFERROR([2]!CalculateHyphenString(C480),"")</f>
        <v/>
      </c>
      <c r="M480" s="45" t="str">
        <f t="shared" si="35"/>
        <v/>
      </c>
      <c r="N480" s="1" t="s">
        <v>39</v>
      </c>
      <c r="O480" s="45" t="str">
        <f t="shared" si="36"/>
        <v/>
      </c>
      <c r="P480" s="45" t="str">
        <f t="shared" si="37"/>
        <v/>
      </c>
      <c r="R480" s="45" t="str">
        <f t="shared" si="38"/>
        <v/>
      </c>
      <c r="S480" s="45" t="str" cm="1">
        <f t="array" ref="S480">IFERROR([1]!FeetConvert(R480),"")</f>
        <v/>
      </c>
      <c r="T480" s="45" t="str">
        <f t="shared" si="39"/>
        <v/>
      </c>
    </row>
    <row r="481" spans="4:20" x14ac:dyDescent="0.7">
      <c r="D481" s="47" t="str" cm="1">
        <f t="array" ref="D481">IFERROR([2]!CalculateHyphenString(C481),"")</f>
        <v/>
      </c>
      <c r="M481" s="45" t="str">
        <f t="shared" si="35"/>
        <v/>
      </c>
      <c r="N481" s="1" t="s">
        <v>39</v>
      </c>
      <c r="O481" s="45" t="str">
        <f t="shared" si="36"/>
        <v/>
      </c>
      <c r="P481" s="45" t="str">
        <f t="shared" si="37"/>
        <v/>
      </c>
      <c r="R481" s="45" t="str">
        <f t="shared" si="38"/>
        <v/>
      </c>
      <c r="S481" s="45" t="str" cm="1">
        <f t="array" ref="S481">IFERROR([1]!FeetConvert(R481),"")</f>
        <v/>
      </c>
      <c r="T481" s="45" t="str">
        <f t="shared" si="39"/>
        <v/>
      </c>
    </row>
    <row r="482" spans="4:20" x14ac:dyDescent="0.7">
      <c r="D482" s="47" t="str" cm="1">
        <f t="array" ref="D482">IFERROR([2]!CalculateHyphenString(C482),"")</f>
        <v/>
      </c>
      <c r="M482" s="45" t="str">
        <f t="shared" si="35"/>
        <v/>
      </c>
      <c r="N482" s="1" t="s">
        <v>39</v>
      </c>
      <c r="O482" s="45" t="str">
        <f t="shared" si="36"/>
        <v/>
      </c>
      <c r="P482" s="45" t="str">
        <f t="shared" si="37"/>
        <v/>
      </c>
      <c r="R482" s="45" t="str">
        <f t="shared" si="38"/>
        <v/>
      </c>
      <c r="S482" s="45" t="str" cm="1">
        <f t="array" ref="S482">IFERROR([1]!FeetConvert(R482),"")</f>
        <v/>
      </c>
      <c r="T482" s="45" t="str">
        <f t="shared" si="39"/>
        <v/>
      </c>
    </row>
    <row r="483" spans="4:20" x14ac:dyDescent="0.7">
      <c r="D483" s="47" t="str" cm="1">
        <f t="array" ref="D483">IFERROR([2]!CalculateHyphenString(C483),"")</f>
        <v/>
      </c>
      <c r="M483" s="45" t="str">
        <f t="shared" si="35"/>
        <v/>
      </c>
      <c r="N483" s="1" t="s">
        <v>39</v>
      </c>
      <c r="O483" s="45" t="str">
        <f t="shared" si="36"/>
        <v/>
      </c>
      <c r="P483" s="45" t="str">
        <f t="shared" si="37"/>
        <v/>
      </c>
      <c r="R483" s="45" t="str">
        <f t="shared" si="38"/>
        <v/>
      </c>
      <c r="S483" s="45" t="str" cm="1">
        <f t="array" ref="S483">IFERROR([1]!FeetConvert(R483),"")</f>
        <v/>
      </c>
      <c r="T483" s="45" t="str">
        <f t="shared" si="39"/>
        <v/>
      </c>
    </row>
    <row r="484" spans="4:20" x14ac:dyDescent="0.7">
      <c r="D484" s="47" t="str" cm="1">
        <f t="array" ref="D484">IFERROR([2]!CalculateHyphenString(C484),"")</f>
        <v/>
      </c>
      <c r="M484" s="45" t="str">
        <f t="shared" si="35"/>
        <v/>
      </c>
      <c r="N484" s="1" t="s">
        <v>39</v>
      </c>
      <c r="O484" s="45" t="str">
        <f t="shared" si="36"/>
        <v/>
      </c>
      <c r="P484" s="45" t="str">
        <f t="shared" si="37"/>
        <v/>
      </c>
      <c r="R484" s="45" t="str">
        <f t="shared" si="38"/>
        <v/>
      </c>
      <c r="S484" s="45" t="str" cm="1">
        <f t="array" ref="S484">IFERROR([1]!FeetConvert(R484),"")</f>
        <v/>
      </c>
      <c r="T484" s="45" t="str">
        <f t="shared" si="39"/>
        <v/>
      </c>
    </row>
    <row r="485" spans="4:20" x14ac:dyDescent="0.7">
      <c r="D485" s="47" t="str" cm="1">
        <f t="array" ref="D485">IFERROR([2]!CalculateHyphenString(C485),"")</f>
        <v/>
      </c>
      <c r="M485" s="45" t="str">
        <f t="shared" si="35"/>
        <v/>
      </c>
      <c r="N485" s="1" t="s">
        <v>39</v>
      </c>
      <c r="O485" s="45" t="str">
        <f t="shared" si="36"/>
        <v/>
      </c>
      <c r="P485" s="45" t="str">
        <f t="shared" si="37"/>
        <v/>
      </c>
      <c r="R485" s="45" t="str">
        <f t="shared" si="38"/>
        <v/>
      </c>
      <c r="S485" s="45" t="str" cm="1">
        <f t="array" ref="S485">IFERROR([1]!FeetConvert(R485),"")</f>
        <v/>
      </c>
      <c r="T485" s="45" t="str">
        <f t="shared" si="39"/>
        <v/>
      </c>
    </row>
    <row r="486" spans="4:20" x14ac:dyDescent="0.7">
      <c r="D486" s="47" t="str" cm="1">
        <f t="array" ref="D486">IFERROR([2]!CalculateHyphenString(C486),"")</f>
        <v/>
      </c>
      <c r="M486" s="45" t="str">
        <f t="shared" si="35"/>
        <v/>
      </c>
      <c r="N486" s="1" t="s">
        <v>39</v>
      </c>
      <c r="O486" s="45" t="str">
        <f t="shared" si="36"/>
        <v/>
      </c>
      <c r="P486" s="45" t="str">
        <f t="shared" si="37"/>
        <v/>
      </c>
      <c r="R486" s="45" t="str">
        <f t="shared" si="38"/>
        <v/>
      </c>
      <c r="S486" s="45" t="str" cm="1">
        <f t="array" ref="S486">IFERROR([1]!FeetConvert(R486),"")</f>
        <v/>
      </c>
      <c r="T486" s="45" t="str">
        <f t="shared" si="39"/>
        <v/>
      </c>
    </row>
    <row r="487" spans="4:20" x14ac:dyDescent="0.7">
      <c r="D487" s="47" t="str" cm="1">
        <f t="array" ref="D487">IFERROR([2]!CalculateHyphenString(C487),"")</f>
        <v/>
      </c>
      <c r="M487" s="45" t="str">
        <f t="shared" si="35"/>
        <v/>
      </c>
      <c r="N487" s="1" t="s">
        <v>39</v>
      </c>
      <c r="O487" s="45" t="str">
        <f t="shared" si="36"/>
        <v/>
      </c>
      <c r="P487" s="45" t="str">
        <f t="shared" si="37"/>
        <v/>
      </c>
      <c r="R487" s="45" t="str">
        <f t="shared" si="38"/>
        <v/>
      </c>
      <c r="S487" s="45" t="str" cm="1">
        <f t="array" ref="S487">IFERROR([1]!FeetConvert(R487),"")</f>
        <v/>
      </c>
      <c r="T487" s="45" t="str">
        <f t="shared" si="39"/>
        <v/>
      </c>
    </row>
    <row r="488" spans="4:20" x14ac:dyDescent="0.7">
      <c r="D488" s="47" t="str" cm="1">
        <f t="array" ref="D488">IFERROR([2]!CalculateHyphenString(C488),"")</f>
        <v/>
      </c>
      <c r="M488" s="45" t="str">
        <f t="shared" si="35"/>
        <v/>
      </c>
      <c r="N488" s="1" t="s">
        <v>39</v>
      </c>
      <c r="O488" s="45" t="str">
        <f t="shared" si="36"/>
        <v/>
      </c>
      <c r="P488" s="45" t="str">
        <f t="shared" si="37"/>
        <v/>
      </c>
      <c r="R488" s="45" t="str">
        <f t="shared" si="38"/>
        <v/>
      </c>
      <c r="S488" s="45" t="str" cm="1">
        <f t="array" ref="S488">IFERROR([1]!FeetConvert(R488),"")</f>
        <v/>
      </c>
      <c r="T488" s="45" t="str">
        <f t="shared" si="39"/>
        <v/>
      </c>
    </row>
    <row r="489" spans="4:20" x14ac:dyDescent="0.7">
      <c r="D489" s="47" t="str" cm="1">
        <f t="array" ref="D489">IFERROR([2]!CalculateHyphenString(C489),"")</f>
        <v/>
      </c>
      <c r="M489" s="45" t="str">
        <f t="shared" si="35"/>
        <v/>
      </c>
      <c r="N489" s="1" t="s">
        <v>39</v>
      </c>
      <c r="O489" s="45" t="str">
        <f t="shared" si="36"/>
        <v/>
      </c>
      <c r="P489" s="45" t="str">
        <f t="shared" si="37"/>
        <v/>
      </c>
      <c r="R489" s="45" t="str">
        <f t="shared" si="38"/>
        <v/>
      </c>
      <c r="S489" s="45" t="str" cm="1">
        <f t="array" ref="S489">IFERROR([1]!FeetConvert(R489),"")</f>
        <v/>
      </c>
      <c r="T489" s="45" t="str">
        <f t="shared" si="39"/>
        <v/>
      </c>
    </row>
    <row r="490" spans="4:20" x14ac:dyDescent="0.7">
      <c r="D490" s="47" t="str" cm="1">
        <f t="array" ref="D490">IFERROR([2]!CalculateHyphenString(C490),"")</f>
        <v/>
      </c>
      <c r="M490" s="45" t="str">
        <f t="shared" si="35"/>
        <v/>
      </c>
      <c r="N490" s="1" t="s">
        <v>39</v>
      </c>
      <c r="O490" s="45" t="str">
        <f t="shared" si="36"/>
        <v/>
      </c>
      <c r="P490" s="45" t="str">
        <f t="shared" si="37"/>
        <v/>
      </c>
      <c r="R490" s="45" t="str">
        <f t="shared" si="38"/>
        <v/>
      </c>
      <c r="S490" s="45" t="str" cm="1">
        <f t="array" ref="S490">IFERROR([1]!FeetConvert(R490),"")</f>
        <v/>
      </c>
      <c r="T490" s="45" t="str">
        <f t="shared" si="39"/>
        <v/>
      </c>
    </row>
    <row r="491" spans="4:20" x14ac:dyDescent="0.7">
      <c r="D491" s="47" t="str" cm="1">
        <f t="array" ref="D491">IFERROR([2]!CalculateHyphenString(C491),"")</f>
        <v/>
      </c>
      <c r="M491" s="45" t="str">
        <f t="shared" si="35"/>
        <v/>
      </c>
      <c r="N491" s="1" t="s">
        <v>39</v>
      </c>
      <c r="O491" s="45" t="str">
        <f t="shared" si="36"/>
        <v/>
      </c>
      <c r="P491" s="45" t="str">
        <f t="shared" si="37"/>
        <v/>
      </c>
      <c r="R491" s="45" t="str">
        <f t="shared" si="38"/>
        <v/>
      </c>
      <c r="S491" s="45" t="str" cm="1">
        <f t="array" ref="S491">IFERROR([1]!FeetConvert(R491),"")</f>
        <v/>
      </c>
      <c r="T491" s="45" t="str">
        <f t="shared" si="39"/>
        <v/>
      </c>
    </row>
    <row r="492" spans="4:20" x14ac:dyDescent="0.7">
      <c r="D492" s="47" t="str" cm="1">
        <f t="array" ref="D492">IFERROR([2]!CalculateHyphenString(C492),"")</f>
        <v/>
      </c>
      <c r="M492" s="45" t="str">
        <f t="shared" si="35"/>
        <v/>
      </c>
      <c r="N492" s="1" t="s">
        <v>39</v>
      </c>
      <c r="O492" s="45" t="str">
        <f t="shared" si="36"/>
        <v/>
      </c>
      <c r="P492" s="45" t="str">
        <f t="shared" si="37"/>
        <v/>
      </c>
      <c r="R492" s="45" t="str">
        <f t="shared" si="38"/>
        <v/>
      </c>
      <c r="S492" s="45" t="str" cm="1">
        <f t="array" ref="S492">IFERROR([1]!FeetConvert(R492),"")</f>
        <v/>
      </c>
      <c r="T492" s="45" t="str">
        <f t="shared" si="39"/>
        <v/>
      </c>
    </row>
    <row r="493" spans="4:20" x14ac:dyDescent="0.7">
      <c r="D493" s="47" t="str" cm="1">
        <f t="array" ref="D493">IFERROR([2]!CalculateHyphenString(C493),"")</f>
        <v/>
      </c>
      <c r="M493" s="45" t="str">
        <f t="shared" si="35"/>
        <v/>
      </c>
      <c r="N493" s="1" t="s">
        <v>39</v>
      </c>
      <c r="O493" s="45" t="str">
        <f t="shared" si="36"/>
        <v/>
      </c>
      <c r="P493" s="45" t="str">
        <f t="shared" si="37"/>
        <v/>
      </c>
      <c r="R493" s="45" t="str">
        <f t="shared" si="38"/>
        <v/>
      </c>
      <c r="S493" s="45" t="str" cm="1">
        <f t="array" ref="S493">IFERROR([1]!FeetConvert(R493),"")</f>
        <v/>
      </c>
      <c r="T493" s="45" t="str">
        <f t="shared" si="39"/>
        <v/>
      </c>
    </row>
    <row r="494" spans="4:20" x14ac:dyDescent="0.7">
      <c r="D494" s="47" t="str" cm="1">
        <f t="array" ref="D494">IFERROR([2]!CalculateHyphenString(C494),"")</f>
        <v/>
      </c>
      <c r="M494" s="45" t="str">
        <f t="shared" si="35"/>
        <v/>
      </c>
      <c r="N494" s="1" t="s">
        <v>39</v>
      </c>
      <c r="O494" s="45" t="str">
        <f t="shared" si="36"/>
        <v/>
      </c>
      <c r="P494" s="45" t="str">
        <f t="shared" si="37"/>
        <v/>
      </c>
      <c r="R494" s="45" t="str">
        <f t="shared" si="38"/>
        <v/>
      </c>
      <c r="S494" s="45" t="str" cm="1">
        <f t="array" ref="S494">IFERROR([1]!FeetConvert(R494),"")</f>
        <v/>
      </c>
      <c r="T494" s="45" t="str">
        <f t="shared" si="39"/>
        <v/>
      </c>
    </row>
    <row r="495" spans="4:20" x14ac:dyDescent="0.7">
      <c r="D495" s="47" t="str" cm="1">
        <f t="array" ref="D495">IFERROR([2]!CalculateHyphenString(C495),"")</f>
        <v/>
      </c>
      <c r="M495" s="45" t="str">
        <f t="shared" si="35"/>
        <v/>
      </c>
      <c r="N495" s="1" t="s">
        <v>39</v>
      </c>
      <c r="O495" s="45" t="str">
        <f t="shared" si="36"/>
        <v/>
      </c>
      <c r="P495" s="45" t="str">
        <f t="shared" si="37"/>
        <v/>
      </c>
      <c r="R495" s="45" t="str">
        <f t="shared" si="38"/>
        <v/>
      </c>
      <c r="S495" s="45" t="str" cm="1">
        <f t="array" ref="S495">IFERROR([1]!FeetConvert(R495),"")</f>
        <v/>
      </c>
      <c r="T495" s="45" t="str">
        <f t="shared" si="39"/>
        <v/>
      </c>
    </row>
    <row r="496" spans="4:20" x14ac:dyDescent="0.7">
      <c r="D496" s="47" t="str" cm="1">
        <f t="array" ref="D496">IFERROR([2]!CalculateHyphenString(C496),"")</f>
        <v/>
      </c>
      <c r="M496" s="45" t="str">
        <f t="shared" si="35"/>
        <v/>
      </c>
      <c r="N496" s="1" t="s">
        <v>39</v>
      </c>
      <c r="O496" s="45" t="str">
        <f t="shared" si="36"/>
        <v/>
      </c>
      <c r="P496" s="45" t="str">
        <f t="shared" si="37"/>
        <v/>
      </c>
      <c r="R496" s="45" t="str">
        <f t="shared" si="38"/>
        <v/>
      </c>
      <c r="S496" s="45" t="str" cm="1">
        <f t="array" ref="S496">IFERROR([1]!FeetConvert(R496),"")</f>
        <v/>
      </c>
      <c r="T496" s="45" t="str">
        <f t="shared" si="39"/>
        <v/>
      </c>
    </row>
    <row r="497" spans="3:20" x14ac:dyDescent="0.7">
      <c r="D497" s="47" t="str" cm="1">
        <f t="array" ref="D497">IFERROR([2]!CalculateHyphenString(C497),"")</f>
        <v/>
      </c>
      <c r="M497" s="45" t="str">
        <f t="shared" si="35"/>
        <v/>
      </c>
      <c r="N497" s="1" t="s">
        <v>39</v>
      </c>
      <c r="O497" s="45" t="str">
        <f t="shared" si="36"/>
        <v/>
      </c>
      <c r="P497" s="45" t="str">
        <f t="shared" si="37"/>
        <v/>
      </c>
      <c r="R497" s="45" t="str">
        <f t="shared" si="38"/>
        <v/>
      </c>
      <c r="S497" s="45" t="str" cm="1">
        <f t="array" ref="S497">IFERROR([1]!FeetConvert(R497),"")</f>
        <v/>
      </c>
      <c r="T497" s="45" t="str">
        <f t="shared" si="39"/>
        <v/>
      </c>
    </row>
    <row r="498" spans="3:20" x14ac:dyDescent="0.7">
      <c r="D498" s="47" t="str" cm="1">
        <f t="array" ref="D498">IFERROR([2]!CalculateHyphenString(C498),"")</f>
        <v/>
      </c>
      <c r="M498" s="45" t="str">
        <f t="shared" si="35"/>
        <v/>
      </c>
      <c r="N498" s="1" t="s">
        <v>39</v>
      </c>
      <c r="O498" s="45" t="str">
        <f t="shared" si="36"/>
        <v/>
      </c>
      <c r="P498" s="45" t="str">
        <f t="shared" si="37"/>
        <v/>
      </c>
      <c r="R498" s="45" t="str">
        <f t="shared" si="38"/>
        <v/>
      </c>
      <c r="S498" s="45" t="str" cm="1">
        <f t="array" ref="S498">IFERROR([1]!FeetConvert(R498),"")</f>
        <v/>
      </c>
      <c r="T498" s="45" t="str">
        <f t="shared" si="39"/>
        <v/>
      </c>
    </row>
    <row r="499" spans="3:20" x14ac:dyDescent="0.7">
      <c r="D499" s="47" t="str" cm="1">
        <f t="array" ref="D499">IFERROR([2]!CalculateHyphenString(C499),"")</f>
        <v/>
      </c>
      <c r="M499" s="45" t="str">
        <f t="shared" si="35"/>
        <v/>
      </c>
      <c r="N499" s="1" t="s">
        <v>39</v>
      </c>
      <c r="O499" s="45" t="str">
        <f t="shared" si="36"/>
        <v/>
      </c>
      <c r="P499" s="45" t="str">
        <f t="shared" si="37"/>
        <v/>
      </c>
      <c r="R499" s="45" t="str">
        <f t="shared" si="38"/>
        <v/>
      </c>
      <c r="S499" s="45" t="str" cm="1">
        <f t="array" ref="S499">IFERROR([1]!FeetConvert(R499),"")</f>
        <v/>
      </c>
      <c r="T499" s="45" t="str">
        <f t="shared" si="39"/>
        <v/>
      </c>
    </row>
    <row r="500" spans="3:20" x14ac:dyDescent="0.7">
      <c r="D500" s="47" t="str" cm="1">
        <f t="array" ref="D500">IFERROR([2]!CalculateHyphenString(C500),"")</f>
        <v/>
      </c>
      <c r="M500" s="45" t="str">
        <f t="shared" si="35"/>
        <v/>
      </c>
      <c r="N500" s="1" t="s">
        <v>39</v>
      </c>
      <c r="O500" s="45" t="str">
        <f t="shared" si="36"/>
        <v/>
      </c>
      <c r="P500" s="45" t="str">
        <f t="shared" si="37"/>
        <v/>
      </c>
      <c r="R500" s="45" t="str">
        <f t="shared" si="38"/>
        <v/>
      </c>
      <c r="S500" s="45" t="str" cm="1">
        <f t="array" ref="S500">IFERROR([1]!FeetConvert(R500),"")</f>
        <v/>
      </c>
      <c r="T500" s="45" t="str">
        <f t="shared" si="39"/>
        <v/>
      </c>
    </row>
    <row r="501" spans="3:20" s="17" customFormat="1" x14ac:dyDescent="0.7">
      <c r="C501" s="25"/>
      <c r="E501" s="18"/>
      <c r="F501" s="19"/>
      <c r="G501" s="20"/>
      <c r="I501" s="20"/>
      <c r="K501" s="35"/>
      <c r="L501" s="35"/>
      <c r="N501" s="19"/>
      <c r="O501" s="20"/>
      <c r="P501" s="20"/>
      <c r="Q501" s="20"/>
      <c r="R501" s="20"/>
      <c r="S501" s="21"/>
    </row>
  </sheetData>
  <conditionalFormatting sqref="H2">
    <cfRule type="cellIs" dxfId="1" priority="1" operator="equal">
      <formula>0</formula>
    </cfRule>
    <cfRule type="cellIs" dxfId="0" priority="2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Print</vt:lpstr>
      <vt:lpstr>Main Khewat</vt:lpstr>
      <vt:lpstr>Print!Print_Area</vt:lpstr>
      <vt:lpstr>T</vt:lpstr>
      <vt:lpstr>TT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aamir hussain</dc:creator>
  <cp:keywords/>
  <dc:description/>
  <cp:lastModifiedBy>Administrator</cp:lastModifiedBy>
  <cp:revision/>
  <cp:lastPrinted>2025-04-03T13:17:58Z</cp:lastPrinted>
  <dcterms:created xsi:type="dcterms:W3CDTF">2023-09-03T10:29:35Z</dcterms:created>
  <dcterms:modified xsi:type="dcterms:W3CDTF">2025-04-03T13:19:55Z</dcterms:modified>
  <cp:category/>
  <cp:contentStatus/>
</cp:coreProperties>
</file>